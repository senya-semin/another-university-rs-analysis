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1" defaultThemeVersion="124226"/>
  <bookViews>
    <workbookView xWindow="-3165" yWindow="435" windowWidth="15480" windowHeight="6195" tabRatio="773" activeTab="11"/>
  </bookViews>
  <sheets>
    <sheet name="January" sheetId="294" r:id="rId1"/>
    <sheet name="February" sheetId="295" r:id="rId2"/>
    <sheet name="March" sheetId="296" r:id="rId3"/>
    <sheet name="April" sheetId="297" r:id="rId4"/>
    <sheet name="May" sheetId="298" r:id="rId5"/>
    <sheet name="June" sheetId="299" r:id="rId6"/>
    <sheet name="July" sheetId="300" r:id="rId7"/>
    <sheet name="August" sheetId="301" r:id="rId8"/>
    <sheet name="September" sheetId="302" r:id="rId9"/>
    <sheet name="October" sheetId="303" r:id="rId10"/>
    <sheet name="November" sheetId="304" r:id="rId11"/>
    <sheet name="December" sheetId="305" r:id="rId12"/>
  </sheets>
  <externalReferences>
    <externalReference r:id="rId13"/>
  </externalReferences>
  <calcPr calcId="145621"/>
</workbook>
</file>

<file path=xl/calcChain.xml><?xml version="1.0" encoding="utf-8"?>
<calcChain xmlns="http://schemas.openxmlformats.org/spreadsheetml/2006/main">
  <c r="G49" i="305" l="1"/>
  <c r="H49" i="305"/>
  <c r="I49" i="305"/>
  <c r="F49" i="305"/>
  <c r="E22" i="305"/>
  <c r="C124" i="305" l="1"/>
  <c r="H40" i="305"/>
  <c r="G40" i="305"/>
  <c r="H39" i="305"/>
  <c r="G39" i="305"/>
  <c r="H38" i="305"/>
  <c r="G38" i="305"/>
  <c r="H37" i="305"/>
  <c r="G37" i="305"/>
  <c r="H36" i="305"/>
  <c r="G36" i="305"/>
  <c r="H35" i="305"/>
  <c r="G35" i="305"/>
  <c r="H34" i="305"/>
  <c r="G34" i="305"/>
  <c r="E33" i="305"/>
  <c r="H29" i="305"/>
  <c r="G29" i="305"/>
  <c r="H28" i="305"/>
  <c r="G28" i="305"/>
  <c r="H27" i="305"/>
  <c r="G27" i="305"/>
  <c r="H26" i="305"/>
  <c r="G26" i="305"/>
  <c r="H25" i="305"/>
  <c r="G25" i="305"/>
  <c r="H24" i="305"/>
  <c r="G24" i="305"/>
  <c r="H23" i="305"/>
  <c r="G23" i="305"/>
  <c r="H18" i="305"/>
  <c r="G18" i="305"/>
  <c r="H17" i="305"/>
  <c r="G17" i="305"/>
  <c r="H16" i="305"/>
  <c r="G16" i="305"/>
  <c r="H15" i="305"/>
  <c r="G15" i="305"/>
  <c r="H14" i="305"/>
  <c r="G14" i="305"/>
  <c r="H13" i="305"/>
  <c r="G13" i="305"/>
  <c r="H12" i="305"/>
  <c r="G12" i="305"/>
  <c r="F11" i="305"/>
  <c r="F22" i="305" s="1"/>
  <c r="E11" i="305"/>
  <c r="H83" i="305" s="1"/>
  <c r="G83" i="305" s="1"/>
  <c r="F83" i="305" s="1"/>
  <c r="E83" i="305" s="1"/>
  <c r="D83" i="305" s="1"/>
  <c r="C83" i="305" s="1"/>
  <c r="C6" i="305"/>
  <c r="F133" i="305" s="1"/>
  <c r="F33" i="305" l="1"/>
  <c r="C124" i="304"/>
  <c r="H40" i="304"/>
  <c r="G40" i="304"/>
  <c r="H39" i="304"/>
  <c r="G39" i="304"/>
  <c r="H38" i="304"/>
  <c r="G38" i="304"/>
  <c r="H37" i="304"/>
  <c r="G37" i="304"/>
  <c r="H36" i="304"/>
  <c r="G36" i="304"/>
  <c r="H35" i="304"/>
  <c r="G35" i="304"/>
  <c r="H34" i="304"/>
  <c r="G34" i="304"/>
  <c r="E33" i="304"/>
  <c r="H29" i="304"/>
  <c r="G29" i="304"/>
  <c r="H28" i="304"/>
  <c r="G28" i="304"/>
  <c r="H27" i="304"/>
  <c r="G27" i="304"/>
  <c r="H26" i="304"/>
  <c r="G26" i="304"/>
  <c r="H25" i="304"/>
  <c r="G25" i="304"/>
  <c r="H24" i="304"/>
  <c r="G24" i="304"/>
  <c r="H23" i="304"/>
  <c r="G23" i="304"/>
  <c r="E22" i="304"/>
  <c r="H18" i="304"/>
  <c r="G18" i="304"/>
  <c r="H17" i="304"/>
  <c r="G17" i="304"/>
  <c r="H16" i="304"/>
  <c r="G16" i="304"/>
  <c r="H15" i="304"/>
  <c r="G15" i="304"/>
  <c r="H14" i="304"/>
  <c r="G14" i="304"/>
  <c r="H13" i="304"/>
  <c r="G13" i="304"/>
  <c r="H12" i="304"/>
  <c r="G12" i="304"/>
  <c r="F11" i="304"/>
  <c r="F33" i="304" s="1"/>
  <c r="E11" i="304"/>
  <c r="H83" i="304" s="1"/>
  <c r="G83" i="304" s="1"/>
  <c r="F83" i="304" s="1"/>
  <c r="E83" i="304" s="1"/>
  <c r="D83" i="304" s="1"/>
  <c r="C83" i="304" s="1"/>
  <c r="C6" i="304"/>
  <c r="F133" i="304" s="1"/>
  <c r="F22" i="304" l="1"/>
  <c r="C124" i="303"/>
  <c r="H40" i="303"/>
  <c r="G40" i="303"/>
  <c r="H39" i="303"/>
  <c r="G39" i="303"/>
  <c r="H38" i="303"/>
  <c r="G38" i="303"/>
  <c r="H37" i="303"/>
  <c r="G37" i="303"/>
  <c r="H36" i="303"/>
  <c r="G36" i="303"/>
  <c r="H35" i="303"/>
  <c r="G35" i="303"/>
  <c r="H34" i="303"/>
  <c r="G34" i="303"/>
  <c r="E33" i="303"/>
  <c r="H29" i="303"/>
  <c r="G29" i="303"/>
  <c r="H28" i="303"/>
  <c r="G28" i="303"/>
  <c r="H27" i="303"/>
  <c r="G27" i="303"/>
  <c r="H26" i="303"/>
  <c r="G26" i="303"/>
  <c r="H25" i="303"/>
  <c r="G25" i="303"/>
  <c r="H24" i="303"/>
  <c r="G24" i="303"/>
  <c r="H23" i="303"/>
  <c r="G23" i="303"/>
  <c r="E22" i="303"/>
  <c r="H18" i="303"/>
  <c r="G18" i="303"/>
  <c r="H17" i="303"/>
  <c r="G17" i="303"/>
  <c r="H16" i="303"/>
  <c r="G16" i="303"/>
  <c r="H15" i="303"/>
  <c r="G15" i="303"/>
  <c r="H14" i="303"/>
  <c r="G14" i="303"/>
  <c r="H13" i="303"/>
  <c r="G13" i="303"/>
  <c r="H12" i="303"/>
  <c r="G12" i="303"/>
  <c r="F11" i="303"/>
  <c r="F33" i="303" s="1"/>
  <c r="E11" i="303"/>
  <c r="H83" i="303" s="1"/>
  <c r="G83" i="303" s="1"/>
  <c r="F83" i="303" s="1"/>
  <c r="E83" i="303" s="1"/>
  <c r="D83" i="303" s="1"/>
  <c r="C83" i="303" s="1"/>
  <c r="C6" i="303"/>
  <c r="F133" i="303" s="1"/>
  <c r="F22" i="303" l="1"/>
  <c r="E22" i="302"/>
  <c r="C124" i="302"/>
  <c r="H40" i="302"/>
  <c r="G40" i="302"/>
  <c r="H39" i="302"/>
  <c r="G39" i="302"/>
  <c r="H38" i="302"/>
  <c r="G38" i="302"/>
  <c r="H37" i="302"/>
  <c r="G37" i="302"/>
  <c r="H36" i="302"/>
  <c r="G36" i="302"/>
  <c r="H35" i="302"/>
  <c r="G35" i="302"/>
  <c r="H34" i="302"/>
  <c r="G34" i="302"/>
  <c r="E33" i="302"/>
  <c r="H29" i="302"/>
  <c r="G29" i="302"/>
  <c r="H28" i="302"/>
  <c r="G28" i="302"/>
  <c r="H27" i="302"/>
  <c r="G27" i="302"/>
  <c r="H26" i="302"/>
  <c r="G26" i="302"/>
  <c r="H25" i="302"/>
  <c r="G25" i="302"/>
  <c r="H24" i="302"/>
  <c r="G24" i="302"/>
  <c r="H23" i="302"/>
  <c r="G23" i="302"/>
  <c r="H18" i="302"/>
  <c r="G18" i="302"/>
  <c r="H17" i="302"/>
  <c r="G17" i="302"/>
  <c r="H16" i="302"/>
  <c r="G16" i="302"/>
  <c r="H15" i="302"/>
  <c r="G15" i="302"/>
  <c r="H14" i="302"/>
  <c r="G14" i="302"/>
  <c r="H13" i="302"/>
  <c r="G13" i="302"/>
  <c r="H12" i="302"/>
  <c r="G12" i="302"/>
  <c r="F11" i="302"/>
  <c r="F33" i="302" s="1"/>
  <c r="E11" i="302"/>
  <c r="H83" i="302" s="1"/>
  <c r="G83" i="302" s="1"/>
  <c r="F83" i="302" s="1"/>
  <c r="E83" i="302" s="1"/>
  <c r="D83" i="302" s="1"/>
  <c r="C83" i="302" s="1"/>
  <c r="C6" i="302"/>
  <c r="F133" i="302" s="1"/>
  <c r="F22" i="302" l="1"/>
  <c r="C124" i="301"/>
  <c r="H40" i="301"/>
  <c r="G40" i="301"/>
  <c r="H39" i="301"/>
  <c r="G39" i="301"/>
  <c r="H38" i="301"/>
  <c r="G38" i="301"/>
  <c r="H37" i="301"/>
  <c r="G37" i="301"/>
  <c r="H36" i="301"/>
  <c r="G36" i="301"/>
  <c r="H35" i="301"/>
  <c r="G35" i="301"/>
  <c r="H34" i="301"/>
  <c r="G34" i="301"/>
  <c r="E33" i="301"/>
  <c r="H29" i="301"/>
  <c r="G29" i="301"/>
  <c r="H28" i="301"/>
  <c r="G28" i="301"/>
  <c r="H27" i="301"/>
  <c r="G27" i="301"/>
  <c r="H26" i="301"/>
  <c r="G26" i="301"/>
  <c r="H25" i="301"/>
  <c r="G25" i="301"/>
  <c r="H24" i="301"/>
  <c r="G24" i="301"/>
  <c r="H23" i="301"/>
  <c r="G23" i="301"/>
  <c r="E22" i="301"/>
  <c r="H18" i="301"/>
  <c r="G18" i="301"/>
  <c r="H17" i="301"/>
  <c r="G17" i="301"/>
  <c r="H16" i="301"/>
  <c r="G16" i="301"/>
  <c r="H15" i="301"/>
  <c r="G15" i="301"/>
  <c r="H14" i="301"/>
  <c r="G14" i="301"/>
  <c r="H13" i="301"/>
  <c r="G13" i="301"/>
  <c r="H12" i="301"/>
  <c r="G12" i="301"/>
  <c r="F11" i="301"/>
  <c r="F33" i="301" s="1"/>
  <c r="E11" i="301"/>
  <c r="H83" i="301" s="1"/>
  <c r="G83" i="301" s="1"/>
  <c r="F83" i="301" s="1"/>
  <c r="E83" i="301" s="1"/>
  <c r="D83" i="301" s="1"/>
  <c r="C83" i="301" s="1"/>
  <c r="C6" i="301"/>
  <c r="F133" i="301" s="1"/>
  <c r="F22" i="301" l="1"/>
  <c r="C124" i="300"/>
  <c r="H40" i="300"/>
  <c r="G40" i="300"/>
  <c r="H39" i="300"/>
  <c r="G39" i="300"/>
  <c r="H38" i="300"/>
  <c r="G38" i="300"/>
  <c r="H37" i="300"/>
  <c r="G37" i="300"/>
  <c r="H36" i="300"/>
  <c r="G36" i="300"/>
  <c r="H35" i="300"/>
  <c r="G35" i="300"/>
  <c r="H34" i="300"/>
  <c r="G34" i="300"/>
  <c r="E33" i="300"/>
  <c r="H29" i="300"/>
  <c r="G29" i="300"/>
  <c r="H28" i="300"/>
  <c r="G28" i="300"/>
  <c r="H27" i="300"/>
  <c r="G27" i="300"/>
  <c r="H26" i="300"/>
  <c r="G26" i="300"/>
  <c r="H25" i="300"/>
  <c r="G25" i="300"/>
  <c r="H24" i="300"/>
  <c r="G24" i="300"/>
  <c r="H23" i="300"/>
  <c r="G23" i="300"/>
  <c r="E22" i="300"/>
  <c r="H18" i="300"/>
  <c r="G18" i="300"/>
  <c r="H17" i="300"/>
  <c r="G17" i="300"/>
  <c r="H16" i="300"/>
  <c r="G16" i="300"/>
  <c r="H15" i="300"/>
  <c r="G15" i="300"/>
  <c r="H14" i="300"/>
  <c r="G14" i="300"/>
  <c r="H13" i="300"/>
  <c r="G13" i="300"/>
  <c r="H12" i="300"/>
  <c r="G12" i="300"/>
  <c r="F11" i="300"/>
  <c r="F33" i="300" s="1"/>
  <c r="E11" i="300"/>
  <c r="H83" i="300" s="1"/>
  <c r="G83" i="300" s="1"/>
  <c r="F83" i="300" s="1"/>
  <c r="E83" i="300" s="1"/>
  <c r="D83" i="300" s="1"/>
  <c r="C83" i="300" s="1"/>
  <c r="C6" i="300"/>
  <c r="F133" i="300" s="1"/>
  <c r="F22" i="300" l="1"/>
  <c r="C6" i="299"/>
  <c r="F133" i="299"/>
  <c r="C124" i="299"/>
  <c r="E11" i="299"/>
  <c r="H83" i="299"/>
  <c r="G83" i="299"/>
  <c r="F83" i="299"/>
  <c r="E83" i="299"/>
  <c r="D83" i="299"/>
  <c r="C83" i="299"/>
  <c r="H40" i="299"/>
  <c r="G40" i="299"/>
  <c r="H39" i="299"/>
  <c r="G39" i="299"/>
  <c r="H38" i="299"/>
  <c r="G38" i="299"/>
  <c r="H37" i="299"/>
  <c r="G37" i="299"/>
  <c r="H36" i="299"/>
  <c r="G36" i="299"/>
  <c r="H35" i="299"/>
  <c r="G35" i="299"/>
  <c r="H34" i="299"/>
  <c r="G34" i="299"/>
  <c r="F11" i="299"/>
  <c r="F33" i="299"/>
  <c r="E33" i="299"/>
  <c r="H29" i="299"/>
  <c r="G29" i="299"/>
  <c r="H28" i="299"/>
  <c r="G28" i="299"/>
  <c r="H27" i="299"/>
  <c r="G27" i="299"/>
  <c r="H26" i="299"/>
  <c r="G26" i="299"/>
  <c r="H25" i="299"/>
  <c r="G25" i="299"/>
  <c r="H24" i="299"/>
  <c r="G24" i="299"/>
  <c r="H23" i="299"/>
  <c r="G23" i="299"/>
  <c r="F22" i="299"/>
  <c r="E22" i="299"/>
  <c r="H18" i="299"/>
  <c r="G18" i="299"/>
  <c r="H17" i="299"/>
  <c r="G17" i="299"/>
  <c r="H16" i="299"/>
  <c r="G16" i="299"/>
  <c r="H15" i="299"/>
  <c r="G15" i="299"/>
  <c r="H14" i="299"/>
  <c r="G14" i="299"/>
  <c r="H13" i="299"/>
  <c r="G13" i="299"/>
  <c r="H12" i="299"/>
  <c r="G12" i="299"/>
  <c r="C6" i="298"/>
  <c r="F133" i="298"/>
  <c r="C124" i="298"/>
  <c r="E11" i="298"/>
  <c r="H83" i="298"/>
  <c r="G83" i="298"/>
  <c r="F83" i="298"/>
  <c r="E83" i="298"/>
  <c r="D83" i="298"/>
  <c r="C83" i="298"/>
  <c r="H40" i="298"/>
  <c r="G40" i="298"/>
  <c r="H39" i="298"/>
  <c r="G39" i="298"/>
  <c r="H38" i="298"/>
  <c r="G38" i="298"/>
  <c r="H37" i="298"/>
  <c r="G37" i="298"/>
  <c r="H36" i="298"/>
  <c r="G36" i="298"/>
  <c r="H35" i="298"/>
  <c r="G35" i="298"/>
  <c r="H34" i="298"/>
  <c r="G34" i="298"/>
  <c r="F11" i="298"/>
  <c r="F33" i="298"/>
  <c r="E33" i="298"/>
  <c r="H29" i="298"/>
  <c r="G29" i="298"/>
  <c r="H28" i="298"/>
  <c r="G28" i="298"/>
  <c r="H27" i="298"/>
  <c r="G27" i="298"/>
  <c r="H26" i="298"/>
  <c r="G26" i="298"/>
  <c r="H25" i="298"/>
  <c r="G25" i="298"/>
  <c r="H24" i="298"/>
  <c r="G24" i="298"/>
  <c r="H23" i="298"/>
  <c r="G23" i="298"/>
  <c r="F22" i="298"/>
  <c r="E22" i="298"/>
  <c r="H18" i="298"/>
  <c r="G18" i="298"/>
  <c r="H17" i="298"/>
  <c r="G17" i="298"/>
  <c r="H16" i="298"/>
  <c r="G16" i="298"/>
  <c r="H15" i="298"/>
  <c r="G15" i="298"/>
  <c r="H14" i="298"/>
  <c r="G14" i="298"/>
  <c r="H13" i="298"/>
  <c r="G13" i="298"/>
  <c r="H12" i="298"/>
  <c r="G12" i="298"/>
  <c r="C6" i="297"/>
  <c r="F133" i="297"/>
  <c r="C124" i="297"/>
  <c r="E11" i="297"/>
  <c r="H83" i="297"/>
  <c r="G83" i="297"/>
  <c r="F83" i="297"/>
  <c r="E83" i="297"/>
  <c r="D83" i="297"/>
  <c r="C83" i="297"/>
  <c r="H40" i="297"/>
  <c r="G40" i="297"/>
  <c r="H39" i="297"/>
  <c r="G39" i="297"/>
  <c r="H38" i="297"/>
  <c r="G38" i="297"/>
  <c r="H37" i="297"/>
  <c r="G37" i="297"/>
  <c r="H36" i="297"/>
  <c r="G36" i="297"/>
  <c r="H35" i="297"/>
  <c r="G35" i="297"/>
  <c r="H34" i="297"/>
  <c r="G34" i="297"/>
  <c r="F11" i="297"/>
  <c r="F33" i="297"/>
  <c r="E33" i="297"/>
  <c r="H29" i="297"/>
  <c r="G29" i="297"/>
  <c r="H28" i="297"/>
  <c r="G28" i="297"/>
  <c r="H27" i="297"/>
  <c r="G27" i="297"/>
  <c r="H26" i="297"/>
  <c r="G26" i="297"/>
  <c r="H25" i="297"/>
  <c r="G25" i="297"/>
  <c r="H24" i="297"/>
  <c r="G24" i="297"/>
  <c r="H23" i="297"/>
  <c r="G23" i="297"/>
  <c r="F22" i="297"/>
  <c r="E22" i="297"/>
  <c r="H18" i="297"/>
  <c r="G18" i="297"/>
  <c r="H17" i="297"/>
  <c r="G17" i="297"/>
  <c r="H16" i="297"/>
  <c r="G16" i="297"/>
  <c r="H15" i="297"/>
  <c r="G15" i="297"/>
  <c r="H14" i="297"/>
  <c r="G14" i="297"/>
  <c r="H13" i="297"/>
  <c r="G13" i="297"/>
  <c r="H12" i="297"/>
  <c r="G12" i="297"/>
  <c r="C6" i="296"/>
  <c r="F133" i="296"/>
  <c r="C124" i="296"/>
  <c r="E11" i="296"/>
  <c r="H83" i="296"/>
  <c r="G83" i="296"/>
  <c r="F83" i="296"/>
  <c r="E83" i="296"/>
  <c r="D83" i="296"/>
  <c r="C83" i="296"/>
  <c r="H40" i="296"/>
  <c r="G40" i="296"/>
  <c r="H39" i="296"/>
  <c r="G39" i="296"/>
  <c r="H38" i="296"/>
  <c r="G38" i="296"/>
  <c r="H37" i="296"/>
  <c r="G37" i="296"/>
  <c r="H36" i="296"/>
  <c r="G36" i="296"/>
  <c r="H35" i="296"/>
  <c r="G35" i="296"/>
  <c r="H34" i="296"/>
  <c r="G34" i="296"/>
  <c r="F11" i="296"/>
  <c r="F33" i="296"/>
  <c r="E33" i="296"/>
  <c r="H29" i="296"/>
  <c r="G29" i="296"/>
  <c r="H28" i="296"/>
  <c r="G28" i="296"/>
  <c r="H27" i="296"/>
  <c r="G27" i="296"/>
  <c r="H26" i="296"/>
  <c r="G26" i="296"/>
  <c r="H25" i="296"/>
  <c r="G25" i="296"/>
  <c r="H24" i="296"/>
  <c r="G24" i="296"/>
  <c r="H23" i="296"/>
  <c r="G23" i="296"/>
  <c r="F22" i="296"/>
  <c r="E22" i="296"/>
  <c r="H18" i="296"/>
  <c r="G18" i="296"/>
  <c r="H17" i="296"/>
  <c r="G17" i="296"/>
  <c r="H16" i="296"/>
  <c r="G16" i="296"/>
  <c r="H15" i="296"/>
  <c r="G15" i="296"/>
  <c r="H14" i="296"/>
  <c r="G14" i="296"/>
  <c r="H13" i="296"/>
  <c r="G13" i="296"/>
  <c r="H12" i="296"/>
  <c r="G12" i="296"/>
  <c r="E35" i="295"/>
  <c r="E36" i="295"/>
  <c r="E37" i="295"/>
  <c r="E38" i="295"/>
  <c r="E39" i="295"/>
  <c r="E40" i="295"/>
  <c r="E34" i="295"/>
  <c r="E24" i="295"/>
  <c r="E25" i="295"/>
  <c r="E26" i="295"/>
  <c r="E27" i="295"/>
  <c r="E28" i="295"/>
  <c r="E29" i="295"/>
  <c r="E23" i="295"/>
  <c r="E13" i="295"/>
  <c r="E14" i="295"/>
  <c r="E15" i="295"/>
  <c r="E16" i="295"/>
  <c r="E17" i="295"/>
  <c r="E18" i="295"/>
  <c r="E12" i="295"/>
  <c r="C124" i="295"/>
  <c r="H40" i="295"/>
  <c r="G40" i="295"/>
  <c r="H39" i="295"/>
  <c r="G39" i="295"/>
  <c r="H38" i="295"/>
  <c r="G38" i="295"/>
  <c r="H37" i="295"/>
  <c r="G37" i="295"/>
  <c r="H36" i="295"/>
  <c r="G36" i="295"/>
  <c r="H35" i="295"/>
  <c r="G35" i="295"/>
  <c r="H34" i="295"/>
  <c r="G34" i="295"/>
  <c r="E33" i="295"/>
  <c r="H29" i="295"/>
  <c r="G29" i="295"/>
  <c r="H28" i="295"/>
  <c r="G28" i="295"/>
  <c r="H27" i="295"/>
  <c r="G27" i="295"/>
  <c r="H26" i="295"/>
  <c r="G26" i="295"/>
  <c r="H25" i="295"/>
  <c r="G25" i="295"/>
  <c r="H24" i="295"/>
  <c r="G24" i="295"/>
  <c r="H23" i="295"/>
  <c r="G23" i="295"/>
  <c r="E22" i="295"/>
  <c r="H18" i="295"/>
  <c r="G18" i="295"/>
  <c r="H17" i="295"/>
  <c r="G17" i="295"/>
  <c r="H16" i="295"/>
  <c r="G16" i="295"/>
  <c r="H15" i="295"/>
  <c r="G15" i="295"/>
  <c r="H14" i="295"/>
  <c r="G14" i="295"/>
  <c r="H13" i="295"/>
  <c r="G13" i="295"/>
  <c r="H12" i="295"/>
  <c r="G12" i="295"/>
  <c r="F11" i="295"/>
  <c r="F33" i="295"/>
  <c r="E11" i="295"/>
  <c r="H83" i="295"/>
  <c r="G83" i="295"/>
  <c r="F83" i="295"/>
  <c r="E83" i="295"/>
  <c r="D83" i="295"/>
  <c r="C83" i="295"/>
  <c r="C6" i="295"/>
  <c r="F133" i="295"/>
  <c r="F22" i="295"/>
  <c r="C124" i="294"/>
  <c r="H40" i="294"/>
  <c r="G40" i="294"/>
  <c r="H39" i="294"/>
  <c r="G39" i="294"/>
  <c r="H38" i="294"/>
  <c r="G38" i="294"/>
  <c r="H37" i="294"/>
  <c r="G37" i="294"/>
  <c r="H36" i="294"/>
  <c r="G36" i="294"/>
  <c r="H35" i="294"/>
  <c r="G35" i="294"/>
  <c r="H34" i="294"/>
  <c r="G34" i="294"/>
  <c r="E33" i="294"/>
  <c r="H29" i="294"/>
  <c r="G29" i="294"/>
  <c r="H28" i="294"/>
  <c r="G28" i="294"/>
  <c r="H27" i="294"/>
  <c r="G27" i="294"/>
  <c r="H26" i="294"/>
  <c r="G26" i="294"/>
  <c r="H25" i="294"/>
  <c r="G25" i="294"/>
  <c r="H24" i="294"/>
  <c r="G24" i="294"/>
  <c r="H23" i="294"/>
  <c r="G23" i="294"/>
  <c r="E22" i="294"/>
  <c r="H18" i="294"/>
  <c r="G18" i="294"/>
  <c r="H17" i="294"/>
  <c r="G17" i="294"/>
  <c r="H16" i="294"/>
  <c r="G16" i="294"/>
  <c r="H15" i="294"/>
  <c r="G15" i="294"/>
  <c r="H14" i="294"/>
  <c r="G14" i="294"/>
  <c r="H13" i="294"/>
  <c r="G13" i="294"/>
  <c r="H12" i="294"/>
  <c r="G12" i="294"/>
  <c r="F11" i="294"/>
  <c r="F22" i="294"/>
  <c r="E11" i="294"/>
  <c r="H83" i="294"/>
  <c r="G83" i="294"/>
  <c r="F83" i="294"/>
  <c r="E83" i="294"/>
  <c r="D83" i="294"/>
  <c r="C83" i="294"/>
  <c r="C6" i="294"/>
  <c r="F133" i="294"/>
  <c r="F33" i="294"/>
</calcChain>
</file>

<file path=xl/connections.xml><?xml version="1.0" encoding="utf-8"?>
<connections xmlns="http://schemas.openxmlformats.org/spreadsheetml/2006/main">
  <connection id="1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  <connection id="2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1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</connections>
</file>

<file path=xl/sharedStrings.xml><?xml version="1.0" encoding="utf-8"?>
<sst xmlns="http://schemas.openxmlformats.org/spreadsheetml/2006/main" count="2712" uniqueCount="60">
  <si>
    <t>Физические лица</t>
  </si>
  <si>
    <t>Юридические лица</t>
  </si>
  <si>
    <t>Клиенты, передавшие свои средства в ДУ</t>
  </si>
  <si>
    <t>Всего</t>
  </si>
  <si>
    <t>Абсолютные показатели</t>
  </si>
  <si>
    <t>Количество клиентов</t>
  </si>
  <si>
    <t>Ведущие операторы рынка – число активных клиентов</t>
  </si>
  <si>
    <t>Ведущие операторы рынка – объем клиентских операций</t>
  </si>
  <si>
    <t>Торговый оборот, руб.</t>
  </si>
  <si>
    <t>Изменение (ед.)</t>
  </si>
  <si>
    <t>Изменение (%)</t>
  </si>
  <si>
    <t>Таблица 2</t>
  </si>
  <si>
    <t>Таблица 1</t>
  </si>
  <si>
    <t>Таблица 3</t>
  </si>
  <si>
    <t>Количество активных клиентов в Системе торгов (совершивших в течение месяца хотя бы одну сделку):</t>
  </si>
  <si>
    <t>Изменение количества уникальных клиентов - ретроспективные данные</t>
  </si>
  <si>
    <t>Группы клиентов</t>
  </si>
  <si>
    <t>Наименование Участника торгов</t>
  </si>
  <si>
    <t xml:space="preserve">Динамика количества клиентов за </t>
  </si>
  <si>
    <t xml:space="preserve">Списки ведущих операторов фондового рынка - клиенты Участников торгов за </t>
  </si>
  <si>
    <t>Количество Участников торгов, имеющих активных клиентов</t>
  </si>
  <si>
    <t>Дополнительные показатели за</t>
  </si>
  <si>
    <t>Участники торгов</t>
  </si>
  <si>
    <t>Ведущие операторы рынка – число зарегистрированных клиентов</t>
  </si>
  <si>
    <t xml:space="preserve">(по общему количеству уникальных клиентов всех типов, зарегистрированных в системе торгов биржи, в том числе  в течение месяца) </t>
  </si>
  <si>
    <t>(по количеству уникальных клиентов, совершивших хотя бы одну сделку за месяц)</t>
  </si>
  <si>
    <t xml:space="preserve">(по стоимостному объему сделок, заключенных в интересах клиентов за месяц) </t>
  </si>
  <si>
    <t>Сбербанк</t>
  </si>
  <si>
    <t>ФГ БКС</t>
  </si>
  <si>
    <t>ООО "АТОН"</t>
  </si>
  <si>
    <t>ООО "Инвестиционная палата"</t>
  </si>
  <si>
    <t>ООО "ИК ВЕЛЕС Капитал"</t>
  </si>
  <si>
    <t>Количество зарегистрированных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</si>
  <si>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</si>
  <si>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 (ежегодная статистика):</t>
  </si>
  <si>
    <t>Количество уникальных клиентов в Системе торгов (по состоянию на последний день месяца) (за последние 6 месяцев):</t>
  </si>
  <si>
    <t xml:space="preserve">ООО "Ренессанс Брокер" </t>
  </si>
  <si>
    <t>ФГ "ОТКРЫТИЕ"</t>
  </si>
  <si>
    <t>ВТБ 24 (ПАО)</t>
  </si>
  <si>
    <t>АО "ФИНАМ"</t>
  </si>
  <si>
    <t>АО "АЛЬФА-БАНК"</t>
  </si>
  <si>
    <t>Банк ГПБ (АО)</t>
  </si>
  <si>
    <t>ПАО "Промсвязьбанк"</t>
  </si>
  <si>
    <t>АЛОР БРОКЕР</t>
  </si>
  <si>
    <t>ООО "ИФК "МЕТРОПОЛЬ"</t>
  </si>
  <si>
    <t>Иностранные лица</t>
  </si>
  <si>
    <t xml:space="preserve">Иностранные физические лица </t>
  </si>
  <si>
    <t xml:space="preserve">Иностранные юридические лица </t>
  </si>
  <si>
    <t>ООО "БК РЕГИОН"</t>
  </si>
  <si>
    <t>ПАО "Совкомбанк"</t>
  </si>
  <si>
    <t>ООО УК "Альфа-Капитал"</t>
  </si>
  <si>
    <t>КИТ Финанс (АО)</t>
  </si>
  <si>
    <t>ООО "УНИВЕР Капитал"</t>
  </si>
  <si>
    <t>КИТ Финанс (ПАО)</t>
  </si>
  <si>
    <t>Клиенты Участников торгов фондового рынка Московской Биржи</t>
  </si>
  <si>
    <t>ООО "РОНИН"</t>
  </si>
  <si>
    <t>ООО ФК "РГС Инвестиции"</t>
  </si>
  <si>
    <t>ВТБ</t>
  </si>
  <si>
    <t>Группа Банка "ФК Открытие"</t>
  </si>
  <si>
    <t>ПАО КБ "УБРиР"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</si>
</sst>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-* #,##0_р_._-;\-* #,##0_р_._-;_-* &quot;-&quot;??_р_._-;_-@_-"/>
    <numFmt numFmtId="166" formatCode="[$-419]mmmm\ yyyy;@"/>
  </numFmts>
  <fonts count="53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1"/>
      <name val="Century Gothic"/>
      <family val="2"/>
      <charset val="204"/>
    </font>
    <font>
      <sz val="11"/>
      <color indexed="9"/>
      <name val="Century Gothic"/>
      <family val="2"/>
      <charset val="204"/>
    </font>
    <font>
      <b/>
      <sz val="11"/>
      <name val="Century Gothic"/>
      <family val="2"/>
      <charset val="204"/>
    </font>
    <font>
      <b/>
      <i/>
      <sz val="12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2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9"/>
      <name val="Century Gothic"/>
      <family val="2"/>
      <charset val="204"/>
    </font>
    <font>
      <b/>
      <i/>
      <sz val="16"/>
      <name val="Century Gothic"/>
      <family val="2"/>
      <charset val="204"/>
    </font>
    <font>
      <sz val="8"/>
      <color indexed="8"/>
      <name val="Arial Unicode MS"/>
      <family val="2"/>
      <charset val="204"/>
    </font>
    <font>
      <sz val="10"/>
      <color indexed="8"/>
      <name val="Arial"/>
      <family val="2"/>
      <charset val="204"/>
    </font>
    <font>
      <sz val="10"/>
      <color indexed="8"/>
      <name val="MS Sans Serif"/>
      <family val="2"/>
      <charset val="204"/>
    </font>
    <font>
      <sz val="8"/>
      <color indexed="8"/>
      <name val="Arial Unicode MS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indexed="8"/>
      <name val="Calibri"/>
      <family val="2"/>
      <scheme val="minor"/>
    </font>
    <font>
      <b/>
      <i/>
      <sz val="8"/>
      <name val="Tahoma"/>
      <family val="2"/>
      <charset val="204"/>
    </font>
    <font>
      <sz val="9"/>
      <color theme="1"/>
      <name val="Arial_Cyr"/>
      <charset val="204"/>
    </font>
  </fonts>
  <fills count="4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75">
    <xf numFmtId="0" fontId="0" fillId="0" borderId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33" fillId="33" borderId="0" applyNumberFormat="0" applyBorder="0" applyAlignment="0" applyProtection="0"/>
    <xf numFmtId="0" fontId="34" fillId="34" borderId="21" applyNumberFormat="0" applyAlignment="0" applyProtection="0"/>
    <xf numFmtId="0" fontId="35" fillId="35" borderId="22" applyNumberFormat="0" applyAlignment="0" applyProtection="0"/>
    <xf numFmtId="0" fontId="36" fillId="35" borderId="21" applyNumberFormat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39" fillId="0" borderId="25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6" applyNumberFormat="0" applyFill="0" applyAlignment="0" applyProtection="0"/>
    <xf numFmtId="0" fontId="41" fillId="36" borderId="27" applyNumberFormat="0" applyAlignment="0" applyProtection="0"/>
    <xf numFmtId="0" fontId="42" fillId="0" borderId="0" applyNumberFormat="0" applyFill="0" applyBorder="0" applyAlignment="0" applyProtection="0"/>
    <xf numFmtId="0" fontId="43" fillId="37" borderId="0" applyNumberFormat="0" applyBorder="0" applyAlignment="0" applyProtection="0"/>
    <xf numFmtId="0" fontId="32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16" fillId="0" borderId="0"/>
    <xf numFmtId="0" fontId="44" fillId="38" borderId="0" applyNumberFormat="0" applyBorder="0" applyAlignment="0" applyProtection="0"/>
    <xf numFmtId="0" fontId="45" fillId="0" borderId="0" applyNumberFormat="0" applyFill="0" applyBorder="0" applyAlignment="0" applyProtection="0"/>
    <xf numFmtId="0" fontId="32" fillId="39" borderId="28" applyNumberFormat="0" applyFont="0" applyAlignment="0" applyProtection="0"/>
    <xf numFmtId="9" fontId="15" fillId="0" borderId="0" applyFont="0" applyFill="0" applyBorder="0" applyAlignment="0" applyProtection="0"/>
    <xf numFmtId="0" fontId="46" fillId="0" borderId="29" applyNumberFormat="0" applyFill="0" applyAlignment="0" applyProtection="0"/>
    <xf numFmtId="0" fontId="47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0" fontId="48" fillId="40" borderId="0" applyNumberFormat="0" applyBorder="0" applyAlignment="0" applyProtection="0"/>
    <xf numFmtId="0" fontId="14" fillId="0" borderId="0"/>
    <xf numFmtId="0" fontId="14" fillId="39" borderId="28" applyNumberFormat="0" applyFont="0" applyAlignment="0" applyProtection="0"/>
    <xf numFmtId="0" fontId="14" fillId="10" borderId="0" applyNumberFormat="0" applyBorder="0" applyAlignment="0" applyProtection="0"/>
    <xf numFmtId="0" fontId="14" fillId="16" borderId="0" applyNumberFormat="0" applyBorder="0" applyAlignment="0" applyProtection="0"/>
    <xf numFmtId="0" fontId="14" fillId="11" borderId="0" applyNumberFormat="0" applyBorder="0" applyAlignment="0" applyProtection="0"/>
    <xf numFmtId="0" fontId="14" fillId="17" borderId="0" applyNumberFormat="0" applyBorder="0" applyAlignment="0" applyProtection="0"/>
    <xf numFmtId="0" fontId="14" fillId="12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4" fillId="14" borderId="0" applyNumberFormat="0" applyBorder="0" applyAlignment="0" applyProtection="0"/>
    <xf numFmtId="0" fontId="14" fillId="20" borderId="0" applyNumberFormat="0" applyBorder="0" applyAlignment="0" applyProtection="0"/>
    <xf numFmtId="0" fontId="14" fillId="15" borderId="0" applyNumberFormat="0" applyBorder="0" applyAlignment="0" applyProtection="0"/>
    <xf numFmtId="0" fontId="14" fillId="21" borderId="0" applyNumberFormat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39" borderId="28" applyNumberFormat="0" applyFont="0" applyAlignment="0" applyProtection="0"/>
    <xf numFmtId="0" fontId="9" fillId="10" borderId="0" applyNumberFormat="0" applyBorder="0" applyAlignment="0" applyProtection="0"/>
    <xf numFmtId="0" fontId="9" fillId="16" borderId="0" applyNumberFormat="0" applyBorder="0" applyAlignment="0" applyProtection="0"/>
    <xf numFmtId="0" fontId="9" fillId="11" borderId="0" applyNumberFormat="0" applyBorder="0" applyAlignment="0" applyProtection="0"/>
    <xf numFmtId="0" fontId="9" fillId="17" borderId="0" applyNumberFormat="0" applyBorder="0" applyAlignment="0" applyProtection="0"/>
    <xf numFmtId="0" fontId="9" fillId="12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9" borderId="0" applyNumberFormat="0" applyBorder="0" applyAlignment="0" applyProtection="0"/>
    <xf numFmtId="0" fontId="9" fillId="14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2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39" borderId="28" applyNumberFormat="0" applyFont="0" applyAlignment="0" applyProtection="0"/>
    <xf numFmtId="0" fontId="8" fillId="0" borderId="0"/>
    <xf numFmtId="0" fontId="8" fillId="39" borderId="28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39" borderId="28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28" applyNumberFormat="0" applyFont="0" applyAlignment="0" applyProtection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28" applyNumberFormat="0" applyFont="0" applyAlignment="0" applyProtection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28" applyNumberFormat="0" applyFont="0" applyAlignment="0" applyProtection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5" fillId="0" borderId="0"/>
    <xf numFmtId="0" fontId="5" fillId="39" borderId="28" applyNumberFormat="0" applyFont="0" applyAlignment="0" applyProtection="0"/>
    <xf numFmtId="0" fontId="5" fillId="10" borderId="0" applyNumberFormat="0" applyBorder="0" applyAlignment="0" applyProtection="0"/>
    <xf numFmtId="0" fontId="5" fillId="16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2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9" borderId="0" applyNumberFormat="0" applyBorder="0" applyAlignment="0" applyProtection="0"/>
    <xf numFmtId="0" fontId="5" fillId="14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3" fillId="0" borderId="0"/>
    <xf numFmtId="0" fontId="3" fillId="39" borderId="28" applyNumberFormat="0" applyFont="0" applyAlignment="0" applyProtection="0"/>
    <xf numFmtId="0" fontId="3" fillId="10" borderId="0" applyNumberFormat="0" applyBorder="0" applyAlignment="0" applyProtection="0"/>
    <xf numFmtId="0" fontId="3" fillId="16" borderId="0" applyNumberFormat="0" applyBorder="0" applyAlignment="0" applyProtection="0"/>
    <xf numFmtId="0" fontId="3" fillId="11" borderId="0" applyNumberFormat="0" applyBorder="0" applyAlignment="0" applyProtection="0"/>
    <xf numFmtId="0" fontId="3" fillId="17" borderId="0" applyNumberFormat="0" applyBorder="0" applyAlignment="0" applyProtection="0"/>
    <xf numFmtId="0" fontId="3" fillId="12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3" fillId="15" borderId="0" applyNumberFormat="0" applyBorder="0" applyAlignment="0" applyProtection="0"/>
    <xf numFmtId="0" fontId="3" fillId="21" borderId="0" applyNumberFormat="0" applyBorder="0" applyAlignment="0" applyProtection="0"/>
    <xf numFmtId="0" fontId="2" fillId="0" borderId="0"/>
    <xf numFmtId="0" fontId="2" fillId="39" borderId="28" applyNumberFormat="0" applyFont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  <xf numFmtId="0" fontId="2" fillId="14" borderId="0" applyNumberFormat="0" applyBorder="0" applyAlignment="0" applyProtection="0"/>
    <xf numFmtId="0" fontId="2" fillId="20" borderId="0" applyNumberFormat="0" applyBorder="0" applyAlignment="0" applyProtection="0"/>
    <xf numFmtId="0" fontId="2" fillId="15" borderId="0" applyNumberFormat="0" applyBorder="0" applyAlignment="0" applyProtection="0"/>
    <xf numFmtId="0" fontId="2" fillId="21" borderId="0" applyNumberFormat="0" applyBorder="0" applyAlignment="0" applyProtection="0"/>
    <xf numFmtId="0" fontId="49" fillId="0" borderId="0"/>
    <xf numFmtId="0" fontId="50" fillId="0" borderId="0"/>
    <xf numFmtId="0" fontId="1" fillId="0" borderId="0"/>
  </cellStyleXfs>
  <cellXfs count="157">
    <xf numFmtId="0" fontId="0" fillId="0" borderId="0" xfId="0"/>
    <xf numFmtId="0" fontId="20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0" fontId="24" fillId="0" borderId="0" xfId="0" applyFont="1" applyBorder="1" applyAlignment="1">
      <alignment horizontal="right" vertical="center"/>
    </xf>
    <xf numFmtId="3" fontId="23" fillId="0" borderId="0" xfId="0" applyNumberFormat="1" applyFont="1" applyBorder="1"/>
    <xf numFmtId="165" fontId="23" fillId="0" borderId="0" xfId="48" applyNumberFormat="1" applyFont="1" applyBorder="1"/>
    <xf numFmtId="0" fontId="24" fillId="0" borderId="0" xfId="0" applyFont="1" applyBorder="1" applyAlignment="1">
      <alignment horizontal="justify" vertical="center"/>
    </xf>
    <xf numFmtId="0" fontId="24" fillId="0" borderId="0" xfId="0" applyFont="1" applyBorder="1" applyAlignment="1">
      <alignment horizontal="center" vertical="center"/>
    </xf>
    <xf numFmtId="3" fontId="21" fillId="0" borderId="4" xfId="0" applyNumberFormat="1" applyFont="1" applyBorder="1" applyAlignment="1">
      <alignment vertical="center"/>
    </xf>
    <xf numFmtId="0" fontId="24" fillId="2" borderId="5" xfId="0" applyFont="1" applyFill="1" applyBorder="1" applyAlignment="1">
      <alignment vertical="center"/>
    </xf>
    <xf numFmtId="0" fontId="24" fillId="4" borderId="5" xfId="0" applyFont="1" applyFill="1" applyBorder="1" applyAlignment="1">
      <alignment vertical="center"/>
    </xf>
    <xf numFmtId="0" fontId="21" fillId="4" borderId="0" xfId="0" applyFont="1" applyFill="1" applyBorder="1" applyAlignment="1">
      <alignment vertical="center"/>
    </xf>
    <xf numFmtId="0" fontId="20" fillId="4" borderId="0" xfId="0" applyFont="1" applyFill="1" applyBorder="1" applyAlignment="1">
      <alignment horizontal="right" vertical="center"/>
    </xf>
    <xf numFmtId="0" fontId="21" fillId="0" borderId="3" xfId="0" applyFont="1" applyBorder="1" applyAlignment="1">
      <alignment horizontal="right" vertical="center" wrapText="1"/>
    </xf>
    <xf numFmtId="0" fontId="20" fillId="4" borderId="0" xfId="0" applyFont="1" applyFill="1" applyAlignment="1">
      <alignment vertical="center"/>
    </xf>
    <xf numFmtId="0" fontId="20" fillId="4" borderId="0" xfId="0" applyFont="1" applyFill="1" applyBorder="1" applyAlignment="1">
      <alignment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Border="1" applyAlignment="1">
      <alignment vertical="center"/>
    </xf>
    <xf numFmtId="0" fontId="20" fillId="4" borderId="5" xfId="0" applyFont="1" applyFill="1" applyBorder="1" applyAlignment="1">
      <alignment vertical="center"/>
    </xf>
    <xf numFmtId="0" fontId="20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17" fillId="6" borderId="8" xfId="0" applyFont="1" applyFill="1" applyBorder="1" applyAlignment="1">
      <alignment vertical="center"/>
    </xf>
    <xf numFmtId="0" fontId="17" fillId="7" borderId="9" xfId="0" applyFont="1" applyFill="1" applyBorder="1" applyAlignment="1">
      <alignment vertical="center"/>
    </xf>
    <xf numFmtId="0" fontId="18" fillId="8" borderId="10" xfId="0" applyFont="1" applyFill="1" applyBorder="1" applyAlignment="1">
      <alignment vertical="center"/>
    </xf>
    <xf numFmtId="0" fontId="17" fillId="5" borderId="11" xfId="0" applyFont="1" applyFill="1" applyBorder="1" applyAlignment="1">
      <alignment vertical="center" wrapText="1"/>
    </xf>
    <xf numFmtId="0" fontId="20" fillId="3" borderId="0" xfId="0" applyFont="1" applyFill="1" applyAlignment="1">
      <alignment vertical="center"/>
    </xf>
    <xf numFmtId="0" fontId="20" fillId="3" borderId="0" xfId="0" applyFont="1" applyFill="1" applyBorder="1" applyAlignment="1">
      <alignment vertical="center"/>
    </xf>
    <xf numFmtId="0" fontId="20" fillId="3" borderId="5" xfId="0" applyFont="1" applyFill="1" applyBorder="1" applyAlignment="1">
      <alignment vertical="center"/>
    </xf>
    <xf numFmtId="0" fontId="19" fillId="0" borderId="6" xfId="0" applyFont="1" applyBorder="1" applyAlignment="1">
      <alignment vertical="center" wrapText="1"/>
    </xf>
    <xf numFmtId="0" fontId="20" fillId="9" borderId="0" xfId="0" applyFont="1" applyFill="1" applyAlignment="1">
      <alignment vertical="center"/>
    </xf>
    <xf numFmtId="0" fontId="20" fillId="9" borderId="0" xfId="0" applyFont="1" applyFill="1" applyBorder="1" applyAlignment="1">
      <alignment vertical="center"/>
    </xf>
    <xf numFmtId="0" fontId="20" fillId="9" borderId="5" xfId="0" applyFont="1" applyFill="1" applyBorder="1" applyAlignment="1">
      <alignment vertical="center"/>
    </xf>
    <xf numFmtId="0" fontId="21" fillId="3" borderId="5" xfId="0" applyFont="1" applyFill="1" applyBorder="1" applyAlignment="1">
      <alignment vertical="center"/>
    </xf>
    <xf numFmtId="0" fontId="20" fillId="3" borderId="5" xfId="0" applyFont="1" applyFill="1" applyBorder="1" applyAlignment="1">
      <alignment horizontal="right" vertical="center"/>
    </xf>
    <xf numFmtId="0" fontId="21" fillId="9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horizontal="right" vertical="center"/>
    </xf>
    <xf numFmtId="0" fontId="25" fillId="0" borderId="0" xfId="0" applyFont="1" applyBorder="1" applyAlignment="1">
      <alignment horizontal="left" vertical="center" wrapText="1"/>
    </xf>
    <xf numFmtId="3" fontId="25" fillId="0" borderId="0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vertical="center" wrapText="1"/>
    </xf>
    <xf numFmtId="3" fontId="23" fillId="0" borderId="0" xfId="0" applyNumberFormat="1" applyFont="1" applyBorder="1" applyAlignment="1">
      <alignment vertical="center"/>
    </xf>
    <xf numFmtId="10" fontId="23" fillId="0" borderId="0" xfId="45" applyNumberFormat="1" applyFont="1" applyBorder="1" applyAlignment="1">
      <alignment vertical="center"/>
    </xf>
    <xf numFmtId="0" fontId="21" fillId="0" borderId="3" xfId="0" applyFont="1" applyFill="1" applyBorder="1" applyAlignment="1">
      <alignment horizontal="right" vertical="center" wrapText="1"/>
    </xf>
    <xf numFmtId="0" fontId="21" fillId="0" borderId="0" xfId="0" applyFont="1" applyFill="1" applyAlignment="1">
      <alignment vertical="center" wrapText="1"/>
    </xf>
    <xf numFmtId="0" fontId="28" fillId="0" borderId="0" xfId="38" applyFont="1" applyFill="1" applyBorder="1" applyAlignment="1"/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3" fontId="16" fillId="0" borderId="0" xfId="41" applyNumberFormat="1" applyBorder="1"/>
    <xf numFmtId="0" fontId="31" fillId="0" borderId="0" xfId="40" applyFont="1" applyFill="1" applyBorder="1" applyAlignment="1">
      <alignment horizontal="left"/>
    </xf>
    <xf numFmtId="0" fontId="0" fillId="0" borderId="0" xfId="0" applyBorder="1"/>
    <xf numFmtId="0" fontId="28" fillId="0" borderId="0" xfId="37" applyFont="1" applyFill="1" applyBorder="1" applyAlignment="1"/>
    <xf numFmtId="0" fontId="16" fillId="0" borderId="0" xfId="41" applyBorder="1"/>
    <xf numFmtId="0" fontId="28" fillId="0" borderId="0" xfId="39" applyFont="1" applyFill="1" applyBorder="1" applyAlignment="1"/>
    <xf numFmtId="3" fontId="28" fillId="0" borderId="0" xfId="39" applyNumberFormat="1" applyFont="1" applyFill="1" applyBorder="1" applyAlignment="1">
      <alignment horizontal="right"/>
    </xf>
    <xf numFmtId="3" fontId="28" fillId="0" borderId="0" xfId="39" applyNumberFormat="1" applyFont="1" applyFill="1" applyBorder="1" applyAlignment="1">
      <alignment horizontal="left"/>
    </xf>
    <xf numFmtId="3" fontId="21" fillId="0" borderId="0" xfId="0" applyNumberFormat="1" applyFont="1" applyAlignment="1">
      <alignment vertical="center"/>
    </xf>
    <xf numFmtId="10" fontId="21" fillId="0" borderId="4" xfId="45" applyNumberFormat="1" applyFont="1" applyBorder="1" applyAlignment="1">
      <alignment vertical="center"/>
    </xf>
    <xf numFmtId="0" fontId="24" fillId="0" borderId="3" xfId="0" applyFont="1" applyFill="1" applyBorder="1" applyAlignment="1">
      <alignment horizontal="right" vertical="center"/>
    </xf>
    <xf numFmtId="0" fontId="24" fillId="0" borderId="6" xfId="0" applyFont="1" applyFill="1" applyBorder="1" applyAlignment="1">
      <alignment horizontal="right" vertical="center"/>
    </xf>
    <xf numFmtId="14" fontId="24" fillId="3" borderId="5" xfId="0" applyNumberFormat="1" applyFont="1" applyFill="1" applyBorder="1" applyAlignment="1">
      <alignment vertical="center"/>
    </xf>
    <xf numFmtId="166" fontId="20" fillId="4" borderId="0" xfId="0" applyNumberFormat="1" applyFont="1" applyFill="1" applyAlignment="1">
      <alignment vertical="center"/>
    </xf>
    <xf numFmtId="10" fontId="24" fillId="0" borderId="3" xfId="45" applyNumberFormat="1" applyFont="1" applyBorder="1" applyAlignment="1">
      <alignment vertical="center"/>
    </xf>
    <xf numFmtId="0" fontId="25" fillId="0" borderId="0" xfId="0" applyFont="1" applyFill="1" applyAlignment="1">
      <alignment vertical="center"/>
    </xf>
    <xf numFmtId="0" fontId="25" fillId="0" borderId="0" xfId="0" applyFont="1" applyAlignment="1">
      <alignment vertical="center"/>
    </xf>
    <xf numFmtId="3" fontId="24" fillId="0" borderId="3" xfId="0" applyNumberFormat="1" applyFont="1" applyFill="1" applyBorder="1" applyAlignment="1">
      <alignment horizontal="right" vertical="center"/>
    </xf>
    <xf numFmtId="166" fontId="24" fillId="0" borderId="3" xfId="0" applyNumberFormat="1" applyFont="1" applyFill="1" applyBorder="1" applyAlignment="1">
      <alignment vertical="center" wrapText="1"/>
    </xf>
    <xf numFmtId="166" fontId="24" fillId="3" borderId="5" xfId="0" applyNumberFormat="1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Fill="1" applyAlignment="1">
      <alignment vertical="center"/>
    </xf>
    <xf numFmtId="1" fontId="0" fillId="0" borderId="0" xfId="0" applyNumberFormat="1"/>
    <xf numFmtId="3" fontId="25" fillId="0" borderId="4" xfId="0" applyNumberFormat="1" applyFont="1" applyBorder="1" applyAlignment="1">
      <alignment vertical="center" wrapText="1"/>
    </xf>
    <xf numFmtId="3" fontId="25" fillId="5" borderId="5" xfId="0" applyNumberFormat="1" applyFont="1" applyFill="1" applyBorder="1"/>
    <xf numFmtId="3" fontId="25" fillId="6" borderId="7" xfId="0" applyNumberFormat="1" applyFont="1" applyFill="1" applyBorder="1"/>
    <xf numFmtId="3" fontId="25" fillId="7" borderId="1" xfId="0" applyNumberFormat="1" applyFont="1" applyFill="1" applyBorder="1"/>
    <xf numFmtId="3" fontId="24" fillId="0" borderId="3" xfId="0" applyNumberFormat="1" applyFont="1" applyBorder="1" applyAlignment="1">
      <alignment horizontal="right"/>
    </xf>
    <xf numFmtId="3" fontId="26" fillId="8" borderId="1" xfId="0" applyNumberFormat="1" applyFont="1" applyFill="1" applyBorder="1"/>
    <xf numFmtId="3" fontId="25" fillId="0" borderId="4" xfId="0" applyNumberFormat="1" applyFont="1" applyFill="1" applyBorder="1" applyAlignment="1">
      <alignment vertical="center" wrapText="1"/>
    </xf>
    <xf numFmtId="4" fontId="21" fillId="0" borderId="0" xfId="0" applyNumberFormat="1" applyFont="1" applyFill="1" applyAlignment="1">
      <alignment vertical="center"/>
    </xf>
    <xf numFmtId="2" fontId="0" fillId="0" borderId="0" xfId="0" applyNumberFormat="1"/>
    <xf numFmtId="0" fontId="24" fillId="9" borderId="0" xfId="0" applyFont="1" applyFill="1" applyBorder="1" applyAlignment="1">
      <alignment vertical="center"/>
    </xf>
    <xf numFmtId="0" fontId="51" fillId="9" borderId="5" xfId="0" applyFont="1" applyFill="1" applyBorder="1" applyAlignment="1">
      <alignment vertical="center"/>
    </xf>
    <xf numFmtId="166" fontId="20" fillId="3" borderId="0" xfId="0" applyNumberFormat="1" applyFont="1" applyFill="1" applyAlignment="1">
      <alignment vertical="center"/>
    </xf>
    <xf numFmtId="3" fontId="52" fillId="0" borderId="0" xfId="0" applyNumberFormat="1" applyFont="1"/>
    <xf numFmtId="166" fontId="20" fillId="9" borderId="0" xfId="0" applyNumberFormat="1" applyFont="1" applyFill="1" applyAlignment="1">
      <alignment horizontal="lef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7" fillId="0" borderId="0" xfId="0" applyFont="1" applyAlignment="1">
      <alignment horizontal="center" vertical="center"/>
    </xf>
    <xf numFmtId="166" fontId="27" fillId="0" borderId="15" xfId="0" applyNumberFormat="1" applyFont="1" applyBorder="1" applyAlignment="1">
      <alignment horizontal="center" vertical="center"/>
    </xf>
    <xf numFmtId="0" fontId="24" fillId="0" borderId="3" xfId="0" applyFont="1" applyFill="1" applyBorder="1" applyAlignment="1">
      <alignment horizontal="left" vertical="center" wrapText="1"/>
    </xf>
    <xf numFmtId="0" fontId="24" fillId="0" borderId="6" xfId="0" applyFont="1" applyFill="1" applyBorder="1" applyAlignment="1">
      <alignment horizontal="left" vertical="center" wrapText="1"/>
    </xf>
    <xf numFmtId="0" fontId="25" fillId="0" borderId="4" xfId="0" applyFont="1" applyFill="1" applyBorder="1" applyAlignment="1">
      <alignment horizontal="left" vertical="center" wrapText="1"/>
    </xf>
    <xf numFmtId="0" fontId="25" fillId="0" borderId="10" xfId="0" applyFont="1" applyFill="1" applyBorder="1" applyAlignment="1">
      <alignment horizontal="left" vertical="center" wrapText="1"/>
    </xf>
    <xf numFmtId="0" fontId="25" fillId="0" borderId="1" xfId="0" applyFont="1" applyFill="1" applyBorder="1" applyAlignment="1">
      <alignment horizontal="left" vertical="center" wrapText="1"/>
    </xf>
    <xf numFmtId="0" fontId="25" fillId="0" borderId="9" xfId="0" applyFont="1" applyFill="1" applyBorder="1" applyAlignment="1">
      <alignment horizontal="left" vertical="center" wrapText="1"/>
    </xf>
    <xf numFmtId="0" fontId="25" fillId="0" borderId="1" xfId="0" applyFont="1" applyFill="1" applyBorder="1" applyAlignment="1">
      <alignment horizontal="left" vertical="center" wrapText="1" indent="1"/>
    </xf>
    <xf numFmtId="0" fontId="25" fillId="0" borderId="9" xfId="0" applyFont="1" applyFill="1" applyBorder="1" applyAlignment="1">
      <alignment horizontal="left" vertical="center" wrapText="1" indent="1"/>
    </xf>
    <xf numFmtId="0" fontId="25" fillId="0" borderId="2" xfId="0" applyFont="1" applyFill="1" applyBorder="1" applyAlignment="1">
      <alignment horizontal="left" vertical="center" wrapText="1" indent="1"/>
    </xf>
    <xf numFmtId="0" fontId="25" fillId="0" borderId="16" xfId="0" applyFont="1" applyFill="1" applyBorder="1" applyAlignment="1">
      <alignment horizontal="left" vertical="center" wrapText="1" indent="1"/>
    </xf>
    <xf numFmtId="0" fontId="25" fillId="0" borderId="2" xfId="0" applyFont="1" applyFill="1" applyBorder="1" applyAlignment="1">
      <alignment horizontal="left" vertical="center" wrapText="1"/>
    </xf>
    <xf numFmtId="0" fontId="25" fillId="0" borderId="16" xfId="0" applyFont="1" applyFill="1" applyBorder="1" applyAlignment="1">
      <alignment horizontal="left" vertical="center" wrapText="1"/>
    </xf>
    <xf numFmtId="0" fontId="24" fillId="0" borderId="3" xfId="0" applyFont="1" applyBorder="1" applyAlignment="1">
      <alignment horizontal="left" vertical="center" wrapText="1"/>
    </xf>
    <xf numFmtId="0" fontId="24" fillId="0" borderId="6" xfId="0" applyFont="1" applyBorder="1" applyAlignment="1">
      <alignment horizontal="left" vertical="center" wrapText="1"/>
    </xf>
    <xf numFmtId="0" fontId="20" fillId="2" borderId="5" xfId="0" applyFont="1" applyFill="1" applyBorder="1" applyAlignment="1">
      <alignment horizontal="right" vertical="center"/>
    </xf>
    <xf numFmtId="0" fontId="25" fillId="6" borderId="7" xfId="0" applyFont="1" applyFill="1" applyBorder="1" applyAlignment="1">
      <alignment horizontal="left" vertical="center"/>
    </xf>
    <xf numFmtId="0" fontId="25" fillId="6" borderId="8" xfId="0" applyFont="1" applyFill="1" applyBorder="1" applyAlignment="1">
      <alignment horizontal="left" vertical="center"/>
    </xf>
    <xf numFmtId="0" fontId="25" fillId="7" borderId="1" xfId="0" applyFont="1" applyFill="1" applyBorder="1" applyAlignment="1">
      <alignment horizontal="left" vertical="center"/>
    </xf>
    <xf numFmtId="0" fontId="25" fillId="7" borderId="9" xfId="0" applyFont="1" applyFill="1" applyBorder="1" applyAlignment="1">
      <alignment horizontal="left" vertical="center"/>
    </xf>
    <xf numFmtId="0" fontId="26" fillId="8" borderId="1" xfId="0" applyFont="1" applyFill="1" applyBorder="1" applyAlignment="1">
      <alignment horizontal="left" vertical="center"/>
    </xf>
    <xf numFmtId="0" fontId="26" fillId="8" borderId="9" xfId="0" applyFont="1" applyFill="1" applyBorder="1" applyAlignment="1">
      <alignment horizontal="left" vertical="center"/>
    </xf>
    <xf numFmtId="0" fontId="25" fillId="5" borderId="5" xfId="0" applyFont="1" applyFill="1" applyBorder="1" applyAlignment="1">
      <alignment horizontal="left" vertical="center" wrapText="1"/>
    </xf>
    <xf numFmtId="0" fontId="25" fillId="5" borderId="11" xfId="0" applyFont="1" applyFill="1" applyBorder="1" applyAlignment="1">
      <alignment horizontal="left" vertical="center" wrapText="1"/>
    </xf>
    <xf numFmtId="0" fontId="25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left" vertical="center" wrapText="1"/>
    </xf>
    <xf numFmtId="3" fontId="25" fillId="0" borderId="18" xfId="0" applyNumberFormat="1" applyFont="1" applyBorder="1" applyAlignment="1">
      <alignment horizontal="right" vertical="center"/>
    </xf>
    <xf numFmtId="3" fontId="25" fillId="0" borderId="7" xfId="0" applyNumberFormat="1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 wrapText="1"/>
    </xf>
    <xf numFmtId="0" fontId="25" fillId="0" borderId="9" xfId="0" applyFont="1" applyBorder="1" applyAlignment="1">
      <alignment horizontal="left" vertical="center" wrapText="1"/>
    </xf>
    <xf numFmtId="3" fontId="25" fillId="0" borderId="19" xfId="0" applyNumberFormat="1" applyFont="1" applyBorder="1" applyAlignment="1">
      <alignment horizontal="right" vertical="center"/>
    </xf>
    <xf numFmtId="3" fontId="25" fillId="0" borderId="1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0" xfId="0" applyFont="1" applyBorder="1" applyAlignment="1">
      <alignment horizontal="left" vertical="center" wrapText="1"/>
    </xf>
    <xf numFmtId="14" fontId="24" fillId="0" borderId="30" xfId="0" applyNumberFormat="1" applyFont="1" applyBorder="1" applyAlignment="1">
      <alignment horizontal="center" vertical="center" wrapText="1"/>
    </xf>
    <xf numFmtId="14" fontId="24" fillId="0" borderId="13" xfId="0" applyNumberFormat="1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1" fontId="25" fillId="0" borderId="20" xfId="45" applyNumberFormat="1" applyFont="1" applyBorder="1" applyAlignment="1">
      <alignment horizontal="center" vertical="center"/>
    </xf>
    <xf numFmtId="1" fontId="25" fillId="0" borderId="12" xfId="45" applyNumberFormat="1" applyFont="1" applyBorder="1" applyAlignment="1">
      <alignment horizontal="center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14" fontId="24" fillId="0" borderId="13" xfId="0" applyNumberFormat="1" applyFont="1" applyFill="1" applyBorder="1" applyAlignment="1">
      <alignment horizontal="right" vertical="center" wrapText="1"/>
    </xf>
    <xf numFmtId="14" fontId="24" fillId="0" borderId="3" xfId="0" applyNumberFormat="1" applyFont="1" applyFill="1" applyBorder="1" applyAlignment="1">
      <alignment horizontal="right" vertical="center" wrapText="1"/>
    </xf>
    <xf numFmtId="0" fontId="25" fillId="0" borderId="12" xfId="0" applyFont="1" applyBorder="1" applyAlignment="1">
      <alignment horizontal="left" vertical="center" wrapText="1"/>
    </xf>
    <xf numFmtId="3" fontId="25" fillId="0" borderId="20" xfId="0" applyNumberFormat="1" applyFont="1" applyBorder="1" applyAlignment="1">
      <alignment horizontal="right" vertical="center"/>
    </xf>
    <xf numFmtId="3" fontId="25" fillId="0" borderId="12" xfId="0" applyNumberFormat="1" applyFont="1" applyBorder="1" applyAlignment="1">
      <alignment horizontal="right" vertical="center"/>
    </xf>
  </cellXfs>
  <cellStyles count="675">
    <cellStyle name="20% - Акцент1" xfId="1" builtinId="30" customBuiltin="1"/>
    <cellStyle name="20% - Акцент1 10" xfId="646"/>
    <cellStyle name="20% - Акцент1 11" xfId="660"/>
    <cellStyle name="20% - Акцент1 2" xfId="52"/>
    <cellStyle name="20% - Акцент1 2 2" xfId="98"/>
    <cellStyle name="20% - Акцент1 2 2 2" xfId="190"/>
    <cellStyle name="20% - Акцент1 2 2 2 2" xfId="540"/>
    <cellStyle name="20% - Акцент1 2 2 3" xfId="448"/>
    <cellStyle name="20% - Акцент1 2 2 4" xfId="356"/>
    <cellStyle name="20% - Акцент1 2 3" xfId="144"/>
    <cellStyle name="20% - Акцент1 2 3 2" xfId="494"/>
    <cellStyle name="20% - Акцент1 2 4" xfId="236"/>
    <cellStyle name="20% - Акцент1 2 4 2" xfId="586"/>
    <cellStyle name="20% - Акцент1 2 5" xfId="402"/>
    <cellStyle name="20% - Акцент1 2 6" xfId="310"/>
    <cellStyle name="20% - Акцент1 3" xfId="70"/>
    <cellStyle name="20% - Акцент1 3 2" xfId="116"/>
    <cellStyle name="20% - Акцент1 3 2 2" xfId="208"/>
    <cellStyle name="20% - Акцент1 3 2 2 2" xfId="558"/>
    <cellStyle name="20% - Акцент1 3 2 3" xfId="466"/>
    <cellStyle name="20% - Акцент1 3 2 4" xfId="374"/>
    <cellStyle name="20% - Акцент1 3 3" xfId="162"/>
    <cellStyle name="20% - Акцент1 3 3 2" xfId="512"/>
    <cellStyle name="20% - Акцент1 3 4" xfId="254"/>
    <cellStyle name="20% - Акцент1 3 4 2" xfId="604"/>
    <cellStyle name="20% - Акцент1 3 5" xfId="420"/>
    <cellStyle name="20% - Акцент1 3 6" xfId="328"/>
    <cellStyle name="20% - Акцент1 4" xfId="82"/>
    <cellStyle name="20% - Акцент1 4 2" xfId="174"/>
    <cellStyle name="20% - Акцент1 4 2 2" xfId="524"/>
    <cellStyle name="20% - Акцент1 4 3" xfId="268"/>
    <cellStyle name="20% - Акцент1 4 3 2" xfId="618"/>
    <cellStyle name="20% - Акцент1 4 4" xfId="432"/>
    <cellStyle name="20% - Акцент1 4 5" xfId="340"/>
    <cellStyle name="20% - Акцент1 5" xfId="128"/>
    <cellStyle name="20% - Акцент1 5 2" xfId="478"/>
    <cellStyle name="20% - Акцент1 6" xfId="220"/>
    <cellStyle name="20% - Акцент1 6 2" xfId="570"/>
    <cellStyle name="20% - Акцент1 7" xfId="282"/>
    <cellStyle name="20% - Акцент1 7 2" xfId="632"/>
    <cellStyle name="20% - Акцент1 8" xfId="386"/>
    <cellStyle name="20% - Акцент1 9" xfId="294"/>
    <cellStyle name="20% - Акцент2" xfId="2" builtinId="34" customBuiltin="1"/>
    <cellStyle name="20% - Акцент2 10" xfId="648"/>
    <cellStyle name="20% - Акцент2 11" xfId="662"/>
    <cellStyle name="20% - Акцент2 2" xfId="54"/>
    <cellStyle name="20% - Акцент2 2 2" xfId="100"/>
    <cellStyle name="20% - Акцент2 2 2 2" xfId="192"/>
    <cellStyle name="20% - Акцент2 2 2 2 2" xfId="542"/>
    <cellStyle name="20% - Акцент2 2 2 3" xfId="450"/>
    <cellStyle name="20% - Акцент2 2 2 4" xfId="358"/>
    <cellStyle name="20% - Акцент2 2 3" xfId="146"/>
    <cellStyle name="20% - Акцент2 2 3 2" xfId="496"/>
    <cellStyle name="20% - Акцент2 2 4" xfId="238"/>
    <cellStyle name="20% - Акцент2 2 4 2" xfId="588"/>
    <cellStyle name="20% - Акцент2 2 5" xfId="404"/>
    <cellStyle name="20% - Акцент2 2 6" xfId="312"/>
    <cellStyle name="20% - Акцент2 3" xfId="72"/>
    <cellStyle name="20% - Акцент2 3 2" xfId="118"/>
    <cellStyle name="20% - Акцент2 3 2 2" xfId="210"/>
    <cellStyle name="20% - Акцент2 3 2 2 2" xfId="560"/>
    <cellStyle name="20% - Акцент2 3 2 3" xfId="468"/>
    <cellStyle name="20% - Акцент2 3 2 4" xfId="376"/>
    <cellStyle name="20% - Акцент2 3 3" xfId="164"/>
    <cellStyle name="20% - Акцент2 3 3 2" xfId="514"/>
    <cellStyle name="20% - Акцент2 3 4" xfId="256"/>
    <cellStyle name="20% - Акцент2 3 4 2" xfId="606"/>
    <cellStyle name="20% - Акцент2 3 5" xfId="422"/>
    <cellStyle name="20% - Акцент2 3 6" xfId="330"/>
    <cellStyle name="20% - Акцент2 4" xfId="83"/>
    <cellStyle name="20% - Акцент2 4 2" xfId="175"/>
    <cellStyle name="20% - Акцент2 4 2 2" xfId="525"/>
    <cellStyle name="20% - Акцент2 4 3" xfId="270"/>
    <cellStyle name="20% - Акцент2 4 3 2" xfId="620"/>
    <cellStyle name="20% - Акцент2 4 4" xfId="433"/>
    <cellStyle name="20% - Акцент2 4 5" xfId="341"/>
    <cellStyle name="20% - Акцент2 5" xfId="129"/>
    <cellStyle name="20% - Акцент2 5 2" xfId="479"/>
    <cellStyle name="20% - Акцент2 6" xfId="221"/>
    <cellStyle name="20% - Акцент2 6 2" xfId="571"/>
    <cellStyle name="20% - Акцент2 7" xfId="284"/>
    <cellStyle name="20% - Акцент2 7 2" xfId="634"/>
    <cellStyle name="20% - Акцент2 8" xfId="387"/>
    <cellStyle name="20% - Акцент2 9" xfId="295"/>
    <cellStyle name="20% - Акцент3" xfId="3" builtinId="38" customBuiltin="1"/>
    <cellStyle name="20% - Акцент3 10" xfId="650"/>
    <cellStyle name="20% - Акцент3 11" xfId="664"/>
    <cellStyle name="20% - Акцент3 2" xfId="56"/>
    <cellStyle name="20% - Акцент3 2 2" xfId="102"/>
    <cellStyle name="20% - Акцент3 2 2 2" xfId="194"/>
    <cellStyle name="20% - Акцент3 2 2 2 2" xfId="544"/>
    <cellStyle name="20% - Акцент3 2 2 3" xfId="452"/>
    <cellStyle name="20% - Акцент3 2 2 4" xfId="360"/>
    <cellStyle name="20% - Акцент3 2 3" xfId="148"/>
    <cellStyle name="20% - Акцент3 2 3 2" xfId="498"/>
    <cellStyle name="20% - Акцент3 2 4" xfId="240"/>
    <cellStyle name="20% - Акцент3 2 4 2" xfId="590"/>
    <cellStyle name="20% - Акцент3 2 5" xfId="406"/>
    <cellStyle name="20% - Акцент3 2 6" xfId="314"/>
    <cellStyle name="20% - Акцент3 3" xfId="74"/>
    <cellStyle name="20% - Акцент3 3 2" xfId="120"/>
    <cellStyle name="20% - Акцент3 3 2 2" xfId="212"/>
    <cellStyle name="20% - Акцент3 3 2 2 2" xfId="562"/>
    <cellStyle name="20% - Акцент3 3 2 3" xfId="470"/>
    <cellStyle name="20% - Акцент3 3 2 4" xfId="378"/>
    <cellStyle name="20% - Акцент3 3 3" xfId="166"/>
    <cellStyle name="20% - Акцент3 3 3 2" xfId="516"/>
    <cellStyle name="20% - Акцент3 3 4" xfId="258"/>
    <cellStyle name="20% - Акцент3 3 4 2" xfId="608"/>
    <cellStyle name="20% - Акцент3 3 5" xfId="424"/>
    <cellStyle name="20% - Акцент3 3 6" xfId="332"/>
    <cellStyle name="20% - Акцент3 4" xfId="84"/>
    <cellStyle name="20% - Акцент3 4 2" xfId="176"/>
    <cellStyle name="20% - Акцент3 4 2 2" xfId="526"/>
    <cellStyle name="20% - Акцент3 4 3" xfId="272"/>
    <cellStyle name="20% - Акцент3 4 3 2" xfId="622"/>
    <cellStyle name="20% - Акцент3 4 4" xfId="434"/>
    <cellStyle name="20% - Акцент3 4 5" xfId="342"/>
    <cellStyle name="20% - Акцент3 5" xfId="130"/>
    <cellStyle name="20% - Акцент3 5 2" xfId="480"/>
    <cellStyle name="20% - Акцент3 6" xfId="222"/>
    <cellStyle name="20% - Акцент3 6 2" xfId="572"/>
    <cellStyle name="20% - Акцент3 7" xfId="286"/>
    <cellStyle name="20% - Акцент3 7 2" xfId="636"/>
    <cellStyle name="20% - Акцент3 8" xfId="388"/>
    <cellStyle name="20% - Акцент3 9" xfId="296"/>
    <cellStyle name="20% - Акцент4" xfId="4" builtinId="42" customBuiltin="1"/>
    <cellStyle name="20% - Акцент4 10" xfId="652"/>
    <cellStyle name="20% - Акцент4 11" xfId="666"/>
    <cellStyle name="20% - Акцент4 2" xfId="58"/>
    <cellStyle name="20% - Акцент4 2 2" xfId="104"/>
    <cellStyle name="20% - Акцент4 2 2 2" xfId="196"/>
    <cellStyle name="20% - Акцент4 2 2 2 2" xfId="546"/>
    <cellStyle name="20% - Акцент4 2 2 3" xfId="454"/>
    <cellStyle name="20% - Акцент4 2 2 4" xfId="362"/>
    <cellStyle name="20% - Акцент4 2 3" xfId="150"/>
    <cellStyle name="20% - Акцент4 2 3 2" xfId="500"/>
    <cellStyle name="20% - Акцент4 2 4" xfId="242"/>
    <cellStyle name="20% - Акцент4 2 4 2" xfId="592"/>
    <cellStyle name="20% - Акцент4 2 5" xfId="408"/>
    <cellStyle name="20% - Акцент4 2 6" xfId="316"/>
    <cellStyle name="20% - Акцент4 3" xfId="76"/>
    <cellStyle name="20% - Акцент4 3 2" xfId="122"/>
    <cellStyle name="20% - Акцент4 3 2 2" xfId="214"/>
    <cellStyle name="20% - Акцент4 3 2 2 2" xfId="564"/>
    <cellStyle name="20% - Акцент4 3 2 3" xfId="472"/>
    <cellStyle name="20% - Акцент4 3 2 4" xfId="380"/>
    <cellStyle name="20% - Акцент4 3 3" xfId="168"/>
    <cellStyle name="20% - Акцент4 3 3 2" xfId="518"/>
    <cellStyle name="20% - Акцент4 3 4" xfId="260"/>
    <cellStyle name="20% - Акцент4 3 4 2" xfId="610"/>
    <cellStyle name="20% - Акцент4 3 5" xfId="426"/>
    <cellStyle name="20% - Акцент4 3 6" xfId="334"/>
    <cellStyle name="20% - Акцент4 4" xfId="85"/>
    <cellStyle name="20% - Акцент4 4 2" xfId="177"/>
    <cellStyle name="20% - Акцент4 4 2 2" xfId="527"/>
    <cellStyle name="20% - Акцент4 4 3" xfId="274"/>
    <cellStyle name="20% - Акцент4 4 3 2" xfId="624"/>
    <cellStyle name="20% - Акцент4 4 4" xfId="435"/>
    <cellStyle name="20% - Акцент4 4 5" xfId="343"/>
    <cellStyle name="20% - Акцент4 5" xfId="131"/>
    <cellStyle name="20% - Акцент4 5 2" xfId="481"/>
    <cellStyle name="20% - Акцент4 6" xfId="223"/>
    <cellStyle name="20% - Акцент4 6 2" xfId="573"/>
    <cellStyle name="20% - Акцент4 7" xfId="288"/>
    <cellStyle name="20% - Акцент4 7 2" xfId="638"/>
    <cellStyle name="20% - Акцент4 8" xfId="389"/>
    <cellStyle name="20% - Акцент4 9" xfId="297"/>
    <cellStyle name="20% - Акцент5" xfId="5" builtinId="46" customBuiltin="1"/>
    <cellStyle name="20% - Акцент5 10" xfId="654"/>
    <cellStyle name="20% - Акцент5 11" xfId="668"/>
    <cellStyle name="20% - Акцент5 2" xfId="60"/>
    <cellStyle name="20% - Акцент5 2 2" xfId="106"/>
    <cellStyle name="20% - Акцент5 2 2 2" xfId="198"/>
    <cellStyle name="20% - Акцент5 2 2 2 2" xfId="548"/>
    <cellStyle name="20% - Акцент5 2 2 3" xfId="456"/>
    <cellStyle name="20% - Акцент5 2 2 4" xfId="364"/>
    <cellStyle name="20% - Акцент5 2 3" xfId="152"/>
    <cellStyle name="20% - Акцент5 2 3 2" xfId="502"/>
    <cellStyle name="20% - Акцент5 2 4" xfId="244"/>
    <cellStyle name="20% - Акцент5 2 4 2" xfId="594"/>
    <cellStyle name="20% - Акцент5 2 5" xfId="410"/>
    <cellStyle name="20% - Акцент5 2 6" xfId="318"/>
    <cellStyle name="20% - Акцент5 3" xfId="78"/>
    <cellStyle name="20% - Акцент5 3 2" xfId="124"/>
    <cellStyle name="20% - Акцент5 3 2 2" xfId="216"/>
    <cellStyle name="20% - Акцент5 3 2 2 2" xfId="566"/>
    <cellStyle name="20% - Акцент5 3 2 3" xfId="474"/>
    <cellStyle name="20% - Акцент5 3 2 4" xfId="382"/>
    <cellStyle name="20% - Акцент5 3 3" xfId="170"/>
    <cellStyle name="20% - Акцент5 3 3 2" xfId="520"/>
    <cellStyle name="20% - Акцент5 3 4" xfId="262"/>
    <cellStyle name="20% - Акцент5 3 4 2" xfId="612"/>
    <cellStyle name="20% - Акцент5 3 5" xfId="428"/>
    <cellStyle name="20% - Акцент5 3 6" xfId="336"/>
    <cellStyle name="20% - Акцент5 4" xfId="86"/>
    <cellStyle name="20% - Акцент5 4 2" xfId="178"/>
    <cellStyle name="20% - Акцент5 4 2 2" xfId="528"/>
    <cellStyle name="20% - Акцент5 4 3" xfId="276"/>
    <cellStyle name="20% - Акцент5 4 3 2" xfId="626"/>
    <cellStyle name="20% - Акцент5 4 4" xfId="436"/>
    <cellStyle name="20% - Акцент5 4 5" xfId="344"/>
    <cellStyle name="20% - Акцент5 5" xfId="132"/>
    <cellStyle name="20% - Акцент5 5 2" xfId="482"/>
    <cellStyle name="20% - Акцент5 6" xfId="224"/>
    <cellStyle name="20% - Акцент5 6 2" xfId="574"/>
    <cellStyle name="20% - Акцент5 7" xfId="290"/>
    <cellStyle name="20% - Акцент5 7 2" xfId="640"/>
    <cellStyle name="20% - Акцент5 8" xfId="390"/>
    <cellStyle name="20% - Акцент5 9" xfId="298"/>
    <cellStyle name="20% - Акцент6" xfId="6" builtinId="50" customBuiltin="1"/>
    <cellStyle name="20% - Акцент6 10" xfId="656"/>
    <cellStyle name="20% - Акцент6 11" xfId="670"/>
    <cellStyle name="20% - Акцент6 2" xfId="62"/>
    <cellStyle name="20% - Акцент6 2 2" xfId="108"/>
    <cellStyle name="20% - Акцент6 2 2 2" xfId="200"/>
    <cellStyle name="20% - Акцент6 2 2 2 2" xfId="550"/>
    <cellStyle name="20% - Акцент6 2 2 3" xfId="458"/>
    <cellStyle name="20% - Акцент6 2 2 4" xfId="366"/>
    <cellStyle name="20% - Акцент6 2 3" xfId="154"/>
    <cellStyle name="20% - Акцент6 2 3 2" xfId="504"/>
    <cellStyle name="20% - Акцент6 2 4" xfId="246"/>
    <cellStyle name="20% - Акцент6 2 4 2" xfId="596"/>
    <cellStyle name="20% - Акцент6 2 5" xfId="412"/>
    <cellStyle name="20% - Акцент6 2 6" xfId="320"/>
    <cellStyle name="20% - Акцент6 3" xfId="80"/>
    <cellStyle name="20% - Акцент6 3 2" xfId="126"/>
    <cellStyle name="20% - Акцент6 3 2 2" xfId="218"/>
    <cellStyle name="20% - Акцент6 3 2 2 2" xfId="568"/>
    <cellStyle name="20% - Акцент6 3 2 3" xfId="476"/>
    <cellStyle name="20% - Акцент6 3 2 4" xfId="384"/>
    <cellStyle name="20% - Акцент6 3 3" xfId="172"/>
    <cellStyle name="20% - Акцент6 3 3 2" xfId="522"/>
    <cellStyle name="20% - Акцент6 3 4" xfId="264"/>
    <cellStyle name="20% - Акцент6 3 4 2" xfId="614"/>
    <cellStyle name="20% - Акцент6 3 5" xfId="430"/>
    <cellStyle name="20% - Акцент6 3 6" xfId="338"/>
    <cellStyle name="20% - Акцент6 4" xfId="87"/>
    <cellStyle name="20% - Акцент6 4 2" xfId="179"/>
    <cellStyle name="20% - Акцент6 4 2 2" xfId="529"/>
    <cellStyle name="20% - Акцент6 4 3" xfId="278"/>
    <cellStyle name="20% - Акцент6 4 3 2" xfId="628"/>
    <cellStyle name="20% - Акцент6 4 4" xfId="437"/>
    <cellStyle name="20% - Акцент6 4 5" xfId="345"/>
    <cellStyle name="20% - Акцент6 5" xfId="133"/>
    <cellStyle name="20% - Акцент6 5 2" xfId="483"/>
    <cellStyle name="20% - Акцент6 6" xfId="225"/>
    <cellStyle name="20% - Акцент6 6 2" xfId="575"/>
    <cellStyle name="20% - Акцент6 7" xfId="292"/>
    <cellStyle name="20% - Акцент6 7 2" xfId="642"/>
    <cellStyle name="20% - Акцент6 8" xfId="391"/>
    <cellStyle name="20% - Акцент6 9" xfId="299"/>
    <cellStyle name="40% - Акцент1" xfId="7" builtinId="31" customBuiltin="1"/>
    <cellStyle name="40% - Акцент1 10" xfId="647"/>
    <cellStyle name="40% - Акцент1 11" xfId="661"/>
    <cellStyle name="40% - Акцент1 2" xfId="53"/>
    <cellStyle name="40% - Акцент1 2 2" xfId="99"/>
    <cellStyle name="40% - Акцент1 2 2 2" xfId="191"/>
    <cellStyle name="40% - Акцент1 2 2 2 2" xfId="541"/>
    <cellStyle name="40% - Акцент1 2 2 3" xfId="449"/>
    <cellStyle name="40% - Акцент1 2 2 4" xfId="357"/>
    <cellStyle name="40% - Акцент1 2 3" xfId="145"/>
    <cellStyle name="40% - Акцент1 2 3 2" xfId="495"/>
    <cellStyle name="40% - Акцент1 2 4" xfId="237"/>
    <cellStyle name="40% - Акцент1 2 4 2" xfId="587"/>
    <cellStyle name="40% - Акцент1 2 5" xfId="403"/>
    <cellStyle name="40% - Акцент1 2 6" xfId="311"/>
    <cellStyle name="40% - Акцент1 3" xfId="71"/>
    <cellStyle name="40% - Акцент1 3 2" xfId="117"/>
    <cellStyle name="40% - Акцент1 3 2 2" xfId="209"/>
    <cellStyle name="40% - Акцент1 3 2 2 2" xfId="559"/>
    <cellStyle name="40% - Акцент1 3 2 3" xfId="467"/>
    <cellStyle name="40% - Акцент1 3 2 4" xfId="375"/>
    <cellStyle name="40% - Акцент1 3 3" xfId="163"/>
    <cellStyle name="40% - Акцент1 3 3 2" xfId="513"/>
    <cellStyle name="40% - Акцент1 3 4" xfId="255"/>
    <cellStyle name="40% - Акцент1 3 4 2" xfId="605"/>
    <cellStyle name="40% - Акцент1 3 5" xfId="421"/>
    <cellStyle name="40% - Акцент1 3 6" xfId="329"/>
    <cellStyle name="40% - Акцент1 4" xfId="88"/>
    <cellStyle name="40% - Акцент1 4 2" xfId="180"/>
    <cellStyle name="40% - Акцент1 4 2 2" xfId="530"/>
    <cellStyle name="40% - Акцент1 4 3" xfId="269"/>
    <cellStyle name="40% - Акцент1 4 3 2" xfId="619"/>
    <cellStyle name="40% - Акцент1 4 4" xfId="438"/>
    <cellStyle name="40% - Акцент1 4 5" xfId="346"/>
    <cellStyle name="40% - Акцент1 5" xfId="134"/>
    <cellStyle name="40% - Акцент1 5 2" xfId="484"/>
    <cellStyle name="40% - Акцент1 6" xfId="226"/>
    <cellStyle name="40% - Акцент1 6 2" xfId="576"/>
    <cellStyle name="40% - Акцент1 7" xfId="283"/>
    <cellStyle name="40% - Акцент1 7 2" xfId="633"/>
    <cellStyle name="40% - Акцент1 8" xfId="392"/>
    <cellStyle name="40% - Акцент1 9" xfId="300"/>
    <cellStyle name="40% - Акцент2" xfId="8" builtinId="35" customBuiltin="1"/>
    <cellStyle name="40% - Акцент2 10" xfId="649"/>
    <cellStyle name="40% - Акцент2 11" xfId="663"/>
    <cellStyle name="40% - Акцент2 2" xfId="55"/>
    <cellStyle name="40% - Акцент2 2 2" xfId="101"/>
    <cellStyle name="40% - Акцент2 2 2 2" xfId="193"/>
    <cellStyle name="40% - Акцент2 2 2 2 2" xfId="543"/>
    <cellStyle name="40% - Акцент2 2 2 3" xfId="451"/>
    <cellStyle name="40% - Акцент2 2 2 4" xfId="359"/>
    <cellStyle name="40% - Акцент2 2 3" xfId="147"/>
    <cellStyle name="40% - Акцент2 2 3 2" xfId="497"/>
    <cellStyle name="40% - Акцент2 2 4" xfId="239"/>
    <cellStyle name="40% - Акцент2 2 4 2" xfId="589"/>
    <cellStyle name="40% - Акцент2 2 5" xfId="405"/>
    <cellStyle name="40% - Акцент2 2 6" xfId="313"/>
    <cellStyle name="40% - Акцент2 3" xfId="73"/>
    <cellStyle name="40% - Акцент2 3 2" xfId="119"/>
    <cellStyle name="40% - Акцент2 3 2 2" xfId="211"/>
    <cellStyle name="40% - Акцент2 3 2 2 2" xfId="561"/>
    <cellStyle name="40% - Акцент2 3 2 3" xfId="469"/>
    <cellStyle name="40% - Акцент2 3 2 4" xfId="377"/>
    <cellStyle name="40% - Акцент2 3 3" xfId="165"/>
    <cellStyle name="40% - Акцент2 3 3 2" xfId="515"/>
    <cellStyle name="40% - Акцент2 3 4" xfId="257"/>
    <cellStyle name="40% - Акцент2 3 4 2" xfId="607"/>
    <cellStyle name="40% - Акцент2 3 5" xfId="423"/>
    <cellStyle name="40% - Акцент2 3 6" xfId="331"/>
    <cellStyle name="40% - Акцент2 4" xfId="89"/>
    <cellStyle name="40% - Акцент2 4 2" xfId="181"/>
    <cellStyle name="40% - Акцент2 4 2 2" xfId="531"/>
    <cellStyle name="40% - Акцент2 4 3" xfId="271"/>
    <cellStyle name="40% - Акцент2 4 3 2" xfId="621"/>
    <cellStyle name="40% - Акцент2 4 4" xfId="439"/>
    <cellStyle name="40% - Акцент2 4 5" xfId="347"/>
    <cellStyle name="40% - Акцент2 5" xfId="135"/>
    <cellStyle name="40% - Акцент2 5 2" xfId="485"/>
    <cellStyle name="40% - Акцент2 6" xfId="227"/>
    <cellStyle name="40% - Акцент2 6 2" xfId="577"/>
    <cellStyle name="40% - Акцент2 7" xfId="285"/>
    <cellStyle name="40% - Акцент2 7 2" xfId="635"/>
    <cellStyle name="40% - Акцент2 8" xfId="393"/>
    <cellStyle name="40% - Акцент2 9" xfId="301"/>
    <cellStyle name="40% - Акцент3" xfId="9" builtinId="39" customBuiltin="1"/>
    <cellStyle name="40% - Акцент3 10" xfId="651"/>
    <cellStyle name="40% - Акцент3 11" xfId="665"/>
    <cellStyle name="40% - Акцент3 2" xfId="57"/>
    <cellStyle name="40% - Акцент3 2 2" xfId="103"/>
    <cellStyle name="40% - Акцент3 2 2 2" xfId="195"/>
    <cellStyle name="40% - Акцент3 2 2 2 2" xfId="545"/>
    <cellStyle name="40% - Акцент3 2 2 3" xfId="453"/>
    <cellStyle name="40% - Акцент3 2 2 4" xfId="361"/>
    <cellStyle name="40% - Акцент3 2 3" xfId="149"/>
    <cellStyle name="40% - Акцент3 2 3 2" xfId="499"/>
    <cellStyle name="40% - Акцент3 2 4" xfId="241"/>
    <cellStyle name="40% - Акцент3 2 4 2" xfId="591"/>
    <cellStyle name="40% - Акцент3 2 5" xfId="407"/>
    <cellStyle name="40% - Акцент3 2 6" xfId="315"/>
    <cellStyle name="40% - Акцент3 3" xfId="75"/>
    <cellStyle name="40% - Акцент3 3 2" xfId="121"/>
    <cellStyle name="40% - Акцент3 3 2 2" xfId="213"/>
    <cellStyle name="40% - Акцент3 3 2 2 2" xfId="563"/>
    <cellStyle name="40% - Акцент3 3 2 3" xfId="471"/>
    <cellStyle name="40% - Акцент3 3 2 4" xfId="379"/>
    <cellStyle name="40% - Акцент3 3 3" xfId="167"/>
    <cellStyle name="40% - Акцент3 3 3 2" xfId="517"/>
    <cellStyle name="40% - Акцент3 3 4" xfId="259"/>
    <cellStyle name="40% - Акцент3 3 4 2" xfId="609"/>
    <cellStyle name="40% - Акцент3 3 5" xfId="425"/>
    <cellStyle name="40% - Акцент3 3 6" xfId="333"/>
    <cellStyle name="40% - Акцент3 4" xfId="90"/>
    <cellStyle name="40% - Акцент3 4 2" xfId="182"/>
    <cellStyle name="40% - Акцент3 4 2 2" xfId="532"/>
    <cellStyle name="40% - Акцент3 4 3" xfId="273"/>
    <cellStyle name="40% - Акцент3 4 3 2" xfId="623"/>
    <cellStyle name="40% - Акцент3 4 4" xfId="440"/>
    <cellStyle name="40% - Акцент3 4 5" xfId="348"/>
    <cellStyle name="40% - Акцент3 5" xfId="136"/>
    <cellStyle name="40% - Акцент3 5 2" xfId="486"/>
    <cellStyle name="40% - Акцент3 6" xfId="228"/>
    <cellStyle name="40% - Акцент3 6 2" xfId="578"/>
    <cellStyle name="40% - Акцент3 7" xfId="287"/>
    <cellStyle name="40% - Акцент3 7 2" xfId="637"/>
    <cellStyle name="40% - Акцент3 8" xfId="394"/>
    <cellStyle name="40% - Акцент3 9" xfId="302"/>
    <cellStyle name="40% - Акцент4" xfId="10" builtinId="43" customBuiltin="1"/>
    <cellStyle name="40% - Акцент4 10" xfId="653"/>
    <cellStyle name="40% - Акцент4 11" xfId="667"/>
    <cellStyle name="40% - Акцент4 2" xfId="59"/>
    <cellStyle name="40% - Акцент4 2 2" xfId="105"/>
    <cellStyle name="40% - Акцент4 2 2 2" xfId="197"/>
    <cellStyle name="40% - Акцент4 2 2 2 2" xfId="547"/>
    <cellStyle name="40% - Акцент4 2 2 3" xfId="455"/>
    <cellStyle name="40% - Акцент4 2 2 4" xfId="363"/>
    <cellStyle name="40% - Акцент4 2 3" xfId="151"/>
    <cellStyle name="40% - Акцент4 2 3 2" xfId="501"/>
    <cellStyle name="40% - Акцент4 2 4" xfId="243"/>
    <cellStyle name="40% - Акцент4 2 4 2" xfId="593"/>
    <cellStyle name="40% - Акцент4 2 5" xfId="409"/>
    <cellStyle name="40% - Акцент4 2 6" xfId="317"/>
    <cellStyle name="40% - Акцент4 3" xfId="77"/>
    <cellStyle name="40% - Акцент4 3 2" xfId="123"/>
    <cellStyle name="40% - Акцент4 3 2 2" xfId="215"/>
    <cellStyle name="40% - Акцент4 3 2 2 2" xfId="565"/>
    <cellStyle name="40% - Акцент4 3 2 3" xfId="473"/>
    <cellStyle name="40% - Акцент4 3 2 4" xfId="381"/>
    <cellStyle name="40% - Акцент4 3 3" xfId="169"/>
    <cellStyle name="40% - Акцент4 3 3 2" xfId="519"/>
    <cellStyle name="40% - Акцент4 3 4" xfId="261"/>
    <cellStyle name="40% - Акцент4 3 4 2" xfId="611"/>
    <cellStyle name="40% - Акцент4 3 5" xfId="427"/>
    <cellStyle name="40% - Акцент4 3 6" xfId="335"/>
    <cellStyle name="40% - Акцент4 4" xfId="91"/>
    <cellStyle name="40% - Акцент4 4 2" xfId="183"/>
    <cellStyle name="40% - Акцент4 4 2 2" xfId="533"/>
    <cellStyle name="40% - Акцент4 4 3" xfId="275"/>
    <cellStyle name="40% - Акцент4 4 3 2" xfId="625"/>
    <cellStyle name="40% - Акцент4 4 4" xfId="441"/>
    <cellStyle name="40% - Акцент4 4 5" xfId="349"/>
    <cellStyle name="40% - Акцент4 5" xfId="137"/>
    <cellStyle name="40% - Акцент4 5 2" xfId="487"/>
    <cellStyle name="40% - Акцент4 6" xfId="229"/>
    <cellStyle name="40% - Акцент4 6 2" xfId="579"/>
    <cellStyle name="40% - Акцент4 7" xfId="289"/>
    <cellStyle name="40% - Акцент4 7 2" xfId="639"/>
    <cellStyle name="40% - Акцент4 8" xfId="395"/>
    <cellStyle name="40% - Акцент4 9" xfId="303"/>
    <cellStyle name="40% - Акцент5" xfId="11" builtinId="47" customBuiltin="1"/>
    <cellStyle name="40% - Акцент5 10" xfId="655"/>
    <cellStyle name="40% - Акцент5 11" xfId="669"/>
    <cellStyle name="40% - Акцент5 2" xfId="61"/>
    <cellStyle name="40% - Акцент5 2 2" xfId="107"/>
    <cellStyle name="40% - Акцент5 2 2 2" xfId="199"/>
    <cellStyle name="40% - Акцент5 2 2 2 2" xfId="549"/>
    <cellStyle name="40% - Акцент5 2 2 3" xfId="457"/>
    <cellStyle name="40% - Акцент5 2 2 4" xfId="365"/>
    <cellStyle name="40% - Акцент5 2 3" xfId="153"/>
    <cellStyle name="40% - Акцент5 2 3 2" xfId="503"/>
    <cellStyle name="40% - Акцент5 2 4" xfId="245"/>
    <cellStyle name="40% - Акцент5 2 4 2" xfId="595"/>
    <cellStyle name="40% - Акцент5 2 5" xfId="411"/>
    <cellStyle name="40% - Акцент5 2 6" xfId="319"/>
    <cellStyle name="40% - Акцент5 3" xfId="79"/>
    <cellStyle name="40% - Акцент5 3 2" xfId="125"/>
    <cellStyle name="40% - Акцент5 3 2 2" xfId="217"/>
    <cellStyle name="40% - Акцент5 3 2 2 2" xfId="567"/>
    <cellStyle name="40% - Акцент5 3 2 3" xfId="475"/>
    <cellStyle name="40% - Акцент5 3 2 4" xfId="383"/>
    <cellStyle name="40% - Акцент5 3 3" xfId="171"/>
    <cellStyle name="40% - Акцент5 3 3 2" xfId="521"/>
    <cellStyle name="40% - Акцент5 3 4" xfId="263"/>
    <cellStyle name="40% - Акцент5 3 4 2" xfId="613"/>
    <cellStyle name="40% - Акцент5 3 5" xfId="429"/>
    <cellStyle name="40% - Акцент5 3 6" xfId="337"/>
    <cellStyle name="40% - Акцент5 4" xfId="92"/>
    <cellStyle name="40% - Акцент5 4 2" xfId="184"/>
    <cellStyle name="40% - Акцент5 4 2 2" xfId="534"/>
    <cellStyle name="40% - Акцент5 4 3" xfId="277"/>
    <cellStyle name="40% - Акцент5 4 3 2" xfId="627"/>
    <cellStyle name="40% - Акцент5 4 4" xfId="442"/>
    <cellStyle name="40% - Акцент5 4 5" xfId="350"/>
    <cellStyle name="40% - Акцент5 5" xfId="138"/>
    <cellStyle name="40% - Акцент5 5 2" xfId="488"/>
    <cellStyle name="40% - Акцент5 6" xfId="230"/>
    <cellStyle name="40% - Акцент5 6 2" xfId="580"/>
    <cellStyle name="40% - Акцент5 7" xfId="291"/>
    <cellStyle name="40% - Акцент5 7 2" xfId="641"/>
    <cellStyle name="40% - Акцент5 8" xfId="396"/>
    <cellStyle name="40% - Акцент5 9" xfId="304"/>
    <cellStyle name="40% - Акцент6" xfId="12" builtinId="51" customBuiltin="1"/>
    <cellStyle name="40% - Акцент6 10" xfId="657"/>
    <cellStyle name="40% - Акцент6 11" xfId="671"/>
    <cellStyle name="40% - Акцент6 2" xfId="63"/>
    <cellStyle name="40% - Акцент6 2 2" xfId="109"/>
    <cellStyle name="40% - Акцент6 2 2 2" xfId="201"/>
    <cellStyle name="40% - Акцент6 2 2 2 2" xfId="551"/>
    <cellStyle name="40% - Акцент6 2 2 3" xfId="459"/>
    <cellStyle name="40% - Акцент6 2 2 4" xfId="367"/>
    <cellStyle name="40% - Акцент6 2 3" xfId="155"/>
    <cellStyle name="40% - Акцент6 2 3 2" xfId="505"/>
    <cellStyle name="40% - Акцент6 2 4" xfId="247"/>
    <cellStyle name="40% - Акцент6 2 4 2" xfId="597"/>
    <cellStyle name="40% - Акцент6 2 5" xfId="413"/>
    <cellStyle name="40% - Акцент6 2 6" xfId="321"/>
    <cellStyle name="40% - Акцент6 3" xfId="81"/>
    <cellStyle name="40% - Акцент6 3 2" xfId="127"/>
    <cellStyle name="40% - Акцент6 3 2 2" xfId="219"/>
    <cellStyle name="40% - Акцент6 3 2 2 2" xfId="569"/>
    <cellStyle name="40% - Акцент6 3 2 3" xfId="477"/>
    <cellStyle name="40% - Акцент6 3 2 4" xfId="385"/>
    <cellStyle name="40% - Акцент6 3 3" xfId="173"/>
    <cellStyle name="40% - Акцент6 3 3 2" xfId="523"/>
    <cellStyle name="40% - Акцент6 3 4" xfId="265"/>
    <cellStyle name="40% - Акцент6 3 4 2" xfId="615"/>
    <cellStyle name="40% - Акцент6 3 5" xfId="431"/>
    <cellStyle name="40% - Акцент6 3 6" xfId="339"/>
    <cellStyle name="40% - Акцент6 4" xfId="93"/>
    <cellStyle name="40% - Акцент6 4 2" xfId="185"/>
    <cellStyle name="40% - Акцент6 4 2 2" xfId="535"/>
    <cellStyle name="40% - Акцент6 4 3" xfId="279"/>
    <cellStyle name="40% - Акцент6 4 3 2" xfId="629"/>
    <cellStyle name="40% - Акцент6 4 4" xfId="443"/>
    <cellStyle name="40% - Акцент6 4 5" xfId="351"/>
    <cellStyle name="40% - Акцент6 5" xfId="139"/>
    <cellStyle name="40% - Акцент6 5 2" xfId="489"/>
    <cellStyle name="40% - Акцент6 6" xfId="231"/>
    <cellStyle name="40% - Акцент6 6 2" xfId="581"/>
    <cellStyle name="40% - Акцент6 7" xfId="293"/>
    <cellStyle name="40% - Акцент6 7 2" xfId="643"/>
    <cellStyle name="40% - Акцент6 8" xfId="397"/>
    <cellStyle name="40% - Акцент6 9" xfId="305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Обычный 10" xfId="280"/>
    <cellStyle name="Обычный 10 2" xfId="630"/>
    <cellStyle name="Обычный 11" xfId="644"/>
    <cellStyle name="Обычный 12" xfId="658"/>
    <cellStyle name="Обычный 13" xfId="672"/>
    <cellStyle name="Обычный 14" xfId="673"/>
    <cellStyle name="Обычный 15" xfId="674"/>
    <cellStyle name="Обычный 2" xfId="36"/>
    <cellStyle name="Обычный 2 2" xfId="94"/>
    <cellStyle name="Обычный 2 2 2" xfId="186"/>
    <cellStyle name="Обычный 2 2 2 2" xfId="536"/>
    <cellStyle name="Обычный 2 2 3" xfId="444"/>
    <cellStyle name="Обычный 2 2 4" xfId="352"/>
    <cellStyle name="Обычный 2 3" xfId="140"/>
    <cellStyle name="Обычный 2 3 2" xfId="490"/>
    <cellStyle name="Обычный 2 4" xfId="232"/>
    <cellStyle name="Обычный 2 4 2" xfId="582"/>
    <cellStyle name="Обычный 2 5" xfId="398"/>
    <cellStyle name="Обычный 2 6" xfId="306"/>
    <cellStyle name="Обычный 3" xfId="50"/>
    <cellStyle name="Обычный 3 2" xfId="96"/>
    <cellStyle name="Обычный 3 2 2" xfId="188"/>
    <cellStyle name="Обычный 3 2 2 2" xfId="538"/>
    <cellStyle name="Обычный 3 2 3" xfId="446"/>
    <cellStyle name="Обычный 3 2 4" xfId="354"/>
    <cellStyle name="Обычный 3 3" xfId="142"/>
    <cellStyle name="Обычный 3 3 2" xfId="492"/>
    <cellStyle name="Обычный 3 4" xfId="234"/>
    <cellStyle name="Обычный 3 4 2" xfId="584"/>
    <cellStyle name="Обычный 3 5" xfId="400"/>
    <cellStyle name="Обычный 3 6" xfId="308"/>
    <cellStyle name="Обычный 4" xfId="64"/>
    <cellStyle name="Обычный 4 2" xfId="110"/>
    <cellStyle name="Обычный 4 2 2" xfId="202"/>
    <cellStyle name="Обычный 4 2 2 2" xfId="552"/>
    <cellStyle name="Обычный 4 2 3" xfId="460"/>
    <cellStyle name="Обычный 4 2 4" xfId="368"/>
    <cellStyle name="Обычный 4 3" xfId="156"/>
    <cellStyle name="Обычный 4 3 2" xfId="506"/>
    <cellStyle name="Обычный 4 4" xfId="248"/>
    <cellStyle name="Обычный 4 4 2" xfId="598"/>
    <cellStyle name="Обычный 4 5" xfId="414"/>
    <cellStyle name="Обычный 4 6" xfId="322"/>
    <cellStyle name="Обычный 5" xfId="65"/>
    <cellStyle name="Обычный 5 2" xfId="111"/>
    <cellStyle name="Обычный 5 2 2" xfId="203"/>
    <cellStyle name="Обычный 5 2 2 2" xfId="553"/>
    <cellStyle name="Обычный 5 2 3" xfId="461"/>
    <cellStyle name="Обычный 5 2 4" xfId="369"/>
    <cellStyle name="Обычный 5 3" xfId="157"/>
    <cellStyle name="Обычный 5 3 2" xfId="507"/>
    <cellStyle name="Обычный 5 4" xfId="249"/>
    <cellStyle name="Обычный 5 4 2" xfId="599"/>
    <cellStyle name="Обычный 5 5" xfId="415"/>
    <cellStyle name="Обычный 5 6" xfId="323"/>
    <cellStyle name="Обычный 6" xfId="66"/>
    <cellStyle name="Обычный 6 2" xfId="112"/>
    <cellStyle name="Обычный 6 2 2" xfId="204"/>
    <cellStyle name="Обычный 6 2 2 2" xfId="554"/>
    <cellStyle name="Обычный 6 2 3" xfId="462"/>
    <cellStyle name="Обычный 6 2 4" xfId="370"/>
    <cellStyle name="Обычный 6 3" xfId="158"/>
    <cellStyle name="Обычный 6 3 2" xfId="508"/>
    <cellStyle name="Обычный 6 4" xfId="250"/>
    <cellStyle name="Обычный 6 4 2" xfId="600"/>
    <cellStyle name="Обычный 6 5" xfId="416"/>
    <cellStyle name="Обычный 6 6" xfId="324"/>
    <cellStyle name="Обычный 7" xfId="67"/>
    <cellStyle name="Обычный 7 2" xfId="113"/>
    <cellStyle name="Обычный 7 2 2" xfId="205"/>
    <cellStyle name="Обычный 7 2 2 2" xfId="555"/>
    <cellStyle name="Обычный 7 2 3" xfId="463"/>
    <cellStyle name="Обычный 7 2 4" xfId="371"/>
    <cellStyle name="Обычный 7 3" xfId="159"/>
    <cellStyle name="Обычный 7 3 2" xfId="509"/>
    <cellStyle name="Обычный 7 4" xfId="251"/>
    <cellStyle name="Обычный 7 4 2" xfId="601"/>
    <cellStyle name="Обычный 7 5" xfId="417"/>
    <cellStyle name="Обычный 7 6" xfId="325"/>
    <cellStyle name="Обычный 8" xfId="68"/>
    <cellStyle name="Обычный 8 2" xfId="114"/>
    <cellStyle name="Обычный 8 2 2" xfId="206"/>
    <cellStyle name="Обычный 8 2 2 2" xfId="556"/>
    <cellStyle name="Обычный 8 2 3" xfId="464"/>
    <cellStyle name="Обычный 8 2 4" xfId="372"/>
    <cellStyle name="Обычный 8 3" xfId="160"/>
    <cellStyle name="Обычный 8 3 2" xfId="510"/>
    <cellStyle name="Обычный 8 4" xfId="252"/>
    <cellStyle name="Обычный 8 4 2" xfId="602"/>
    <cellStyle name="Обычный 8 5" xfId="418"/>
    <cellStyle name="Обычный 8 6" xfId="326"/>
    <cellStyle name="Обычный 9" xfId="266"/>
    <cellStyle name="Обычный 9 2" xfId="616"/>
    <cellStyle name="Обычный_CLAC_1" xfId="37"/>
    <cellStyle name="Обычный_CLRE_1" xfId="38"/>
    <cellStyle name="Обычный_CLVL_1" xfId="39"/>
    <cellStyle name="Обычный_EQEQ" xfId="40"/>
    <cellStyle name="Обычный_Март2010" xfId="41"/>
    <cellStyle name="Плохой" xfId="42" builtinId="27" customBuiltin="1"/>
    <cellStyle name="Пояснение" xfId="43" builtinId="53" customBuiltin="1"/>
    <cellStyle name="Примечание 2" xfId="44"/>
    <cellStyle name="Примечание 2 2" xfId="95"/>
    <cellStyle name="Примечание 2 2 2" xfId="187"/>
    <cellStyle name="Примечание 2 2 2 2" xfId="537"/>
    <cellStyle name="Примечание 2 2 3" xfId="445"/>
    <cellStyle name="Примечание 2 2 4" xfId="353"/>
    <cellStyle name="Примечание 2 3" xfId="141"/>
    <cellStyle name="Примечание 2 3 2" xfId="491"/>
    <cellStyle name="Примечание 2 4" xfId="233"/>
    <cellStyle name="Примечание 2 4 2" xfId="583"/>
    <cellStyle name="Примечание 2 5" xfId="399"/>
    <cellStyle name="Примечание 2 6" xfId="307"/>
    <cellStyle name="Примечание 3" xfId="51"/>
    <cellStyle name="Примечание 3 2" xfId="97"/>
    <cellStyle name="Примечание 3 2 2" xfId="189"/>
    <cellStyle name="Примечание 3 2 2 2" xfId="539"/>
    <cellStyle name="Примечание 3 2 3" xfId="447"/>
    <cellStyle name="Примечание 3 2 4" xfId="355"/>
    <cellStyle name="Примечание 3 3" xfId="143"/>
    <cellStyle name="Примечание 3 3 2" xfId="493"/>
    <cellStyle name="Примечание 3 4" xfId="235"/>
    <cellStyle name="Примечание 3 4 2" xfId="585"/>
    <cellStyle name="Примечание 3 5" xfId="401"/>
    <cellStyle name="Примечание 3 6" xfId="309"/>
    <cellStyle name="Примечание 4" xfId="69"/>
    <cellStyle name="Примечание 4 2" xfId="115"/>
    <cellStyle name="Примечание 4 2 2" xfId="207"/>
    <cellStyle name="Примечание 4 2 2 2" xfId="557"/>
    <cellStyle name="Примечание 4 2 3" xfId="465"/>
    <cellStyle name="Примечание 4 2 4" xfId="373"/>
    <cellStyle name="Примечание 4 3" xfId="161"/>
    <cellStyle name="Примечание 4 3 2" xfId="511"/>
    <cellStyle name="Примечание 4 4" xfId="253"/>
    <cellStyle name="Примечание 4 4 2" xfId="603"/>
    <cellStyle name="Примечание 4 5" xfId="419"/>
    <cellStyle name="Примечание 4 6" xfId="327"/>
    <cellStyle name="Примечание 5" xfId="267"/>
    <cellStyle name="Примечание 5 2" xfId="617"/>
    <cellStyle name="Примечание 6" xfId="281"/>
    <cellStyle name="Примечание 6 2" xfId="631"/>
    <cellStyle name="Примечание 7" xfId="645"/>
    <cellStyle name="Примечание 8" xfId="659"/>
    <cellStyle name="Процентный" xfId="45" builtinId="5"/>
    <cellStyle name="Связанная ячейка" xfId="46" builtinId="24" customBuiltin="1"/>
    <cellStyle name="Текст предупреждения" xfId="47" builtinId="11" customBuiltin="1"/>
    <cellStyle name="Финансовый" xfId="48" builtinId="3"/>
    <cellStyle name="Хороший" xfId="49" builtinId="26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January!$B$50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January!$C$50:$I$50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January!$B$51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January!$C$51:$I$51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January!$B$52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January!$C$52:$I$52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January!$B$53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January!$C$53:$I$53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1414528"/>
        <c:axId val="18163968"/>
        <c:axId val="0"/>
      </c:bar3DChart>
      <c:dateAx>
        <c:axId val="131414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163968"/>
        <c:crosses val="autoZero"/>
        <c:auto val="1"/>
        <c:lblOffset val="100"/>
        <c:baseTimeUnit val="years"/>
        <c:majorUnit val="1"/>
        <c:minorUnit val="1"/>
      </c:dateAx>
      <c:valAx>
        <c:axId val="18163968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14145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January!$B$84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January!$C$83:$H$83</c:f>
              <c:numCache>
                <c:formatCode>[$-419]mmmm\ yyyy;@</c:formatCode>
                <c:ptCount val="6"/>
                <c:pt idx="0">
                  <c:v>42612</c:v>
                </c:pt>
                <c:pt idx="1">
                  <c:v>42643</c:v>
                </c:pt>
                <c:pt idx="2">
                  <c:v>42673</c:v>
                </c:pt>
                <c:pt idx="3">
                  <c:v>42704</c:v>
                </c:pt>
                <c:pt idx="4">
                  <c:v>42735</c:v>
                </c:pt>
                <c:pt idx="5">
                  <c:v>42766</c:v>
                </c:pt>
              </c:numCache>
            </c:numRef>
          </c:cat>
          <c:val>
            <c:numRef>
              <c:f>January!$C$84:$H$84</c:f>
              <c:numCache>
                <c:formatCode>#,##0</c:formatCode>
                <c:ptCount val="6"/>
                <c:pt idx="0">
                  <c:v>1040684</c:v>
                </c:pt>
                <c:pt idx="1">
                  <c:v>1049230</c:v>
                </c:pt>
                <c:pt idx="2">
                  <c:v>1061843</c:v>
                </c:pt>
                <c:pt idx="3">
                  <c:v>1080706</c:v>
                </c:pt>
                <c:pt idx="4">
                  <c:v>1102966</c:v>
                </c:pt>
                <c:pt idx="5">
                  <c:v>1122053</c:v>
                </c:pt>
              </c:numCache>
            </c:numRef>
          </c:val>
        </c:ser>
        <c:ser>
          <c:idx val="1"/>
          <c:order val="1"/>
          <c:tx>
            <c:strRef>
              <c:f>January!$B$85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January!$C$83:$H$83</c:f>
              <c:numCache>
                <c:formatCode>[$-419]mmmm\ yyyy;@</c:formatCode>
                <c:ptCount val="6"/>
                <c:pt idx="0">
                  <c:v>42612</c:v>
                </c:pt>
                <c:pt idx="1">
                  <c:v>42643</c:v>
                </c:pt>
                <c:pt idx="2">
                  <c:v>42673</c:v>
                </c:pt>
                <c:pt idx="3">
                  <c:v>42704</c:v>
                </c:pt>
                <c:pt idx="4">
                  <c:v>42735</c:v>
                </c:pt>
                <c:pt idx="5">
                  <c:v>42766</c:v>
                </c:pt>
              </c:numCache>
            </c:numRef>
          </c:cat>
          <c:val>
            <c:numRef>
              <c:f>January!$C$85:$H$85</c:f>
              <c:numCache>
                <c:formatCode>#,##0</c:formatCode>
                <c:ptCount val="6"/>
                <c:pt idx="0">
                  <c:v>19083</c:v>
                </c:pt>
                <c:pt idx="1">
                  <c:v>19110</c:v>
                </c:pt>
                <c:pt idx="2">
                  <c:v>18990</c:v>
                </c:pt>
                <c:pt idx="3">
                  <c:v>19037</c:v>
                </c:pt>
                <c:pt idx="4">
                  <c:v>18622</c:v>
                </c:pt>
                <c:pt idx="5">
                  <c:v>18499</c:v>
                </c:pt>
              </c:numCache>
            </c:numRef>
          </c:val>
        </c:ser>
        <c:ser>
          <c:idx val="2"/>
          <c:order val="2"/>
          <c:tx>
            <c:strRef>
              <c:f>January!$B$86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January!$C$83:$H$83</c:f>
              <c:numCache>
                <c:formatCode>[$-419]mmmm\ yyyy;@</c:formatCode>
                <c:ptCount val="6"/>
                <c:pt idx="0">
                  <c:v>42612</c:v>
                </c:pt>
                <c:pt idx="1">
                  <c:v>42643</c:v>
                </c:pt>
                <c:pt idx="2">
                  <c:v>42673</c:v>
                </c:pt>
                <c:pt idx="3">
                  <c:v>42704</c:v>
                </c:pt>
                <c:pt idx="4">
                  <c:v>42735</c:v>
                </c:pt>
                <c:pt idx="5">
                  <c:v>42766</c:v>
                </c:pt>
              </c:numCache>
            </c:numRef>
          </c:cat>
          <c:val>
            <c:numRef>
              <c:f>January!$C$86:$H$86</c:f>
              <c:numCache>
                <c:formatCode>#,##0</c:formatCode>
                <c:ptCount val="6"/>
                <c:pt idx="0">
                  <c:v>8850</c:v>
                </c:pt>
                <c:pt idx="1">
                  <c:v>8966</c:v>
                </c:pt>
                <c:pt idx="2">
                  <c:v>9026</c:v>
                </c:pt>
                <c:pt idx="3">
                  <c:v>9070</c:v>
                </c:pt>
                <c:pt idx="4">
                  <c:v>9215</c:v>
                </c:pt>
                <c:pt idx="5">
                  <c:v>9371</c:v>
                </c:pt>
              </c:numCache>
            </c:numRef>
          </c:val>
        </c:ser>
        <c:ser>
          <c:idx val="3"/>
          <c:order val="3"/>
          <c:tx>
            <c:strRef>
              <c:f>January!$B$87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January!$C$83:$H$83</c:f>
              <c:numCache>
                <c:formatCode>[$-419]mmmm\ yyyy;@</c:formatCode>
                <c:ptCount val="6"/>
                <c:pt idx="0">
                  <c:v>42612</c:v>
                </c:pt>
                <c:pt idx="1">
                  <c:v>42643</c:v>
                </c:pt>
                <c:pt idx="2">
                  <c:v>42673</c:v>
                </c:pt>
                <c:pt idx="3">
                  <c:v>42704</c:v>
                </c:pt>
                <c:pt idx="4">
                  <c:v>42735</c:v>
                </c:pt>
                <c:pt idx="5">
                  <c:v>42766</c:v>
                </c:pt>
              </c:numCache>
            </c:numRef>
          </c:cat>
          <c:val>
            <c:numRef>
              <c:f>January!$C$87:$H$87</c:f>
              <c:numCache>
                <c:formatCode>#,##0</c:formatCode>
                <c:ptCount val="6"/>
                <c:pt idx="0">
                  <c:v>2017</c:v>
                </c:pt>
                <c:pt idx="1">
                  <c:v>2602</c:v>
                </c:pt>
                <c:pt idx="2">
                  <c:v>7021</c:v>
                </c:pt>
                <c:pt idx="3">
                  <c:v>10116</c:v>
                </c:pt>
                <c:pt idx="4">
                  <c:v>10694</c:v>
                </c:pt>
                <c:pt idx="5">
                  <c:v>10991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1415552"/>
        <c:axId val="18166272"/>
        <c:axId val="0"/>
      </c:bar3DChart>
      <c:dateAx>
        <c:axId val="13141555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1662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166272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14155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February!$B$50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February!$C$50:$I$50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February!$B$51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February!$C$51:$I$51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February!$B$52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February!$C$52:$I$52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February!$B$53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February!$C$53:$I$53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63864576"/>
        <c:axId val="18168576"/>
        <c:axId val="0"/>
      </c:bar3DChart>
      <c:dateAx>
        <c:axId val="163864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168576"/>
        <c:crosses val="autoZero"/>
        <c:auto val="1"/>
        <c:lblOffset val="100"/>
        <c:baseTimeUnit val="years"/>
        <c:majorUnit val="1"/>
        <c:minorUnit val="1"/>
      </c:dateAx>
      <c:valAx>
        <c:axId val="18168576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3864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February!$B$84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February!$C$83:$H$83</c:f>
              <c:numCache>
                <c:formatCode>[$-419]mmmm\ yyyy;@</c:formatCode>
                <c:ptCount val="6"/>
                <c:pt idx="0">
                  <c:v>42641</c:v>
                </c:pt>
                <c:pt idx="1">
                  <c:v>42671</c:v>
                </c:pt>
                <c:pt idx="2">
                  <c:v>42702</c:v>
                </c:pt>
                <c:pt idx="3">
                  <c:v>42732</c:v>
                </c:pt>
                <c:pt idx="4">
                  <c:v>42763</c:v>
                </c:pt>
                <c:pt idx="5">
                  <c:v>42794</c:v>
                </c:pt>
              </c:numCache>
            </c:numRef>
          </c:cat>
          <c:val>
            <c:numRef>
              <c:f>February!$C$84:$H$84</c:f>
              <c:numCache>
                <c:formatCode>#,##0</c:formatCode>
                <c:ptCount val="6"/>
                <c:pt idx="0">
                  <c:v>1049230</c:v>
                </c:pt>
                <c:pt idx="1">
                  <c:v>1061843</c:v>
                </c:pt>
                <c:pt idx="2">
                  <c:v>1080706</c:v>
                </c:pt>
                <c:pt idx="3">
                  <c:v>1102966</c:v>
                </c:pt>
                <c:pt idx="4">
                  <c:v>1122053</c:v>
                </c:pt>
                <c:pt idx="5">
                  <c:v>1125369</c:v>
                </c:pt>
              </c:numCache>
            </c:numRef>
          </c:val>
        </c:ser>
        <c:ser>
          <c:idx val="1"/>
          <c:order val="1"/>
          <c:tx>
            <c:strRef>
              <c:f>February!$B$85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February!$C$83:$H$83</c:f>
              <c:numCache>
                <c:formatCode>[$-419]mmmm\ yyyy;@</c:formatCode>
                <c:ptCount val="6"/>
                <c:pt idx="0">
                  <c:v>42641</c:v>
                </c:pt>
                <c:pt idx="1">
                  <c:v>42671</c:v>
                </c:pt>
                <c:pt idx="2">
                  <c:v>42702</c:v>
                </c:pt>
                <c:pt idx="3">
                  <c:v>42732</c:v>
                </c:pt>
                <c:pt idx="4">
                  <c:v>42763</c:v>
                </c:pt>
                <c:pt idx="5">
                  <c:v>42794</c:v>
                </c:pt>
              </c:numCache>
            </c:numRef>
          </c:cat>
          <c:val>
            <c:numRef>
              <c:f>February!$C$85:$H$85</c:f>
              <c:numCache>
                <c:formatCode>#,##0</c:formatCode>
                <c:ptCount val="6"/>
                <c:pt idx="0">
                  <c:v>19110</c:v>
                </c:pt>
                <c:pt idx="1">
                  <c:v>18990</c:v>
                </c:pt>
                <c:pt idx="2">
                  <c:v>19037</c:v>
                </c:pt>
                <c:pt idx="3">
                  <c:v>18622</c:v>
                </c:pt>
                <c:pt idx="4">
                  <c:v>18499</c:v>
                </c:pt>
                <c:pt idx="5">
                  <c:v>18472</c:v>
                </c:pt>
              </c:numCache>
            </c:numRef>
          </c:val>
        </c:ser>
        <c:ser>
          <c:idx val="2"/>
          <c:order val="2"/>
          <c:tx>
            <c:strRef>
              <c:f>February!$B$86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February!$C$83:$H$83</c:f>
              <c:numCache>
                <c:formatCode>[$-419]mmmm\ yyyy;@</c:formatCode>
                <c:ptCount val="6"/>
                <c:pt idx="0">
                  <c:v>42641</c:v>
                </c:pt>
                <c:pt idx="1">
                  <c:v>42671</c:v>
                </c:pt>
                <c:pt idx="2">
                  <c:v>42702</c:v>
                </c:pt>
                <c:pt idx="3">
                  <c:v>42732</c:v>
                </c:pt>
                <c:pt idx="4">
                  <c:v>42763</c:v>
                </c:pt>
                <c:pt idx="5">
                  <c:v>42794</c:v>
                </c:pt>
              </c:numCache>
            </c:numRef>
          </c:cat>
          <c:val>
            <c:numRef>
              <c:f>February!$C$86:$H$86</c:f>
              <c:numCache>
                <c:formatCode>#,##0</c:formatCode>
                <c:ptCount val="6"/>
                <c:pt idx="0">
                  <c:v>8966</c:v>
                </c:pt>
                <c:pt idx="1">
                  <c:v>9026</c:v>
                </c:pt>
                <c:pt idx="2">
                  <c:v>9070</c:v>
                </c:pt>
                <c:pt idx="3">
                  <c:v>9215</c:v>
                </c:pt>
                <c:pt idx="4">
                  <c:v>9371</c:v>
                </c:pt>
                <c:pt idx="5">
                  <c:v>9319</c:v>
                </c:pt>
              </c:numCache>
            </c:numRef>
          </c:val>
        </c:ser>
        <c:ser>
          <c:idx val="3"/>
          <c:order val="3"/>
          <c:tx>
            <c:strRef>
              <c:f>February!$B$87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February!$C$83:$H$83</c:f>
              <c:numCache>
                <c:formatCode>[$-419]mmmm\ yyyy;@</c:formatCode>
                <c:ptCount val="6"/>
                <c:pt idx="0">
                  <c:v>42641</c:v>
                </c:pt>
                <c:pt idx="1">
                  <c:v>42671</c:v>
                </c:pt>
                <c:pt idx="2">
                  <c:v>42702</c:v>
                </c:pt>
                <c:pt idx="3">
                  <c:v>42732</c:v>
                </c:pt>
                <c:pt idx="4">
                  <c:v>42763</c:v>
                </c:pt>
                <c:pt idx="5">
                  <c:v>42794</c:v>
                </c:pt>
              </c:numCache>
            </c:numRef>
          </c:cat>
          <c:val>
            <c:numRef>
              <c:f>February!$C$87:$H$87</c:f>
              <c:numCache>
                <c:formatCode>#,##0</c:formatCode>
                <c:ptCount val="6"/>
                <c:pt idx="0">
                  <c:v>2602</c:v>
                </c:pt>
                <c:pt idx="1">
                  <c:v>7021</c:v>
                </c:pt>
                <c:pt idx="2">
                  <c:v>10116</c:v>
                </c:pt>
                <c:pt idx="3">
                  <c:v>10694</c:v>
                </c:pt>
                <c:pt idx="4">
                  <c:v>10991</c:v>
                </c:pt>
                <c:pt idx="5">
                  <c:v>13509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63868160"/>
        <c:axId val="87490560"/>
        <c:axId val="0"/>
      </c:bar3DChart>
      <c:dateAx>
        <c:axId val="163868160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874905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87490560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38681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March!$B$50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March!$C$50:$I$50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March!$B$51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March!$C$51:$I$51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March!$B$52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March!$C$52:$I$52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March!$B$53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March!$C$53:$I$53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63888640"/>
        <c:axId val="183490752"/>
        <c:axId val="0"/>
      </c:bar3DChart>
      <c:dateAx>
        <c:axId val="1638886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3490752"/>
        <c:crosses val="autoZero"/>
        <c:auto val="1"/>
        <c:lblOffset val="100"/>
        <c:baseTimeUnit val="years"/>
        <c:majorUnit val="1"/>
        <c:minorUnit val="1"/>
      </c:dateAx>
      <c:valAx>
        <c:axId val="183490752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38886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March!$B$84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March!$C$83:$H$83</c:f>
              <c:numCache>
                <c:formatCode>[$-419]mmmm\ yyyy;@</c:formatCode>
                <c:ptCount val="6"/>
                <c:pt idx="0">
                  <c:v>42671</c:v>
                </c:pt>
                <c:pt idx="1">
                  <c:v>42702</c:v>
                </c:pt>
                <c:pt idx="2">
                  <c:v>42732</c:v>
                </c:pt>
                <c:pt idx="3">
                  <c:v>42763</c:v>
                </c:pt>
                <c:pt idx="4">
                  <c:v>42794</c:v>
                </c:pt>
                <c:pt idx="5">
                  <c:v>42822</c:v>
                </c:pt>
              </c:numCache>
            </c:numRef>
          </c:cat>
          <c:val>
            <c:numRef>
              <c:f>March!$C$84:$H$84</c:f>
              <c:numCache>
                <c:formatCode>#,##0</c:formatCode>
                <c:ptCount val="6"/>
                <c:pt idx="0">
                  <c:v>1061843</c:v>
                </c:pt>
                <c:pt idx="1">
                  <c:v>1080706</c:v>
                </c:pt>
                <c:pt idx="2">
                  <c:v>1102966</c:v>
                </c:pt>
                <c:pt idx="3">
                  <c:v>1122053</c:v>
                </c:pt>
                <c:pt idx="4">
                  <c:v>1125369</c:v>
                </c:pt>
                <c:pt idx="5">
                  <c:v>1143968</c:v>
                </c:pt>
              </c:numCache>
            </c:numRef>
          </c:val>
        </c:ser>
        <c:ser>
          <c:idx val="1"/>
          <c:order val="1"/>
          <c:tx>
            <c:strRef>
              <c:f>March!$B$85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March!$C$83:$H$83</c:f>
              <c:numCache>
                <c:formatCode>[$-419]mmmm\ yyyy;@</c:formatCode>
                <c:ptCount val="6"/>
                <c:pt idx="0">
                  <c:v>42671</c:v>
                </c:pt>
                <c:pt idx="1">
                  <c:v>42702</c:v>
                </c:pt>
                <c:pt idx="2">
                  <c:v>42732</c:v>
                </c:pt>
                <c:pt idx="3">
                  <c:v>42763</c:v>
                </c:pt>
                <c:pt idx="4">
                  <c:v>42794</c:v>
                </c:pt>
                <c:pt idx="5">
                  <c:v>42822</c:v>
                </c:pt>
              </c:numCache>
            </c:numRef>
          </c:cat>
          <c:val>
            <c:numRef>
              <c:f>March!$C$85:$H$85</c:f>
              <c:numCache>
                <c:formatCode>#,##0</c:formatCode>
                <c:ptCount val="6"/>
                <c:pt idx="0">
                  <c:v>18990</c:v>
                </c:pt>
                <c:pt idx="1">
                  <c:v>19037</c:v>
                </c:pt>
                <c:pt idx="2">
                  <c:v>18622</c:v>
                </c:pt>
                <c:pt idx="3">
                  <c:v>18499</c:v>
                </c:pt>
                <c:pt idx="4">
                  <c:v>18472</c:v>
                </c:pt>
                <c:pt idx="5">
                  <c:v>18496</c:v>
                </c:pt>
              </c:numCache>
            </c:numRef>
          </c:val>
        </c:ser>
        <c:ser>
          <c:idx val="2"/>
          <c:order val="2"/>
          <c:tx>
            <c:strRef>
              <c:f>March!$B$86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March!$C$83:$H$83</c:f>
              <c:numCache>
                <c:formatCode>[$-419]mmmm\ yyyy;@</c:formatCode>
                <c:ptCount val="6"/>
                <c:pt idx="0">
                  <c:v>42671</c:v>
                </c:pt>
                <c:pt idx="1">
                  <c:v>42702</c:v>
                </c:pt>
                <c:pt idx="2">
                  <c:v>42732</c:v>
                </c:pt>
                <c:pt idx="3">
                  <c:v>42763</c:v>
                </c:pt>
                <c:pt idx="4">
                  <c:v>42794</c:v>
                </c:pt>
                <c:pt idx="5">
                  <c:v>42822</c:v>
                </c:pt>
              </c:numCache>
            </c:numRef>
          </c:cat>
          <c:val>
            <c:numRef>
              <c:f>March!$C$86:$H$86</c:f>
              <c:numCache>
                <c:formatCode>#,##0</c:formatCode>
                <c:ptCount val="6"/>
                <c:pt idx="0">
                  <c:v>9026</c:v>
                </c:pt>
                <c:pt idx="1">
                  <c:v>9070</c:v>
                </c:pt>
                <c:pt idx="2">
                  <c:v>9215</c:v>
                </c:pt>
                <c:pt idx="3">
                  <c:v>9371</c:v>
                </c:pt>
                <c:pt idx="4">
                  <c:v>9319</c:v>
                </c:pt>
                <c:pt idx="5">
                  <c:v>9908</c:v>
                </c:pt>
              </c:numCache>
            </c:numRef>
          </c:val>
        </c:ser>
        <c:ser>
          <c:idx val="3"/>
          <c:order val="3"/>
          <c:tx>
            <c:strRef>
              <c:f>March!$B$87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March!$C$83:$H$83</c:f>
              <c:numCache>
                <c:formatCode>[$-419]mmmm\ yyyy;@</c:formatCode>
                <c:ptCount val="6"/>
                <c:pt idx="0">
                  <c:v>42671</c:v>
                </c:pt>
                <c:pt idx="1">
                  <c:v>42702</c:v>
                </c:pt>
                <c:pt idx="2">
                  <c:v>42732</c:v>
                </c:pt>
                <c:pt idx="3">
                  <c:v>42763</c:v>
                </c:pt>
                <c:pt idx="4">
                  <c:v>42794</c:v>
                </c:pt>
                <c:pt idx="5">
                  <c:v>42822</c:v>
                </c:pt>
              </c:numCache>
            </c:numRef>
          </c:cat>
          <c:val>
            <c:numRef>
              <c:f>March!$C$87:$H$87</c:f>
              <c:numCache>
                <c:formatCode>#,##0</c:formatCode>
                <c:ptCount val="6"/>
                <c:pt idx="0">
                  <c:v>7021</c:v>
                </c:pt>
                <c:pt idx="1">
                  <c:v>10116</c:v>
                </c:pt>
                <c:pt idx="2">
                  <c:v>10694</c:v>
                </c:pt>
                <c:pt idx="3">
                  <c:v>10991</c:v>
                </c:pt>
                <c:pt idx="4">
                  <c:v>13509</c:v>
                </c:pt>
                <c:pt idx="5">
                  <c:v>14098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66342144"/>
        <c:axId val="18155200"/>
        <c:axId val="0"/>
      </c:bar3DChart>
      <c:dateAx>
        <c:axId val="16634214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15520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155200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6342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April!$B$50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April!$C$50:$I$50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April!$B$51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April!$C$51:$I$51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April!$B$52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April!$C$52:$I$52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April!$B$53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April!$C$53:$I$53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0341248"/>
        <c:axId val="18157504"/>
        <c:axId val="0"/>
      </c:bar3DChart>
      <c:dateAx>
        <c:axId val="1803412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157504"/>
        <c:crosses val="autoZero"/>
        <c:auto val="1"/>
        <c:lblOffset val="100"/>
        <c:baseTimeUnit val="years"/>
        <c:majorUnit val="1"/>
        <c:minorUnit val="1"/>
      </c:dateAx>
      <c:valAx>
        <c:axId val="18157504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03412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April!$B$84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April!$C$83:$H$83</c:f>
              <c:numCache>
                <c:formatCode>[$-419]mmmm\ yyyy;@</c:formatCode>
                <c:ptCount val="6"/>
                <c:pt idx="0">
                  <c:v>42702</c:v>
                </c:pt>
                <c:pt idx="1">
                  <c:v>42732</c:v>
                </c:pt>
                <c:pt idx="2">
                  <c:v>42763</c:v>
                </c:pt>
                <c:pt idx="3">
                  <c:v>42794</c:v>
                </c:pt>
                <c:pt idx="4">
                  <c:v>42824</c:v>
                </c:pt>
                <c:pt idx="5">
                  <c:v>42855</c:v>
                </c:pt>
              </c:numCache>
            </c:numRef>
          </c:cat>
          <c:val>
            <c:numRef>
              <c:f>April!$C$84:$H$84</c:f>
              <c:numCache>
                <c:formatCode>#,##0</c:formatCode>
                <c:ptCount val="6"/>
                <c:pt idx="0">
                  <c:v>1080706</c:v>
                </c:pt>
                <c:pt idx="1">
                  <c:v>1102966</c:v>
                </c:pt>
                <c:pt idx="2">
                  <c:v>1122053</c:v>
                </c:pt>
                <c:pt idx="3">
                  <c:v>1125369</c:v>
                </c:pt>
                <c:pt idx="4">
                  <c:v>1143968</c:v>
                </c:pt>
                <c:pt idx="5">
                  <c:v>1156796</c:v>
                </c:pt>
              </c:numCache>
            </c:numRef>
          </c:val>
        </c:ser>
        <c:ser>
          <c:idx val="1"/>
          <c:order val="1"/>
          <c:tx>
            <c:strRef>
              <c:f>April!$B$85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April!$C$83:$H$83</c:f>
              <c:numCache>
                <c:formatCode>[$-419]mmmm\ yyyy;@</c:formatCode>
                <c:ptCount val="6"/>
                <c:pt idx="0">
                  <c:v>42702</c:v>
                </c:pt>
                <c:pt idx="1">
                  <c:v>42732</c:v>
                </c:pt>
                <c:pt idx="2">
                  <c:v>42763</c:v>
                </c:pt>
                <c:pt idx="3">
                  <c:v>42794</c:v>
                </c:pt>
                <c:pt idx="4">
                  <c:v>42824</c:v>
                </c:pt>
                <c:pt idx="5">
                  <c:v>42855</c:v>
                </c:pt>
              </c:numCache>
            </c:numRef>
          </c:cat>
          <c:val>
            <c:numRef>
              <c:f>April!$C$85:$H$85</c:f>
              <c:numCache>
                <c:formatCode>#,##0</c:formatCode>
                <c:ptCount val="6"/>
                <c:pt idx="0">
                  <c:v>19037</c:v>
                </c:pt>
                <c:pt idx="1">
                  <c:v>18622</c:v>
                </c:pt>
                <c:pt idx="2">
                  <c:v>18499</c:v>
                </c:pt>
                <c:pt idx="3">
                  <c:v>18472</c:v>
                </c:pt>
                <c:pt idx="4">
                  <c:v>18496</c:v>
                </c:pt>
                <c:pt idx="5">
                  <c:v>18504</c:v>
                </c:pt>
              </c:numCache>
            </c:numRef>
          </c:val>
        </c:ser>
        <c:ser>
          <c:idx val="2"/>
          <c:order val="2"/>
          <c:tx>
            <c:strRef>
              <c:f>April!$B$86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April!$C$83:$H$83</c:f>
              <c:numCache>
                <c:formatCode>[$-419]mmmm\ yyyy;@</c:formatCode>
                <c:ptCount val="6"/>
                <c:pt idx="0">
                  <c:v>42702</c:v>
                </c:pt>
                <c:pt idx="1">
                  <c:v>42732</c:v>
                </c:pt>
                <c:pt idx="2">
                  <c:v>42763</c:v>
                </c:pt>
                <c:pt idx="3">
                  <c:v>42794</c:v>
                </c:pt>
                <c:pt idx="4">
                  <c:v>42824</c:v>
                </c:pt>
                <c:pt idx="5">
                  <c:v>42855</c:v>
                </c:pt>
              </c:numCache>
            </c:numRef>
          </c:cat>
          <c:val>
            <c:numRef>
              <c:f>April!$C$86:$H$86</c:f>
              <c:numCache>
                <c:formatCode>#,##0</c:formatCode>
                <c:ptCount val="6"/>
                <c:pt idx="0">
                  <c:v>9070</c:v>
                </c:pt>
                <c:pt idx="1">
                  <c:v>9215</c:v>
                </c:pt>
                <c:pt idx="2">
                  <c:v>9371</c:v>
                </c:pt>
                <c:pt idx="3">
                  <c:v>9319</c:v>
                </c:pt>
                <c:pt idx="4">
                  <c:v>9908</c:v>
                </c:pt>
                <c:pt idx="5">
                  <c:v>9540</c:v>
                </c:pt>
              </c:numCache>
            </c:numRef>
          </c:val>
        </c:ser>
        <c:ser>
          <c:idx val="3"/>
          <c:order val="3"/>
          <c:tx>
            <c:strRef>
              <c:f>April!$B$87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April!$C$83:$H$83</c:f>
              <c:numCache>
                <c:formatCode>[$-419]mmmm\ yyyy;@</c:formatCode>
                <c:ptCount val="6"/>
                <c:pt idx="0">
                  <c:v>42702</c:v>
                </c:pt>
                <c:pt idx="1">
                  <c:v>42732</c:v>
                </c:pt>
                <c:pt idx="2">
                  <c:v>42763</c:v>
                </c:pt>
                <c:pt idx="3">
                  <c:v>42794</c:v>
                </c:pt>
                <c:pt idx="4">
                  <c:v>42824</c:v>
                </c:pt>
                <c:pt idx="5">
                  <c:v>42855</c:v>
                </c:pt>
              </c:numCache>
            </c:numRef>
          </c:cat>
          <c:val>
            <c:numRef>
              <c:f>April!$C$87:$H$87</c:f>
              <c:numCache>
                <c:formatCode>#,##0</c:formatCode>
                <c:ptCount val="6"/>
                <c:pt idx="0">
                  <c:v>10116</c:v>
                </c:pt>
                <c:pt idx="1">
                  <c:v>10694</c:v>
                </c:pt>
                <c:pt idx="2">
                  <c:v>10991</c:v>
                </c:pt>
                <c:pt idx="3">
                  <c:v>13509</c:v>
                </c:pt>
                <c:pt idx="4">
                  <c:v>14098</c:v>
                </c:pt>
                <c:pt idx="5">
                  <c:v>14622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0344320"/>
        <c:axId val="18159808"/>
        <c:axId val="0"/>
      </c:bar3DChart>
      <c:dateAx>
        <c:axId val="180344320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15980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159808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03443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May!$B$50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May!$C$50:$I$50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May!$B$51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May!$C$51:$I$51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May!$B$52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May!$C$52:$I$52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May!$B$53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May!$C$53:$I$53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0471296"/>
        <c:axId val="161833536"/>
        <c:axId val="0"/>
      </c:bar3DChart>
      <c:dateAx>
        <c:axId val="1804712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1833536"/>
        <c:crosses val="autoZero"/>
        <c:auto val="1"/>
        <c:lblOffset val="100"/>
        <c:baseTimeUnit val="years"/>
        <c:majorUnit val="1"/>
        <c:minorUnit val="1"/>
      </c:dateAx>
      <c:valAx>
        <c:axId val="161833536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0471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May!$B$84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May!$C$83:$H$83</c:f>
              <c:numCache>
                <c:formatCode>[$-419]mmmm\ yyyy;@</c:formatCode>
                <c:ptCount val="6"/>
                <c:pt idx="0">
                  <c:v>42732</c:v>
                </c:pt>
                <c:pt idx="1">
                  <c:v>42763</c:v>
                </c:pt>
                <c:pt idx="2">
                  <c:v>42794</c:v>
                </c:pt>
                <c:pt idx="3">
                  <c:v>42824</c:v>
                </c:pt>
                <c:pt idx="4">
                  <c:v>42855</c:v>
                </c:pt>
                <c:pt idx="5">
                  <c:v>42885</c:v>
                </c:pt>
              </c:numCache>
            </c:numRef>
          </c:cat>
          <c:val>
            <c:numRef>
              <c:f>May!$C$84:$H$84</c:f>
              <c:numCache>
                <c:formatCode>#,##0</c:formatCode>
                <c:ptCount val="6"/>
                <c:pt idx="0">
                  <c:v>1102966</c:v>
                </c:pt>
                <c:pt idx="1">
                  <c:v>1122053</c:v>
                </c:pt>
                <c:pt idx="2">
                  <c:v>1125369</c:v>
                </c:pt>
                <c:pt idx="3">
                  <c:v>1143968</c:v>
                </c:pt>
                <c:pt idx="4">
                  <c:v>1156796</c:v>
                </c:pt>
                <c:pt idx="5">
                  <c:v>1178131</c:v>
                </c:pt>
              </c:numCache>
            </c:numRef>
          </c:val>
        </c:ser>
        <c:ser>
          <c:idx val="1"/>
          <c:order val="1"/>
          <c:tx>
            <c:strRef>
              <c:f>May!$B$85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May!$C$83:$H$83</c:f>
              <c:numCache>
                <c:formatCode>[$-419]mmmm\ yyyy;@</c:formatCode>
                <c:ptCount val="6"/>
                <c:pt idx="0">
                  <c:v>42732</c:v>
                </c:pt>
                <c:pt idx="1">
                  <c:v>42763</c:v>
                </c:pt>
                <c:pt idx="2">
                  <c:v>42794</c:v>
                </c:pt>
                <c:pt idx="3">
                  <c:v>42824</c:v>
                </c:pt>
                <c:pt idx="4">
                  <c:v>42855</c:v>
                </c:pt>
                <c:pt idx="5">
                  <c:v>42885</c:v>
                </c:pt>
              </c:numCache>
            </c:numRef>
          </c:cat>
          <c:val>
            <c:numRef>
              <c:f>May!$C$85:$H$85</c:f>
              <c:numCache>
                <c:formatCode>#,##0</c:formatCode>
                <c:ptCount val="6"/>
                <c:pt idx="0">
                  <c:v>18622</c:v>
                </c:pt>
                <c:pt idx="1">
                  <c:v>18499</c:v>
                </c:pt>
                <c:pt idx="2">
                  <c:v>18472</c:v>
                </c:pt>
                <c:pt idx="3">
                  <c:v>18496</c:v>
                </c:pt>
                <c:pt idx="4">
                  <c:v>18504</c:v>
                </c:pt>
                <c:pt idx="5">
                  <c:v>18473</c:v>
                </c:pt>
              </c:numCache>
            </c:numRef>
          </c:val>
        </c:ser>
        <c:ser>
          <c:idx val="2"/>
          <c:order val="2"/>
          <c:tx>
            <c:strRef>
              <c:f>May!$B$86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May!$C$83:$H$83</c:f>
              <c:numCache>
                <c:formatCode>[$-419]mmmm\ yyyy;@</c:formatCode>
                <c:ptCount val="6"/>
                <c:pt idx="0">
                  <c:v>42732</c:v>
                </c:pt>
                <c:pt idx="1">
                  <c:v>42763</c:v>
                </c:pt>
                <c:pt idx="2">
                  <c:v>42794</c:v>
                </c:pt>
                <c:pt idx="3">
                  <c:v>42824</c:v>
                </c:pt>
                <c:pt idx="4">
                  <c:v>42855</c:v>
                </c:pt>
                <c:pt idx="5">
                  <c:v>42885</c:v>
                </c:pt>
              </c:numCache>
            </c:numRef>
          </c:cat>
          <c:val>
            <c:numRef>
              <c:f>May!$C$86:$H$86</c:f>
              <c:numCache>
                <c:formatCode>#,##0</c:formatCode>
                <c:ptCount val="6"/>
                <c:pt idx="0">
                  <c:v>9215</c:v>
                </c:pt>
                <c:pt idx="1">
                  <c:v>9371</c:v>
                </c:pt>
                <c:pt idx="2">
                  <c:v>9319</c:v>
                </c:pt>
                <c:pt idx="3">
                  <c:v>9908</c:v>
                </c:pt>
                <c:pt idx="4">
                  <c:v>9540</c:v>
                </c:pt>
                <c:pt idx="5">
                  <c:v>9591</c:v>
                </c:pt>
              </c:numCache>
            </c:numRef>
          </c:val>
        </c:ser>
        <c:ser>
          <c:idx val="3"/>
          <c:order val="3"/>
          <c:tx>
            <c:strRef>
              <c:f>May!$B$87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May!$C$83:$H$83</c:f>
              <c:numCache>
                <c:formatCode>[$-419]mmmm\ yyyy;@</c:formatCode>
                <c:ptCount val="6"/>
                <c:pt idx="0">
                  <c:v>42732</c:v>
                </c:pt>
                <c:pt idx="1">
                  <c:v>42763</c:v>
                </c:pt>
                <c:pt idx="2">
                  <c:v>42794</c:v>
                </c:pt>
                <c:pt idx="3">
                  <c:v>42824</c:v>
                </c:pt>
                <c:pt idx="4">
                  <c:v>42855</c:v>
                </c:pt>
                <c:pt idx="5">
                  <c:v>42885</c:v>
                </c:pt>
              </c:numCache>
            </c:numRef>
          </c:cat>
          <c:val>
            <c:numRef>
              <c:f>May!$C$87:$H$87</c:f>
              <c:numCache>
                <c:formatCode>#,##0</c:formatCode>
                <c:ptCount val="6"/>
                <c:pt idx="0">
                  <c:v>10694</c:v>
                </c:pt>
                <c:pt idx="1">
                  <c:v>10991</c:v>
                </c:pt>
                <c:pt idx="2">
                  <c:v>13509</c:v>
                </c:pt>
                <c:pt idx="3">
                  <c:v>14098</c:v>
                </c:pt>
                <c:pt idx="4">
                  <c:v>14622</c:v>
                </c:pt>
                <c:pt idx="5">
                  <c:v>15082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0473344"/>
        <c:axId val="161835840"/>
        <c:axId val="0"/>
      </c:bar3DChart>
      <c:dateAx>
        <c:axId val="18047334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18358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61835840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04733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June!$B$50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June!$C$50:$I$50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June!$B$51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June!$C$51:$I$51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June!$B$52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June!$C$52:$I$52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June!$B$53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June!$C$53:$I$53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10348544"/>
        <c:axId val="161838144"/>
        <c:axId val="0"/>
      </c:bar3DChart>
      <c:dateAx>
        <c:axId val="2103485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1838144"/>
        <c:crosses val="autoZero"/>
        <c:auto val="1"/>
        <c:lblOffset val="100"/>
        <c:baseTimeUnit val="years"/>
        <c:majorUnit val="1"/>
        <c:minorUnit val="1"/>
      </c:dateAx>
      <c:valAx>
        <c:axId val="161838144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103485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June!$B$84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June!$C$83:$H$83</c:f>
              <c:numCache>
                <c:formatCode>[$-419]mmmm\ yyyy;@</c:formatCode>
                <c:ptCount val="6"/>
                <c:pt idx="0">
                  <c:v>42763</c:v>
                </c:pt>
                <c:pt idx="1">
                  <c:v>42794</c:v>
                </c:pt>
                <c:pt idx="2">
                  <c:v>42824</c:v>
                </c:pt>
                <c:pt idx="3">
                  <c:v>42855</c:v>
                </c:pt>
                <c:pt idx="4">
                  <c:v>42885</c:v>
                </c:pt>
                <c:pt idx="5">
                  <c:v>42916</c:v>
                </c:pt>
              </c:numCache>
            </c:numRef>
          </c:cat>
          <c:val>
            <c:numRef>
              <c:f>June!$C$84:$H$84</c:f>
              <c:numCache>
                <c:formatCode>#,##0</c:formatCode>
                <c:ptCount val="6"/>
                <c:pt idx="0">
                  <c:v>1122053</c:v>
                </c:pt>
                <c:pt idx="1">
                  <c:v>1125369</c:v>
                </c:pt>
                <c:pt idx="2">
                  <c:v>1143968</c:v>
                </c:pt>
                <c:pt idx="3">
                  <c:v>1156796</c:v>
                </c:pt>
                <c:pt idx="4">
                  <c:v>1178131</c:v>
                </c:pt>
                <c:pt idx="5">
                  <c:v>1194087</c:v>
                </c:pt>
              </c:numCache>
            </c:numRef>
          </c:val>
        </c:ser>
        <c:ser>
          <c:idx val="1"/>
          <c:order val="1"/>
          <c:tx>
            <c:strRef>
              <c:f>June!$B$85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June!$C$83:$H$83</c:f>
              <c:numCache>
                <c:formatCode>[$-419]mmmm\ yyyy;@</c:formatCode>
                <c:ptCount val="6"/>
                <c:pt idx="0">
                  <c:v>42763</c:v>
                </c:pt>
                <c:pt idx="1">
                  <c:v>42794</c:v>
                </c:pt>
                <c:pt idx="2">
                  <c:v>42824</c:v>
                </c:pt>
                <c:pt idx="3">
                  <c:v>42855</c:v>
                </c:pt>
                <c:pt idx="4">
                  <c:v>42885</c:v>
                </c:pt>
                <c:pt idx="5">
                  <c:v>42916</c:v>
                </c:pt>
              </c:numCache>
            </c:numRef>
          </c:cat>
          <c:val>
            <c:numRef>
              <c:f>June!$C$85:$H$85</c:f>
              <c:numCache>
                <c:formatCode>#,##0</c:formatCode>
                <c:ptCount val="6"/>
                <c:pt idx="0">
                  <c:v>18499</c:v>
                </c:pt>
                <c:pt idx="1">
                  <c:v>18472</c:v>
                </c:pt>
                <c:pt idx="2">
                  <c:v>18496</c:v>
                </c:pt>
                <c:pt idx="3">
                  <c:v>18504</c:v>
                </c:pt>
                <c:pt idx="4">
                  <c:v>18473</c:v>
                </c:pt>
                <c:pt idx="5">
                  <c:v>18588</c:v>
                </c:pt>
              </c:numCache>
            </c:numRef>
          </c:val>
        </c:ser>
        <c:ser>
          <c:idx val="2"/>
          <c:order val="2"/>
          <c:tx>
            <c:strRef>
              <c:f>June!$B$86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June!$C$83:$H$83</c:f>
              <c:numCache>
                <c:formatCode>[$-419]mmmm\ yyyy;@</c:formatCode>
                <c:ptCount val="6"/>
                <c:pt idx="0">
                  <c:v>42763</c:v>
                </c:pt>
                <c:pt idx="1">
                  <c:v>42794</c:v>
                </c:pt>
                <c:pt idx="2">
                  <c:v>42824</c:v>
                </c:pt>
                <c:pt idx="3">
                  <c:v>42855</c:v>
                </c:pt>
                <c:pt idx="4">
                  <c:v>42885</c:v>
                </c:pt>
                <c:pt idx="5">
                  <c:v>42916</c:v>
                </c:pt>
              </c:numCache>
            </c:numRef>
          </c:cat>
          <c:val>
            <c:numRef>
              <c:f>June!$C$86:$H$86</c:f>
              <c:numCache>
                <c:formatCode>#,##0</c:formatCode>
                <c:ptCount val="6"/>
                <c:pt idx="0">
                  <c:v>9371</c:v>
                </c:pt>
                <c:pt idx="1">
                  <c:v>9319</c:v>
                </c:pt>
                <c:pt idx="2">
                  <c:v>9908</c:v>
                </c:pt>
                <c:pt idx="3">
                  <c:v>9540</c:v>
                </c:pt>
                <c:pt idx="4">
                  <c:v>9591</c:v>
                </c:pt>
                <c:pt idx="5">
                  <c:v>9805</c:v>
                </c:pt>
              </c:numCache>
            </c:numRef>
          </c:val>
        </c:ser>
        <c:ser>
          <c:idx val="3"/>
          <c:order val="3"/>
          <c:tx>
            <c:strRef>
              <c:f>June!$B$87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June!$C$83:$H$83</c:f>
              <c:numCache>
                <c:formatCode>[$-419]mmmm\ yyyy;@</c:formatCode>
                <c:ptCount val="6"/>
                <c:pt idx="0">
                  <c:v>42763</c:v>
                </c:pt>
                <c:pt idx="1">
                  <c:v>42794</c:v>
                </c:pt>
                <c:pt idx="2">
                  <c:v>42824</c:v>
                </c:pt>
                <c:pt idx="3">
                  <c:v>42855</c:v>
                </c:pt>
                <c:pt idx="4">
                  <c:v>42885</c:v>
                </c:pt>
                <c:pt idx="5">
                  <c:v>42916</c:v>
                </c:pt>
              </c:numCache>
            </c:numRef>
          </c:cat>
          <c:val>
            <c:numRef>
              <c:f>June!$C$87:$H$87</c:f>
              <c:numCache>
                <c:formatCode>#,##0</c:formatCode>
                <c:ptCount val="6"/>
                <c:pt idx="0">
                  <c:v>10991</c:v>
                </c:pt>
                <c:pt idx="1">
                  <c:v>13509</c:v>
                </c:pt>
                <c:pt idx="2">
                  <c:v>14098</c:v>
                </c:pt>
                <c:pt idx="3">
                  <c:v>14622</c:v>
                </c:pt>
                <c:pt idx="4">
                  <c:v>15082</c:v>
                </c:pt>
                <c:pt idx="5">
                  <c:v>15779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10351616"/>
        <c:axId val="161840448"/>
        <c:axId val="0"/>
      </c:bar3DChart>
      <c:dateAx>
        <c:axId val="21035161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18404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61840448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103516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July!$B$50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July!$C$50:$I$50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July!$B$51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July!$C$51:$I$51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July!$B$52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July!$C$52:$I$52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July!$B$53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July!$C$53:$I$53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326615040"/>
        <c:axId val="166422208"/>
        <c:axId val="0"/>
      </c:bar3DChart>
      <c:dateAx>
        <c:axId val="32661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6422208"/>
        <c:crosses val="autoZero"/>
        <c:auto val="1"/>
        <c:lblOffset val="100"/>
        <c:baseTimeUnit val="years"/>
        <c:majorUnit val="1"/>
        <c:minorUnit val="1"/>
      </c:dateAx>
      <c:valAx>
        <c:axId val="166422208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3266150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July!$B$84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July!$C$83:$H$83</c:f>
              <c:numCache>
                <c:formatCode>[$-419]mmmm\ yyyy;@</c:formatCode>
                <c:ptCount val="6"/>
                <c:pt idx="0">
                  <c:v>42794</c:v>
                </c:pt>
                <c:pt idx="1">
                  <c:v>42824</c:v>
                </c:pt>
                <c:pt idx="2">
                  <c:v>42855</c:v>
                </c:pt>
                <c:pt idx="3">
                  <c:v>42885</c:v>
                </c:pt>
                <c:pt idx="4">
                  <c:v>42916</c:v>
                </c:pt>
                <c:pt idx="5">
                  <c:v>42946</c:v>
                </c:pt>
              </c:numCache>
            </c:numRef>
          </c:cat>
          <c:val>
            <c:numRef>
              <c:f>July!$C$84:$H$84</c:f>
              <c:numCache>
                <c:formatCode>#,##0</c:formatCode>
                <c:ptCount val="6"/>
                <c:pt idx="0">
                  <c:v>1125369</c:v>
                </c:pt>
                <c:pt idx="1">
                  <c:v>1143968</c:v>
                </c:pt>
                <c:pt idx="2">
                  <c:v>1156796</c:v>
                </c:pt>
                <c:pt idx="3">
                  <c:v>1178131</c:v>
                </c:pt>
                <c:pt idx="4">
                  <c:v>1194087</c:v>
                </c:pt>
                <c:pt idx="5">
                  <c:v>1207926</c:v>
                </c:pt>
              </c:numCache>
            </c:numRef>
          </c:val>
        </c:ser>
        <c:ser>
          <c:idx val="1"/>
          <c:order val="1"/>
          <c:tx>
            <c:strRef>
              <c:f>July!$B$85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July!$C$83:$H$83</c:f>
              <c:numCache>
                <c:formatCode>[$-419]mmmm\ yyyy;@</c:formatCode>
                <c:ptCount val="6"/>
                <c:pt idx="0">
                  <c:v>42794</c:v>
                </c:pt>
                <c:pt idx="1">
                  <c:v>42824</c:v>
                </c:pt>
                <c:pt idx="2">
                  <c:v>42855</c:v>
                </c:pt>
                <c:pt idx="3">
                  <c:v>42885</c:v>
                </c:pt>
                <c:pt idx="4">
                  <c:v>42916</c:v>
                </c:pt>
                <c:pt idx="5">
                  <c:v>42946</c:v>
                </c:pt>
              </c:numCache>
            </c:numRef>
          </c:cat>
          <c:val>
            <c:numRef>
              <c:f>July!$C$85:$H$85</c:f>
              <c:numCache>
                <c:formatCode>#,##0</c:formatCode>
                <c:ptCount val="6"/>
                <c:pt idx="0">
                  <c:v>18472</c:v>
                </c:pt>
                <c:pt idx="1">
                  <c:v>18496</c:v>
                </c:pt>
                <c:pt idx="2">
                  <c:v>18504</c:v>
                </c:pt>
                <c:pt idx="3">
                  <c:v>18473</c:v>
                </c:pt>
                <c:pt idx="4">
                  <c:v>18588</c:v>
                </c:pt>
                <c:pt idx="5">
                  <c:v>18578</c:v>
                </c:pt>
              </c:numCache>
            </c:numRef>
          </c:val>
        </c:ser>
        <c:ser>
          <c:idx val="2"/>
          <c:order val="2"/>
          <c:tx>
            <c:strRef>
              <c:f>July!$B$86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July!$C$83:$H$83</c:f>
              <c:numCache>
                <c:formatCode>[$-419]mmmm\ yyyy;@</c:formatCode>
                <c:ptCount val="6"/>
                <c:pt idx="0">
                  <c:v>42794</c:v>
                </c:pt>
                <c:pt idx="1">
                  <c:v>42824</c:v>
                </c:pt>
                <c:pt idx="2">
                  <c:v>42855</c:v>
                </c:pt>
                <c:pt idx="3">
                  <c:v>42885</c:v>
                </c:pt>
                <c:pt idx="4">
                  <c:v>42916</c:v>
                </c:pt>
                <c:pt idx="5">
                  <c:v>42946</c:v>
                </c:pt>
              </c:numCache>
            </c:numRef>
          </c:cat>
          <c:val>
            <c:numRef>
              <c:f>July!$C$86:$H$86</c:f>
              <c:numCache>
                <c:formatCode>#,##0</c:formatCode>
                <c:ptCount val="6"/>
                <c:pt idx="0">
                  <c:v>9319</c:v>
                </c:pt>
                <c:pt idx="1">
                  <c:v>9908</c:v>
                </c:pt>
                <c:pt idx="2">
                  <c:v>9540</c:v>
                </c:pt>
                <c:pt idx="3">
                  <c:v>9591</c:v>
                </c:pt>
                <c:pt idx="4">
                  <c:v>9805</c:v>
                </c:pt>
                <c:pt idx="5">
                  <c:v>9901</c:v>
                </c:pt>
              </c:numCache>
            </c:numRef>
          </c:val>
        </c:ser>
        <c:ser>
          <c:idx val="3"/>
          <c:order val="3"/>
          <c:tx>
            <c:strRef>
              <c:f>July!$B$87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July!$C$83:$H$83</c:f>
              <c:numCache>
                <c:formatCode>[$-419]mmmm\ yyyy;@</c:formatCode>
                <c:ptCount val="6"/>
                <c:pt idx="0">
                  <c:v>42794</c:v>
                </c:pt>
                <c:pt idx="1">
                  <c:v>42824</c:v>
                </c:pt>
                <c:pt idx="2">
                  <c:v>42855</c:v>
                </c:pt>
                <c:pt idx="3">
                  <c:v>42885</c:v>
                </c:pt>
                <c:pt idx="4">
                  <c:v>42916</c:v>
                </c:pt>
                <c:pt idx="5">
                  <c:v>42946</c:v>
                </c:pt>
              </c:numCache>
            </c:numRef>
          </c:cat>
          <c:val>
            <c:numRef>
              <c:f>July!$C$87:$H$87</c:f>
              <c:numCache>
                <c:formatCode>#,##0</c:formatCode>
                <c:ptCount val="6"/>
                <c:pt idx="0">
                  <c:v>13509</c:v>
                </c:pt>
                <c:pt idx="1">
                  <c:v>14098</c:v>
                </c:pt>
                <c:pt idx="2">
                  <c:v>14622</c:v>
                </c:pt>
                <c:pt idx="3">
                  <c:v>15082</c:v>
                </c:pt>
                <c:pt idx="4">
                  <c:v>15779</c:v>
                </c:pt>
                <c:pt idx="5">
                  <c:v>16881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326616576"/>
        <c:axId val="166424512"/>
        <c:axId val="0"/>
      </c:bar3DChart>
      <c:dateAx>
        <c:axId val="32661657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642451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66424512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326616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August!$B$50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August!$C$50:$I$50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August!$B$51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August!$C$51:$I$51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August!$B$52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August!$C$52:$I$52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August!$B$53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August!$C$53:$I$53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2962944"/>
        <c:axId val="166426816"/>
        <c:axId val="0"/>
      </c:bar3DChart>
      <c:dateAx>
        <c:axId val="1229629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66426816"/>
        <c:crosses val="autoZero"/>
        <c:auto val="1"/>
        <c:lblOffset val="100"/>
        <c:baseTimeUnit val="years"/>
        <c:majorUnit val="1"/>
        <c:minorUnit val="1"/>
      </c:dateAx>
      <c:valAx>
        <c:axId val="166426816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29629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August!$B$84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August!$C$83:$H$83</c:f>
              <c:numCache>
                <c:formatCode>[$-419]mmmm\ yyyy;@</c:formatCode>
                <c:ptCount val="6"/>
                <c:pt idx="0">
                  <c:v>42824</c:v>
                </c:pt>
                <c:pt idx="1">
                  <c:v>42855</c:v>
                </c:pt>
                <c:pt idx="2">
                  <c:v>42885</c:v>
                </c:pt>
                <c:pt idx="3">
                  <c:v>42916</c:v>
                </c:pt>
                <c:pt idx="4">
                  <c:v>42947</c:v>
                </c:pt>
                <c:pt idx="5">
                  <c:v>42978</c:v>
                </c:pt>
              </c:numCache>
            </c:numRef>
          </c:cat>
          <c:val>
            <c:numRef>
              <c:f>August!$C$84:$H$84</c:f>
              <c:numCache>
                <c:formatCode>#,##0</c:formatCode>
                <c:ptCount val="6"/>
                <c:pt idx="0">
                  <c:v>1143968</c:v>
                </c:pt>
                <c:pt idx="1">
                  <c:v>1156796</c:v>
                </c:pt>
                <c:pt idx="2">
                  <c:v>1178131</c:v>
                </c:pt>
                <c:pt idx="3">
                  <c:v>1194087</c:v>
                </c:pt>
                <c:pt idx="4">
                  <c:v>1207926</c:v>
                </c:pt>
                <c:pt idx="5">
                  <c:v>1224837</c:v>
                </c:pt>
              </c:numCache>
            </c:numRef>
          </c:val>
        </c:ser>
        <c:ser>
          <c:idx val="1"/>
          <c:order val="1"/>
          <c:tx>
            <c:strRef>
              <c:f>August!$B$85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August!$C$83:$H$83</c:f>
              <c:numCache>
                <c:formatCode>[$-419]mmmm\ yyyy;@</c:formatCode>
                <c:ptCount val="6"/>
                <c:pt idx="0">
                  <c:v>42824</c:v>
                </c:pt>
                <c:pt idx="1">
                  <c:v>42855</c:v>
                </c:pt>
                <c:pt idx="2">
                  <c:v>42885</c:v>
                </c:pt>
                <c:pt idx="3">
                  <c:v>42916</c:v>
                </c:pt>
                <c:pt idx="4">
                  <c:v>42947</c:v>
                </c:pt>
                <c:pt idx="5">
                  <c:v>42978</c:v>
                </c:pt>
              </c:numCache>
            </c:numRef>
          </c:cat>
          <c:val>
            <c:numRef>
              <c:f>August!$C$85:$H$85</c:f>
              <c:numCache>
                <c:formatCode>#,##0</c:formatCode>
                <c:ptCount val="6"/>
                <c:pt idx="0">
                  <c:v>18496</c:v>
                </c:pt>
                <c:pt idx="1">
                  <c:v>18504</c:v>
                </c:pt>
                <c:pt idx="2">
                  <c:v>18473</c:v>
                </c:pt>
                <c:pt idx="3">
                  <c:v>18588</c:v>
                </c:pt>
                <c:pt idx="4">
                  <c:v>18578</c:v>
                </c:pt>
                <c:pt idx="5">
                  <c:v>18539</c:v>
                </c:pt>
              </c:numCache>
            </c:numRef>
          </c:val>
        </c:ser>
        <c:ser>
          <c:idx val="2"/>
          <c:order val="2"/>
          <c:tx>
            <c:strRef>
              <c:f>August!$B$86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August!$C$83:$H$83</c:f>
              <c:numCache>
                <c:formatCode>[$-419]mmmm\ yyyy;@</c:formatCode>
                <c:ptCount val="6"/>
                <c:pt idx="0">
                  <c:v>42824</c:v>
                </c:pt>
                <c:pt idx="1">
                  <c:v>42855</c:v>
                </c:pt>
                <c:pt idx="2">
                  <c:v>42885</c:v>
                </c:pt>
                <c:pt idx="3">
                  <c:v>42916</c:v>
                </c:pt>
                <c:pt idx="4">
                  <c:v>42947</c:v>
                </c:pt>
                <c:pt idx="5">
                  <c:v>42978</c:v>
                </c:pt>
              </c:numCache>
            </c:numRef>
          </c:cat>
          <c:val>
            <c:numRef>
              <c:f>August!$C$86:$H$86</c:f>
              <c:numCache>
                <c:formatCode>#,##0</c:formatCode>
                <c:ptCount val="6"/>
                <c:pt idx="0">
                  <c:v>9908</c:v>
                </c:pt>
                <c:pt idx="1">
                  <c:v>9540</c:v>
                </c:pt>
                <c:pt idx="2">
                  <c:v>9591</c:v>
                </c:pt>
                <c:pt idx="3">
                  <c:v>9805</c:v>
                </c:pt>
                <c:pt idx="4">
                  <c:v>9901</c:v>
                </c:pt>
                <c:pt idx="5">
                  <c:v>10116</c:v>
                </c:pt>
              </c:numCache>
            </c:numRef>
          </c:val>
        </c:ser>
        <c:ser>
          <c:idx val="3"/>
          <c:order val="3"/>
          <c:tx>
            <c:strRef>
              <c:f>August!$B$87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August!$C$83:$H$83</c:f>
              <c:numCache>
                <c:formatCode>[$-419]mmmm\ yyyy;@</c:formatCode>
                <c:ptCount val="6"/>
                <c:pt idx="0">
                  <c:v>42824</c:v>
                </c:pt>
                <c:pt idx="1">
                  <c:v>42855</c:v>
                </c:pt>
                <c:pt idx="2">
                  <c:v>42885</c:v>
                </c:pt>
                <c:pt idx="3">
                  <c:v>42916</c:v>
                </c:pt>
                <c:pt idx="4">
                  <c:v>42947</c:v>
                </c:pt>
                <c:pt idx="5">
                  <c:v>42978</c:v>
                </c:pt>
              </c:numCache>
            </c:numRef>
          </c:cat>
          <c:val>
            <c:numRef>
              <c:f>August!$C$87:$H$87</c:f>
              <c:numCache>
                <c:formatCode>#,##0</c:formatCode>
                <c:ptCount val="6"/>
                <c:pt idx="0">
                  <c:v>14098</c:v>
                </c:pt>
                <c:pt idx="1">
                  <c:v>14622</c:v>
                </c:pt>
                <c:pt idx="2">
                  <c:v>15082</c:v>
                </c:pt>
                <c:pt idx="3">
                  <c:v>15779</c:v>
                </c:pt>
                <c:pt idx="4">
                  <c:v>16881</c:v>
                </c:pt>
                <c:pt idx="5">
                  <c:v>18110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2960896"/>
        <c:axId val="174367296"/>
        <c:axId val="0"/>
      </c:bar3DChart>
      <c:dateAx>
        <c:axId val="12296089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7436729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74367296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29608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September!$B$50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September!$C$50:$I$50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September!$B$51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September!$C$51:$I$51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September!$B$52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September!$C$52:$I$52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September!$B$53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September!$C$53:$I$53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9480192"/>
        <c:axId val="174369600"/>
        <c:axId val="0"/>
      </c:bar3DChart>
      <c:dateAx>
        <c:axId val="1294801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74369600"/>
        <c:crosses val="autoZero"/>
        <c:auto val="1"/>
        <c:lblOffset val="100"/>
        <c:baseTimeUnit val="years"/>
        <c:majorUnit val="1"/>
        <c:minorUnit val="1"/>
      </c:dateAx>
      <c:valAx>
        <c:axId val="174369600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948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September!$B$84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September!$C$83:$H$83</c:f>
              <c:numCache>
                <c:formatCode>[$-419]mmmm\ yyyy;@</c:formatCode>
                <c:ptCount val="6"/>
                <c:pt idx="0">
                  <c:v>42855</c:v>
                </c:pt>
                <c:pt idx="1">
                  <c:v>42885</c:v>
                </c:pt>
                <c:pt idx="2">
                  <c:v>42916</c:v>
                </c:pt>
                <c:pt idx="3">
                  <c:v>42946</c:v>
                </c:pt>
                <c:pt idx="4">
                  <c:v>42977</c:v>
                </c:pt>
                <c:pt idx="5">
                  <c:v>43008</c:v>
                </c:pt>
              </c:numCache>
            </c:numRef>
          </c:cat>
          <c:val>
            <c:numRef>
              <c:f>September!$C$84:$H$84</c:f>
              <c:numCache>
                <c:formatCode>#,##0</c:formatCode>
                <c:ptCount val="6"/>
                <c:pt idx="0">
                  <c:v>1156796</c:v>
                </c:pt>
                <c:pt idx="1">
                  <c:v>1178131</c:v>
                </c:pt>
                <c:pt idx="2">
                  <c:v>1194087</c:v>
                </c:pt>
                <c:pt idx="3">
                  <c:v>1207926</c:v>
                </c:pt>
                <c:pt idx="4">
                  <c:v>1224837</c:v>
                </c:pt>
                <c:pt idx="5">
                  <c:v>1253028</c:v>
                </c:pt>
              </c:numCache>
            </c:numRef>
          </c:val>
        </c:ser>
        <c:ser>
          <c:idx val="1"/>
          <c:order val="1"/>
          <c:tx>
            <c:strRef>
              <c:f>September!$B$85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September!$C$83:$H$83</c:f>
              <c:numCache>
                <c:formatCode>[$-419]mmmm\ yyyy;@</c:formatCode>
                <c:ptCount val="6"/>
                <c:pt idx="0">
                  <c:v>42855</c:v>
                </c:pt>
                <c:pt idx="1">
                  <c:v>42885</c:v>
                </c:pt>
                <c:pt idx="2">
                  <c:v>42916</c:v>
                </c:pt>
                <c:pt idx="3">
                  <c:v>42946</c:v>
                </c:pt>
                <c:pt idx="4">
                  <c:v>42977</c:v>
                </c:pt>
                <c:pt idx="5">
                  <c:v>43008</c:v>
                </c:pt>
              </c:numCache>
            </c:numRef>
          </c:cat>
          <c:val>
            <c:numRef>
              <c:f>September!$C$85:$H$85</c:f>
              <c:numCache>
                <c:formatCode>#,##0</c:formatCode>
                <c:ptCount val="6"/>
                <c:pt idx="0">
                  <c:v>18504</c:v>
                </c:pt>
                <c:pt idx="1">
                  <c:v>18473</c:v>
                </c:pt>
                <c:pt idx="2">
                  <c:v>18588</c:v>
                </c:pt>
                <c:pt idx="3">
                  <c:v>18578</c:v>
                </c:pt>
                <c:pt idx="4">
                  <c:v>18539</c:v>
                </c:pt>
                <c:pt idx="5">
                  <c:v>18550</c:v>
                </c:pt>
              </c:numCache>
            </c:numRef>
          </c:val>
        </c:ser>
        <c:ser>
          <c:idx val="2"/>
          <c:order val="2"/>
          <c:tx>
            <c:strRef>
              <c:f>September!$B$86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September!$C$83:$H$83</c:f>
              <c:numCache>
                <c:formatCode>[$-419]mmmm\ yyyy;@</c:formatCode>
                <c:ptCount val="6"/>
                <c:pt idx="0">
                  <c:v>42855</c:v>
                </c:pt>
                <c:pt idx="1">
                  <c:v>42885</c:v>
                </c:pt>
                <c:pt idx="2">
                  <c:v>42916</c:v>
                </c:pt>
                <c:pt idx="3">
                  <c:v>42946</c:v>
                </c:pt>
                <c:pt idx="4">
                  <c:v>42977</c:v>
                </c:pt>
                <c:pt idx="5">
                  <c:v>43008</c:v>
                </c:pt>
              </c:numCache>
            </c:numRef>
          </c:cat>
          <c:val>
            <c:numRef>
              <c:f>September!$C$86:$H$86</c:f>
              <c:numCache>
                <c:formatCode>#,##0</c:formatCode>
                <c:ptCount val="6"/>
                <c:pt idx="0">
                  <c:v>9540</c:v>
                </c:pt>
                <c:pt idx="1">
                  <c:v>9591</c:v>
                </c:pt>
                <c:pt idx="2">
                  <c:v>9805</c:v>
                </c:pt>
                <c:pt idx="3">
                  <c:v>9901</c:v>
                </c:pt>
                <c:pt idx="4">
                  <c:v>10116</c:v>
                </c:pt>
                <c:pt idx="5">
                  <c:v>10474</c:v>
                </c:pt>
              </c:numCache>
            </c:numRef>
          </c:val>
        </c:ser>
        <c:ser>
          <c:idx val="3"/>
          <c:order val="3"/>
          <c:tx>
            <c:strRef>
              <c:f>September!$B$87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September!$C$83:$H$83</c:f>
              <c:numCache>
                <c:formatCode>[$-419]mmmm\ yyyy;@</c:formatCode>
                <c:ptCount val="6"/>
                <c:pt idx="0">
                  <c:v>42855</c:v>
                </c:pt>
                <c:pt idx="1">
                  <c:v>42885</c:v>
                </c:pt>
                <c:pt idx="2">
                  <c:v>42916</c:v>
                </c:pt>
                <c:pt idx="3">
                  <c:v>42946</c:v>
                </c:pt>
                <c:pt idx="4">
                  <c:v>42977</c:v>
                </c:pt>
                <c:pt idx="5">
                  <c:v>43008</c:v>
                </c:pt>
              </c:numCache>
            </c:numRef>
          </c:cat>
          <c:val>
            <c:numRef>
              <c:f>September!$C$87:$H$87</c:f>
              <c:numCache>
                <c:formatCode>#,##0</c:formatCode>
                <c:ptCount val="6"/>
                <c:pt idx="0">
                  <c:v>14622</c:v>
                </c:pt>
                <c:pt idx="1">
                  <c:v>15082</c:v>
                </c:pt>
                <c:pt idx="2">
                  <c:v>15779</c:v>
                </c:pt>
                <c:pt idx="3">
                  <c:v>16881</c:v>
                </c:pt>
                <c:pt idx="4">
                  <c:v>18110</c:v>
                </c:pt>
                <c:pt idx="5">
                  <c:v>18940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9572864"/>
        <c:axId val="174371904"/>
        <c:axId val="0"/>
      </c:bar3DChart>
      <c:dateAx>
        <c:axId val="12957286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7437190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74371904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95728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October!$B$50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October!$C$50:$I$50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October!$B$51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October!$C$51:$I$51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October!$B$52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October!$C$52:$I$52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October!$B$53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October!$C$53:$I$53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2980864"/>
        <c:axId val="174374208"/>
        <c:axId val="0"/>
      </c:bar3DChart>
      <c:dateAx>
        <c:axId val="1229808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74374208"/>
        <c:crosses val="autoZero"/>
        <c:auto val="1"/>
        <c:lblOffset val="100"/>
        <c:baseTimeUnit val="years"/>
        <c:majorUnit val="1"/>
        <c:minorUnit val="1"/>
      </c:dateAx>
      <c:valAx>
        <c:axId val="174374208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29808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October!$B$84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October!$C$83:$H$83</c:f>
              <c:numCache>
                <c:formatCode>[$-419]mmmm\ yyyy;@</c:formatCode>
                <c:ptCount val="6"/>
                <c:pt idx="0">
                  <c:v>42885</c:v>
                </c:pt>
                <c:pt idx="1">
                  <c:v>42916</c:v>
                </c:pt>
                <c:pt idx="2">
                  <c:v>42946</c:v>
                </c:pt>
                <c:pt idx="3">
                  <c:v>42977</c:v>
                </c:pt>
                <c:pt idx="4">
                  <c:v>43008</c:v>
                </c:pt>
                <c:pt idx="5">
                  <c:v>43038</c:v>
                </c:pt>
              </c:numCache>
            </c:numRef>
          </c:cat>
          <c:val>
            <c:numRef>
              <c:f>October!$C$84:$H$84</c:f>
              <c:numCache>
                <c:formatCode>#,##0</c:formatCode>
                <c:ptCount val="6"/>
                <c:pt idx="0">
                  <c:v>1178131</c:v>
                </c:pt>
                <c:pt idx="1">
                  <c:v>1194087</c:v>
                </c:pt>
                <c:pt idx="2">
                  <c:v>1207926</c:v>
                </c:pt>
                <c:pt idx="3">
                  <c:v>1224837</c:v>
                </c:pt>
                <c:pt idx="4">
                  <c:v>1253028</c:v>
                </c:pt>
                <c:pt idx="5">
                  <c:v>1265256</c:v>
                </c:pt>
              </c:numCache>
            </c:numRef>
          </c:val>
        </c:ser>
        <c:ser>
          <c:idx val="1"/>
          <c:order val="1"/>
          <c:tx>
            <c:strRef>
              <c:f>October!$B$85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October!$C$83:$H$83</c:f>
              <c:numCache>
                <c:formatCode>[$-419]mmmm\ yyyy;@</c:formatCode>
                <c:ptCount val="6"/>
                <c:pt idx="0">
                  <c:v>42885</c:v>
                </c:pt>
                <c:pt idx="1">
                  <c:v>42916</c:v>
                </c:pt>
                <c:pt idx="2">
                  <c:v>42946</c:v>
                </c:pt>
                <c:pt idx="3">
                  <c:v>42977</c:v>
                </c:pt>
                <c:pt idx="4">
                  <c:v>43008</c:v>
                </c:pt>
                <c:pt idx="5">
                  <c:v>43038</c:v>
                </c:pt>
              </c:numCache>
            </c:numRef>
          </c:cat>
          <c:val>
            <c:numRef>
              <c:f>October!$C$85:$H$85</c:f>
              <c:numCache>
                <c:formatCode>#,##0</c:formatCode>
                <c:ptCount val="6"/>
                <c:pt idx="0">
                  <c:v>18473</c:v>
                </c:pt>
                <c:pt idx="1">
                  <c:v>18588</c:v>
                </c:pt>
                <c:pt idx="2">
                  <c:v>18578</c:v>
                </c:pt>
                <c:pt idx="3">
                  <c:v>18539</c:v>
                </c:pt>
                <c:pt idx="4">
                  <c:v>18550</c:v>
                </c:pt>
                <c:pt idx="5">
                  <c:v>17992</c:v>
                </c:pt>
              </c:numCache>
            </c:numRef>
          </c:val>
        </c:ser>
        <c:ser>
          <c:idx val="2"/>
          <c:order val="2"/>
          <c:tx>
            <c:strRef>
              <c:f>October!$B$86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October!$C$83:$H$83</c:f>
              <c:numCache>
                <c:formatCode>[$-419]mmmm\ yyyy;@</c:formatCode>
                <c:ptCount val="6"/>
                <c:pt idx="0">
                  <c:v>42885</c:v>
                </c:pt>
                <c:pt idx="1">
                  <c:v>42916</c:v>
                </c:pt>
                <c:pt idx="2">
                  <c:v>42946</c:v>
                </c:pt>
                <c:pt idx="3">
                  <c:v>42977</c:v>
                </c:pt>
                <c:pt idx="4">
                  <c:v>43008</c:v>
                </c:pt>
                <c:pt idx="5">
                  <c:v>43038</c:v>
                </c:pt>
              </c:numCache>
            </c:numRef>
          </c:cat>
          <c:val>
            <c:numRef>
              <c:f>October!$C$86:$H$86</c:f>
              <c:numCache>
                <c:formatCode>#,##0</c:formatCode>
                <c:ptCount val="6"/>
                <c:pt idx="0">
                  <c:v>9591</c:v>
                </c:pt>
                <c:pt idx="1">
                  <c:v>9805</c:v>
                </c:pt>
                <c:pt idx="2">
                  <c:v>9901</c:v>
                </c:pt>
                <c:pt idx="3">
                  <c:v>10116</c:v>
                </c:pt>
                <c:pt idx="4">
                  <c:v>10474</c:v>
                </c:pt>
                <c:pt idx="5">
                  <c:v>10117</c:v>
                </c:pt>
              </c:numCache>
            </c:numRef>
          </c:val>
        </c:ser>
        <c:ser>
          <c:idx val="3"/>
          <c:order val="3"/>
          <c:tx>
            <c:strRef>
              <c:f>October!$B$87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October!$C$83:$H$83</c:f>
              <c:numCache>
                <c:formatCode>[$-419]mmmm\ yyyy;@</c:formatCode>
                <c:ptCount val="6"/>
                <c:pt idx="0">
                  <c:v>42885</c:v>
                </c:pt>
                <c:pt idx="1">
                  <c:v>42916</c:v>
                </c:pt>
                <c:pt idx="2">
                  <c:v>42946</c:v>
                </c:pt>
                <c:pt idx="3">
                  <c:v>42977</c:v>
                </c:pt>
                <c:pt idx="4">
                  <c:v>43008</c:v>
                </c:pt>
                <c:pt idx="5">
                  <c:v>43038</c:v>
                </c:pt>
              </c:numCache>
            </c:numRef>
          </c:cat>
          <c:val>
            <c:numRef>
              <c:f>October!$C$87:$H$87</c:f>
              <c:numCache>
                <c:formatCode>#,##0</c:formatCode>
                <c:ptCount val="6"/>
                <c:pt idx="0">
                  <c:v>15082</c:v>
                </c:pt>
                <c:pt idx="1">
                  <c:v>15779</c:v>
                </c:pt>
                <c:pt idx="2">
                  <c:v>16881</c:v>
                </c:pt>
                <c:pt idx="3">
                  <c:v>18110</c:v>
                </c:pt>
                <c:pt idx="4">
                  <c:v>18940</c:v>
                </c:pt>
                <c:pt idx="5">
                  <c:v>20071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9576448"/>
        <c:axId val="183436992"/>
        <c:axId val="0"/>
      </c:bar3DChart>
      <c:dateAx>
        <c:axId val="129576448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343699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3436992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9576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November!$B$50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November!$C$50:$I$50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November!$B$51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November!$C$51:$I$51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November!$B$52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November!$C$52:$I$52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November!$B$53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November!$C$53:$I$53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6560128"/>
        <c:axId val="183439296"/>
        <c:axId val="0"/>
      </c:bar3DChart>
      <c:dateAx>
        <c:axId val="13656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3439296"/>
        <c:crosses val="autoZero"/>
        <c:auto val="1"/>
        <c:lblOffset val="100"/>
        <c:baseTimeUnit val="years"/>
        <c:majorUnit val="1"/>
        <c:minorUnit val="1"/>
      </c:dateAx>
      <c:valAx>
        <c:axId val="183439296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65601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November!$B$84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November!$C$83:$H$83</c:f>
              <c:numCache>
                <c:formatCode>[$-419]mmmm\ yyyy;@</c:formatCode>
                <c:ptCount val="6"/>
                <c:pt idx="0">
                  <c:v>42916</c:v>
                </c:pt>
                <c:pt idx="1">
                  <c:v>42946</c:v>
                </c:pt>
                <c:pt idx="2">
                  <c:v>42977</c:v>
                </c:pt>
                <c:pt idx="3">
                  <c:v>43008</c:v>
                </c:pt>
                <c:pt idx="4">
                  <c:v>43038</c:v>
                </c:pt>
                <c:pt idx="5">
                  <c:v>43069</c:v>
                </c:pt>
              </c:numCache>
            </c:numRef>
          </c:cat>
          <c:val>
            <c:numRef>
              <c:f>November!$C$84:$H$84</c:f>
              <c:numCache>
                <c:formatCode>#,##0</c:formatCode>
                <c:ptCount val="6"/>
                <c:pt idx="0">
                  <c:v>1194087</c:v>
                </c:pt>
                <c:pt idx="1">
                  <c:v>1207926</c:v>
                </c:pt>
                <c:pt idx="2">
                  <c:v>1224837</c:v>
                </c:pt>
                <c:pt idx="3">
                  <c:v>1253028</c:v>
                </c:pt>
                <c:pt idx="4">
                  <c:v>1265256</c:v>
                </c:pt>
                <c:pt idx="5">
                  <c:v>1284771.0000000002</c:v>
                </c:pt>
              </c:numCache>
            </c:numRef>
          </c:val>
        </c:ser>
        <c:ser>
          <c:idx val="1"/>
          <c:order val="1"/>
          <c:tx>
            <c:strRef>
              <c:f>November!$B$85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November!$C$83:$H$83</c:f>
              <c:numCache>
                <c:formatCode>[$-419]mmmm\ yyyy;@</c:formatCode>
                <c:ptCount val="6"/>
                <c:pt idx="0">
                  <c:v>42916</c:v>
                </c:pt>
                <c:pt idx="1">
                  <c:v>42946</c:v>
                </c:pt>
                <c:pt idx="2">
                  <c:v>42977</c:v>
                </c:pt>
                <c:pt idx="3">
                  <c:v>43008</c:v>
                </c:pt>
                <c:pt idx="4">
                  <c:v>43038</c:v>
                </c:pt>
                <c:pt idx="5">
                  <c:v>43069</c:v>
                </c:pt>
              </c:numCache>
            </c:numRef>
          </c:cat>
          <c:val>
            <c:numRef>
              <c:f>November!$C$85:$H$85</c:f>
              <c:numCache>
                <c:formatCode>#,##0</c:formatCode>
                <c:ptCount val="6"/>
                <c:pt idx="0">
                  <c:v>18588</c:v>
                </c:pt>
                <c:pt idx="1">
                  <c:v>18578</c:v>
                </c:pt>
                <c:pt idx="2">
                  <c:v>18539</c:v>
                </c:pt>
                <c:pt idx="3">
                  <c:v>18550</c:v>
                </c:pt>
                <c:pt idx="4">
                  <c:v>17992</c:v>
                </c:pt>
                <c:pt idx="5">
                  <c:v>17818</c:v>
                </c:pt>
              </c:numCache>
            </c:numRef>
          </c:val>
        </c:ser>
        <c:ser>
          <c:idx val="2"/>
          <c:order val="2"/>
          <c:tx>
            <c:strRef>
              <c:f>November!$B$86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November!$C$83:$H$83</c:f>
              <c:numCache>
                <c:formatCode>[$-419]mmmm\ yyyy;@</c:formatCode>
                <c:ptCount val="6"/>
                <c:pt idx="0">
                  <c:v>42916</c:v>
                </c:pt>
                <c:pt idx="1">
                  <c:v>42946</c:v>
                </c:pt>
                <c:pt idx="2">
                  <c:v>42977</c:v>
                </c:pt>
                <c:pt idx="3">
                  <c:v>43008</c:v>
                </c:pt>
                <c:pt idx="4">
                  <c:v>43038</c:v>
                </c:pt>
                <c:pt idx="5">
                  <c:v>43069</c:v>
                </c:pt>
              </c:numCache>
            </c:numRef>
          </c:cat>
          <c:val>
            <c:numRef>
              <c:f>November!$C$86:$H$86</c:f>
              <c:numCache>
                <c:formatCode>#,##0</c:formatCode>
                <c:ptCount val="6"/>
                <c:pt idx="0">
                  <c:v>9805</c:v>
                </c:pt>
                <c:pt idx="1">
                  <c:v>9901</c:v>
                </c:pt>
                <c:pt idx="2">
                  <c:v>10116</c:v>
                </c:pt>
                <c:pt idx="3">
                  <c:v>10474</c:v>
                </c:pt>
                <c:pt idx="4">
                  <c:v>10117</c:v>
                </c:pt>
                <c:pt idx="5">
                  <c:v>10090</c:v>
                </c:pt>
              </c:numCache>
            </c:numRef>
          </c:val>
        </c:ser>
        <c:ser>
          <c:idx val="3"/>
          <c:order val="3"/>
          <c:tx>
            <c:strRef>
              <c:f>November!$B$87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November!$C$83:$H$83</c:f>
              <c:numCache>
                <c:formatCode>[$-419]mmmm\ yyyy;@</c:formatCode>
                <c:ptCount val="6"/>
                <c:pt idx="0">
                  <c:v>42916</c:v>
                </c:pt>
                <c:pt idx="1">
                  <c:v>42946</c:v>
                </c:pt>
                <c:pt idx="2">
                  <c:v>42977</c:v>
                </c:pt>
                <c:pt idx="3">
                  <c:v>43008</c:v>
                </c:pt>
                <c:pt idx="4">
                  <c:v>43038</c:v>
                </c:pt>
                <c:pt idx="5">
                  <c:v>43069</c:v>
                </c:pt>
              </c:numCache>
            </c:numRef>
          </c:cat>
          <c:val>
            <c:numRef>
              <c:f>November!$C$87:$H$87</c:f>
              <c:numCache>
                <c:formatCode>#,##0</c:formatCode>
                <c:ptCount val="6"/>
                <c:pt idx="0">
                  <c:v>15779</c:v>
                </c:pt>
                <c:pt idx="1">
                  <c:v>16881</c:v>
                </c:pt>
                <c:pt idx="2">
                  <c:v>18110</c:v>
                </c:pt>
                <c:pt idx="3">
                  <c:v>18940</c:v>
                </c:pt>
                <c:pt idx="4">
                  <c:v>20071</c:v>
                </c:pt>
                <c:pt idx="5">
                  <c:v>20882.999999999996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8907136"/>
        <c:axId val="183441600"/>
        <c:axId val="0"/>
      </c:bar3DChart>
      <c:dateAx>
        <c:axId val="13890713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344160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3441600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89071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December!$B$50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December!$C$49:$I$49</c:f>
              <c:numCache>
                <c:formatCode>General</c:formatCode>
                <c:ptCount val="7"/>
                <c:pt idx="2" formatCode="[$-419]mmmm\ yyyy;@">
                  <c:v>41639</c:v>
                </c:pt>
                <c:pt idx="3" formatCode="[$-419]mmmm\ yyyy;@">
                  <c:v>42004</c:v>
                </c:pt>
                <c:pt idx="4" formatCode="[$-419]mmmm\ yyyy;@">
                  <c:v>42369</c:v>
                </c:pt>
                <c:pt idx="5" formatCode="[$-419]mmmm\ yyyy;@">
                  <c:v>42735</c:v>
                </c:pt>
                <c:pt idx="6" formatCode="[$-419]mmmm\ yyyy;@">
                  <c:v>43100</c:v>
                </c:pt>
              </c:numCache>
            </c:numRef>
          </c:cat>
          <c:val>
            <c:numRef>
              <c:f>December!$C$50:$I$50</c:f>
              <c:numCache>
                <c:formatCode>General</c:formatCode>
                <c:ptCount val="7"/>
                <c:pt idx="2" formatCode="#,##0">
                  <c:v>881844</c:v>
                </c:pt>
                <c:pt idx="3" formatCode="#,##0">
                  <c:v>944559</c:v>
                </c:pt>
                <c:pt idx="4" formatCode="#,##0">
                  <c:v>1006751</c:v>
                </c:pt>
                <c:pt idx="5" formatCode="#,##0">
                  <c:v>1102966</c:v>
                </c:pt>
                <c:pt idx="6" formatCode="#,##0">
                  <c:v>1310295.9999999998</c:v>
                </c:pt>
              </c:numCache>
            </c:numRef>
          </c:val>
        </c:ser>
        <c:ser>
          <c:idx val="1"/>
          <c:order val="1"/>
          <c:tx>
            <c:strRef>
              <c:f>December!$B$51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December!$C$49:$I$49</c:f>
              <c:numCache>
                <c:formatCode>General</c:formatCode>
                <c:ptCount val="7"/>
                <c:pt idx="2" formatCode="[$-419]mmmm\ yyyy;@">
                  <c:v>41639</c:v>
                </c:pt>
                <c:pt idx="3" formatCode="[$-419]mmmm\ yyyy;@">
                  <c:v>42004</c:v>
                </c:pt>
                <c:pt idx="4" formatCode="[$-419]mmmm\ yyyy;@">
                  <c:v>42369</c:v>
                </c:pt>
                <c:pt idx="5" formatCode="[$-419]mmmm\ yyyy;@">
                  <c:v>42735</c:v>
                </c:pt>
                <c:pt idx="6" formatCode="[$-419]mmmm\ yyyy;@">
                  <c:v>43100</c:v>
                </c:pt>
              </c:numCache>
            </c:numRef>
          </c:cat>
          <c:val>
            <c:numRef>
              <c:f>December!$C$51:$I$51</c:f>
              <c:numCache>
                <c:formatCode>General</c:formatCode>
                <c:ptCount val="7"/>
                <c:pt idx="2" formatCode="#,##0">
                  <c:v>19539</c:v>
                </c:pt>
                <c:pt idx="3" formatCode="#,##0">
                  <c:v>20178</c:v>
                </c:pt>
                <c:pt idx="4" formatCode="#,##0">
                  <c:v>20753</c:v>
                </c:pt>
                <c:pt idx="5" formatCode="#,##0">
                  <c:v>18622</c:v>
                </c:pt>
                <c:pt idx="6" formatCode="#,##0">
                  <c:v>17766</c:v>
                </c:pt>
              </c:numCache>
            </c:numRef>
          </c:val>
        </c:ser>
        <c:ser>
          <c:idx val="2"/>
          <c:order val="2"/>
          <c:tx>
            <c:strRef>
              <c:f>December!$B$52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December!$C$49:$I$49</c:f>
              <c:numCache>
                <c:formatCode>General</c:formatCode>
                <c:ptCount val="7"/>
                <c:pt idx="2" formatCode="[$-419]mmmm\ yyyy;@">
                  <c:v>41639</c:v>
                </c:pt>
                <c:pt idx="3" formatCode="[$-419]mmmm\ yyyy;@">
                  <c:v>42004</c:v>
                </c:pt>
                <c:pt idx="4" formatCode="[$-419]mmmm\ yyyy;@">
                  <c:v>42369</c:v>
                </c:pt>
                <c:pt idx="5" formatCode="[$-419]mmmm\ yyyy;@">
                  <c:v>42735</c:v>
                </c:pt>
                <c:pt idx="6" formatCode="[$-419]mmmm\ yyyy;@">
                  <c:v>43100</c:v>
                </c:pt>
              </c:numCache>
            </c:numRef>
          </c:cat>
          <c:val>
            <c:numRef>
              <c:f>December!$C$52:$I$52</c:f>
              <c:numCache>
                <c:formatCode>General</c:formatCode>
                <c:ptCount val="7"/>
                <c:pt idx="2" formatCode="#,##0">
                  <c:v>6957</c:v>
                </c:pt>
                <c:pt idx="3" formatCode="#,##0">
                  <c:v>7486</c:v>
                </c:pt>
                <c:pt idx="4" formatCode="#,##0">
                  <c:v>8729</c:v>
                </c:pt>
                <c:pt idx="5" formatCode="#,##0">
                  <c:v>9215</c:v>
                </c:pt>
                <c:pt idx="6" formatCode="#,##0">
                  <c:v>10211</c:v>
                </c:pt>
              </c:numCache>
            </c:numRef>
          </c:val>
        </c:ser>
        <c:ser>
          <c:idx val="3"/>
          <c:order val="3"/>
          <c:tx>
            <c:strRef>
              <c:f>December!$B$53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December!$C$49:$I$49</c:f>
              <c:numCache>
                <c:formatCode>General</c:formatCode>
                <c:ptCount val="7"/>
                <c:pt idx="2" formatCode="[$-419]mmmm\ yyyy;@">
                  <c:v>41639</c:v>
                </c:pt>
                <c:pt idx="3" formatCode="[$-419]mmmm\ yyyy;@">
                  <c:v>42004</c:v>
                </c:pt>
                <c:pt idx="4" formatCode="[$-419]mmmm\ yyyy;@">
                  <c:v>42369</c:v>
                </c:pt>
                <c:pt idx="5" formatCode="[$-419]mmmm\ yyyy;@">
                  <c:v>42735</c:v>
                </c:pt>
                <c:pt idx="6" formatCode="[$-419]mmmm\ yyyy;@">
                  <c:v>43100</c:v>
                </c:pt>
              </c:numCache>
            </c:numRef>
          </c:cat>
          <c:val>
            <c:numRef>
              <c:f>December!$C$53:$I$53</c:f>
              <c:numCache>
                <c:formatCode>General</c:formatCode>
                <c:ptCount val="7"/>
                <c:pt idx="2" formatCode="#,##0">
                  <c:v>5182</c:v>
                </c:pt>
                <c:pt idx="3" formatCode="#,##0">
                  <c:v>5142</c:v>
                </c:pt>
                <c:pt idx="4" formatCode="#,##0">
                  <c:v>3836</c:v>
                </c:pt>
                <c:pt idx="5" formatCode="#,##0">
                  <c:v>10694</c:v>
                </c:pt>
                <c:pt idx="6" formatCode="#,##0">
                  <c:v>22564.000000000004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5556480"/>
        <c:axId val="184795712"/>
        <c:axId val="0"/>
      </c:bar3DChart>
      <c:dateAx>
        <c:axId val="1455564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4795712"/>
        <c:crosses val="autoZero"/>
        <c:auto val="1"/>
        <c:lblOffset val="100"/>
        <c:baseTimeUnit val="years"/>
        <c:majorUnit val="1"/>
        <c:minorUnit val="1"/>
      </c:dateAx>
      <c:valAx>
        <c:axId val="184795712"/>
        <c:scaling>
          <c:orientation val="minMax"/>
          <c:max val="12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55564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December!$B$84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December!$C$83:$H$83</c:f>
              <c:numCache>
                <c:formatCode>[$-419]mmmm\ yyyy;@</c:formatCode>
                <c:ptCount val="6"/>
                <c:pt idx="0">
                  <c:v>42946</c:v>
                </c:pt>
                <c:pt idx="1">
                  <c:v>42977</c:v>
                </c:pt>
                <c:pt idx="2">
                  <c:v>43008</c:v>
                </c:pt>
                <c:pt idx="3">
                  <c:v>43038</c:v>
                </c:pt>
                <c:pt idx="4">
                  <c:v>43069</c:v>
                </c:pt>
                <c:pt idx="5">
                  <c:v>43099</c:v>
                </c:pt>
              </c:numCache>
            </c:numRef>
          </c:cat>
          <c:val>
            <c:numRef>
              <c:f>December!$C$84:$H$84</c:f>
              <c:numCache>
                <c:formatCode>#,##0</c:formatCode>
                <c:ptCount val="6"/>
                <c:pt idx="0">
                  <c:v>1207926</c:v>
                </c:pt>
                <c:pt idx="1">
                  <c:v>1224837</c:v>
                </c:pt>
                <c:pt idx="2">
                  <c:v>1253028</c:v>
                </c:pt>
                <c:pt idx="3">
                  <c:v>1265256</c:v>
                </c:pt>
                <c:pt idx="4">
                  <c:v>1284771.0000000002</c:v>
                </c:pt>
                <c:pt idx="5">
                  <c:v>1310295.9999999998</c:v>
                </c:pt>
              </c:numCache>
            </c:numRef>
          </c:val>
        </c:ser>
        <c:ser>
          <c:idx val="1"/>
          <c:order val="1"/>
          <c:tx>
            <c:strRef>
              <c:f>December!$B$85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December!$C$83:$H$83</c:f>
              <c:numCache>
                <c:formatCode>[$-419]mmmm\ yyyy;@</c:formatCode>
                <c:ptCount val="6"/>
                <c:pt idx="0">
                  <c:v>42946</c:v>
                </c:pt>
                <c:pt idx="1">
                  <c:v>42977</c:v>
                </c:pt>
                <c:pt idx="2">
                  <c:v>43008</c:v>
                </c:pt>
                <c:pt idx="3">
                  <c:v>43038</c:v>
                </c:pt>
                <c:pt idx="4">
                  <c:v>43069</c:v>
                </c:pt>
                <c:pt idx="5">
                  <c:v>43099</c:v>
                </c:pt>
              </c:numCache>
            </c:numRef>
          </c:cat>
          <c:val>
            <c:numRef>
              <c:f>December!$C$85:$H$85</c:f>
              <c:numCache>
                <c:formatCode>#,##0</c:formatCode>
                <c:ptCount val="6"/>
                <c:pt idx="0">
                  <c:v>18578</c:v>
                </c:pt>
                <c:pt idx="1">
                  <c:v>18539</c:v>
                </c:pt>
                <c:pt idx="2">
                  <c:v>18550</c:v>
                </c:pt>
                <c:pt idx="3">
                  <c:v>17992</c:v>
                </c:pt>
                <c:pt idx="4">
                  <c:v>17818</c:v>
                </c:pt>
                <c:pt idx="5">
                  <c:v>17766</c:v>
                </c:pt>
              </c:numCache>
            </c:numRef>
          </c:val>
        </c:ser>
        <c:ser>
          <c:idx val="2"/>
          <c:order val="2"/>
          <c:tx>
            <c:strRef>
              <c:f>December!$B$86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December!$C$83:$H$83</c:f>
              <c:numCache>
                <c:formatCode>[$-419]mmmm\ yyyy;@</c:formatCode>
                <c:ptCount val="6"/>
                <c:pt idx="0">
                  <c:v>42946</c:v>
                </c:pt>
                <c:pt idx="1">
                  <c:v>42977</c:v>
                </c:pt>
                <c:pt idx="2">
                  <c:v>43008</c:v>
                </c:pt>
                <c:pt idx="3">
                  <c:v>43038</c:v>
                </c:pt>
                <c:pt idx="4">
                  <c:v>43069</c:v>
                </c:pt>
                <c:pt idx="5">
                  <c:v>43099</c:v>
                </c:pt>
              </c:numCache>
            </c:numRef>
          </c:cat>
          <c:val>
            <c:numRef>
              <c:f>December!$C$86:$H$86</c:f>
              <c:numCache>
                <c:formatCode>#,##0</c:formatCode>
                <c:ptCount val="6"/>
                <c:pt idx="0">
                  <c:v>9901</c:v>
                </c:pt>
                <c:pt idx="1">
                  <c:v>10116</c:v>
                </c:pt>
                <c:pt idx="2">
                  <c:v>10474</c:v>
                </c:pt>
                <c:pt idx="3">
                  <c:v>10117</c:v>
                </c:pt>
                <c:pt idx="4">
                  <c:v>10090</c:v>
                </c:pt>
                <c:pt idx="5">
                  <c:v>10211</c:v>
                </c:pt>
              </c:numCache>
            </c:numRef>
          </c:val>
        </c:ser>
        <c:ser>
          <c:idx val="3"/>
          <c:order val="3"/>
          <c:tx>
            <c:strRef>
              <c:f>December!$B$87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December!$C$83:$H$83</c:f>
              <c:numCache>
                <c:formatCode>[$-419]mmmm\ yyyy;@</c:formatCode>
                <c:ptCount val="6"/>
                <c:pt idx="0">
                  <c:v>42946</c:v>
                </c:pt>
                <c:pt idx="1">
                  <c:v>42977</c:v>
                </c:pt>
                <c:pt idx="2">
                  <c:v>43008</c:v>
                </c:pt>
                <c:pt idx="3">
                  <c:v>43038</c:v>
                </c:pt>
                <c:pt idx="4">
                  <c:v>43069</c:v>
                </c:pt>
                <c:pt idx="5">
                  <c:v>43099</c:v>
                </c:pt>
              </c:numCache>
            </c:numRef>
          </c:cat>
          <c:val>
            <c:numRef>
              <c:f>December!$C$87:$H$87</c:f>
              <c:numCache>
                <c:formatCode>#,##0</c:formatCode>
                <c:ptCount val="6"/>
                <c:pt idx="0">
                  <c:v>16881</c:v>
                </c:pt>
                <c:pt idx="1">
                  <c:v>18110</c:v>
                </c:pt>
                <c:pt idx="2">
                  <c:v>18940</c:v>
                </c:pt>
                <c:pt idx="3">
                  <c:v>20071</c:v>
                </c:pt>
                <c:pt idx="4">
                  <c:v>20882.999999999996</c:v>
                </c:pt>
                <c:pt idx="5">
                  <c:v>22564.000000000004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5565184"/>
        <c:axId val="184798016"/>
        <c:axId val="0"/>
      </c:bar3DChart>
      <c:dateAx>
        <c:axId val="14556518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47980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4798016"/>
        <c:scaling>
          <c:orientation val="minMax"/>
          <c:max val="12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5565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0769" name="Object 1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1793" name="Object 1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2817" name="Object 1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3841" name="Object 1" hidden="1">
              <a:extLst>
                <a:ext uri="{63B3BB69-23CF-44E3-9099-C40C66FF867C}">
                  <a14:compatExt spid="_x0000_s163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4865" name="Object 1" hidden="1">
              <a:extLst>
                <a:ext uri="{63B3BB69-23CF-44E3-9099-C40C66FF867C}">
                  <a14:compatExt spid="_x0000_s16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5889" name="Object 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6913" name="Object 1" hidden="1">
              <a:extLst>
                <a:ext uri="{63B3BB69-23CF-44E3-9099-C40C66FF867C}">
                  <a14:compatExt spid="_x0000_s16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7937" name="Object 1" hidden="1">
              <a:extLst>
                <a:ext uri="{63B3BB69-23CF-44E3-9099-C40C66FF867C}">
                  <a14:compatExt spid="_x0000_s16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8961" name="Object 1" hidden="1">
              <a:extLst>
                <a:ext uri="{63B3BB69-23CF-44E3-9099-C40C66FF867C}">
                  <a14:compatExt spid="_x0000_s16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9985" name="Object 1" hidden="1">
              <a:extLst>
                <a:ext uri="{63B3BB69-23CF-44E3-9099-C40C66FF867C}">
                  <a14:compatExt spid="_x0000_s169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71009" name="Object 1" hidden="1">
              <a:extLst>
                <a:ext uri="{63B3BB69-23CF-44E3-9099-C40C66FF867C}">
                  <a14:compatExt spid="_x0000_s171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72033" name="Object 1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Documents%20and%20Settings\malina\&#1056;&#1072;&#1073;&#1086;&#1095;&#1080;&#1081;%20&#1089;&#1090;&#1086;&#1083;\&#1082;&#1083;&#1080;&#1077;&#1085;&#1090;&#1099;\&#1047;&#1072;&#1088;&#1077;&#1075;&#1080;&#1089;&#1090;&#1088;&#1080;&#1088;&#1086;&#1074;&#1072;&#1085;&#1085;&#1099;&#1077;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Январь2012!R1C2:R10C9" advise="1"/>
        </mc:Choice>
        <mc:Fallback>
          <oleItem name="!Январь2012!R1C2:R10C9" advise="1"/>
        </mc:Fallback>
      </mc:AlternateContent>
    </oleItems>
  </oleLin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8">
    <pageSetUpPr fitToPage="1"/>
  </sheetPr>
  <dimension ref="B2:N180"/>
  <sheetViews>
    <sheetView topLeftCell="A10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42766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42766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42735</v>
      </c>
      <c r="F11" s="67">
        <f>B3</f>
        <v>42766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1499778</v>
      </c>
      <c r="F12" s="78">
        <v>1605440</v>
      </c>
      <c r="G12" s="11">
        <f>F12-E12</f>
        <v>105662</v>
      </c>
      <c r="H12" s="58">
        <f t="shared" ref="H12:H18" si="0">F12/E12-1</f>
        <v>7.0451760193841917E-2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30427</v>
      </c>
      <c r="F13" s="78">
        <v>30224</v>
      </c>
      <c r="G13" s="11">
        <f t="shared" ref="G13:G18" si="1">F13-E13</f>
        <v>-203</v>
      </c>
      <c r="H13" s="58">
        <f t="shared" si="0"/>
        <v>-6.6717060505472325E-3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13937</v>
      </c>
      <c r="F14" s="78">
        <v>14297</v>
      </c>
      <c r="G14" s="11">
        <f t="shared" si="1"/>
        <v>360</v>
      </c>
      <c r="H14" s="58">
        <f t="shared" si="0"/>
        <v>2.5830523068092193E-2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6346</v>
      </c>
      <c r="F15" s="78">
        <v>6720</v>
      </c>
      <c r="G15" s="11">
        <f t="shared" si="1"/>
        <v>374</v>
      </c>
      <c r="H15" s="58">
        <f t="shared" si="0"/>
        <v>5.8934762054837719E-2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7591</v>
      </c>
      <c r="F16" s="78">
        <v>7577</v>
      </c>
      <c r="G16" s="11">
        <f t="shared" si="1"/>
        <v>-14</v>
      </c>
      <c r="H16" s="58">
        <f t="shared" si="0"/>
        <v>-1.8442892899486196E-3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31549</v>
      </c>
      <c r="F17" s="78">
        <v>31425</v>
      </c>
      <c r="G17" s="11">
        <f t="shared" si="1"/>
        <v>-124</v>
      </c>
      <c r="H17" s="58">
        <f t="shared" si="0"/>
        <v>-3.9303939903008178E-3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1575691</v>
      </c>
      <c r="F18" s="66">
        <v>1681386</v>
      </c>
      <c r="G18" s="66">
        <f t="shared" si="1"/>
        <v>105695</v>
      </c>
      <c r="H18" s="63">
        <f t="shared" si="0"/>
        <v>6.7078507143849997E-2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42735</v>
      </c>
      <c r="F22" s="67">
        <f>F11</f>
        <v>42766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1102966</v>
      </c>
      <c r="F23" s="78">
        <v>1122053</v>
      </c>
      <c r="G23" s="11">
        <f>F23-E23</f>
        <v>19087</v>
      </c>
      <c r="H23" s="58">
        <f>F23/E23-1</f>
        <v>1.7305157185262265E-2</v>
      </c>
      <c r="I23" s="80"/>
    </row>
    <row r="24" spans="2:10" s="70" customFormat="1" ht="17.25">
      <c r="B24" s="114" t="s">
        <v>1</v>
      </c>
      <c r="C24" s="114"/>
      <c r="D24" s="115"/>
      <c r="E24" s="78">
        <v>18622</v>
      </c>
      <c r="F24" s="78">
        <v>18499</v>
      </c>
      <c r="G24" s="11">
        <f t="shared" ref="G24:G29" si="2">F24-E24</f>
        <v>-123</v>
      </c>
      <c r="H24" s="58">
        <f t="shared" ref="H24:H29" si="3">F24/E24-1</f>
        <v>-6.6050907528729663E-3</v>
      </c>
      <c r="I24" s="80"/>
    </row>
    <row r="25" spans="2:10" s="70" customFormat="1" ht="17.25">
      <c r="B25" s="114" t="s">
        <v>45</v>
      </c>
      <c r="C25" s="114"/>
      <c r="D25" s="115"/>
      <c r="E25" s="78">
        <v>9215</v>
      </c>
      <c r="F25" s="78">
        <v>9371</v>
      </c>
      <c r="G25" s="11">
        <f t="shared" si="2"/>
        <v>156</v>
      </c>
      <c r="H25" s="58">
        <f t="shared" si="3"/>
        <v>1.6928920238741263E-2</v>
      </c>
      <c r="I25" s="80"/>
    </row>
    <row r="26" spans="2:10" s="70" customFormat="1" ht="17.25">
      <c r="B26" s="116" t="s">
        <v>46</v>
      </c>
      <c r="C26" s="116"/>
      <c r="D26" s="117"/>
      <c r="E26" s="78">
        <v>5793</v>
      </c>
      <c r="F26" s="78">
        <v>5969</v>
      </c>
      <c r="G26" s="11">
        <f t="shared" si="2"/>
        <v>176</v>
      </c>
      <c r="H26" s="58">
        <f t="shared" si="3"/>
        <v>3.0381494907647077E-2</v>
      </c>
      <c r="I26" s="80"/>
    </row>
    <row r="27" spans="2:10" s="70" customFormat="1" ht="17.25">
      <c r="B27" s="118" t="s">
        <v>47</v>
      </c>
      <c r="C27" s="118"/>
      <c r="D27" s="119"/>
      <c r="E27" s="78">
        <v>3422</v>
      </c>
      <c r="F27" s="78">
        <v>3402</v>
      </c>
      <c r="G27" s="11">
        <f t="shared" si="2"/>
        <v>-20</v>
      </c>
      <c r="H27" s="58">
        <f t="shared" si="3"/>
        <v>-5.8445353594389626E-3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10694</v>
      </c>
      <c r="F28" s="78">
        <v>10991</v>
      </c>
      <c r="G28" s="11">
        <f t="shared" si="2"/>
        <v>297</v>
      </c>
      <c r="H28" s="58">
        <f t="shared" si="3"/>
        <v>2.7772582756685926E-2</v>
      </c>
      <c r="I28" s="80"/>
    </row>
    <row r="29" spans="2:10" s="64" customFormat="1" ht="18" thickBot="1">
      <c r="B29" s="59" t="s">
        <v>3</v>
      </c>
      <c r="C29" s="59"/>
      <c r="D29" s="60"/>
      <c r="E29" s="66">
        <v>1141497</v>
      </c>
      <c r="F29" s="66">
        <v>1160914</v>
      </c>
      <c r="G29" s="66">
        <f t="shared" si="2"/>
        <v>19417</v>
      </c>
      <c r="H29" s="63">
        <f t="shared" si="3"/>
        <v>1.7010119168074933E-2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42735</v>
      </c>
      <c r="F33" s="67">
        <f>F11</f>
        <v>42766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95743</v>
      </c>
      <c r="F34" s="72">
        <v>86958</v>
      </c>
      <c r="G34" s="11">
        <f t="shared" ref="G34:G40" si="4">F34-E34</f>
        <v>-8785</v>
      </c>
      <c r="H34" s="58">
        <f t="shared" ref="H34:H40" si="5">F34/E34-1</f>
        <v>-9.1756055272970372E-2</v>
      </c>
      <c r="I34" s="57"/>
    </row>
    <row r="35" spans="2:9" ht="17.25">
      <c r="B35" s="114" t="s">
        <v>1</v>
      </c>
      <c r="C35" s="114"/>
      <c r="D35" s="115"/>
      <c r="E35" s="72">
        <v>1182</v>
      </c>
      <c r="F35" s="72">
        <v>916</v>
      </c>
      <c r="G35" s="11">
        <f t="shared" si="4"/>
        <v>-266</v>
      </c>
      <c r="H35" s="58">
        <f t="shared" si="5"/>
        <v>-0.22504230118443314</v>
      </c>
      <c r="I35" s="57"/>
    </row>
    <row r="36" spans="2:9" ht="17.25">
      <c r="B36" s="114" t="s">
        <v>45</v>
      </c>
      <c r="C36" s="114"/>
      <c r="D36" s="115"/>
      <c r="E36" s="72">
        <v>735</v>
      </c>
      <c r="F36" s="72">
        <v>667</v>
      </c>
      <c r="G36" s="11">
        <f t="shared" si="4"/>
        <v>-68</v>
      </c>
      <c r="H36" s="58">
        <f t="shared" si="5"/>
        <v>-9.2517006802721125E-2</v>
      </c>
      <c r="I36" s="57"/>
    </row>
    <row r="37" spans="2:9" ht="17.25">
      <c r="B37" s="116" t="s">
        <v>46</v>
      </c>
      <c r="C37" s="116"/>
      <c r="D37" s="117"/>
      <c r="E37" s="72">
        <v>402</v>
      </c>
      <c r="F37" s="72">
        <v>415</v>
      </c>
      <c r="G37" s="11">
        <f t="shared" si="4"/>
        <v>13</v>
      </c>
      <c r="H37" s="58">
        <f t="shared" si="5"/>
        <v>3.2338308457711351E-2</v>
      </c>
      <c r="I37" s="57"/>
    </row>
    <row r="38" spans="2:9" ht="17.25">
      <c r="B38" s="118" t="s">
        <v>47</v>
      </c>
      <c r="C38" s="118"/>
      <c r="D38" s="119"/>
      <c r="E38" s="72">
        <v>333</v>
      </c>
      <c r="F38" s="72">
        <v>252</v>
      </c>
      <c r="G38" s="11">
        <f t="shared" si="4"/>
        <v>-81</v>
      </c>
      <c r="H38" s="58">
        <f t="shared" si="5"/>
        <v>-0.2432432432432432</v>
      </c>
      <c r="I38" s="57"/>
    </row>
    <row r="39" spans="2:9" ht="18" customHeight="1" thickBot="1">
      <c r="B39" s="120" t="s">
        <v>2</v>
      </c>
      <c r="C39" s="120"/>
      <c r="D39" s="121"/>
      <c r="E39" s="72">
        <v>3524</v>
      </c>
      <c r="F39" s="72">
        <v>2837</v>
      </c>
      <c r="G39" s="11">
        <f t="shared" si="4"/>
        <v>-687</v>
      </c>
      <c r="H39" s="58">
        <f t="shared" si="5"/>
        <v>-0.19494892167990918</v>
      </c>
      <c r="I39" s="57"/>
    </row>
    <row r="40" spans="2:9" s="64" customFormat="1" ht="18" thickBot="1">
      <c r="B40" s="59" t="s">
        <v>3</v>
      </c>
      <c r="C40" s="59"/>
      <c r="D40" s="60"/>
      <c r="E40" s="66">
        <v>101184</v>
      </c>
      <c r="F40" s="66">
        <v>91378</v>
      </c>
      <c r="G40" s="66">
        <f t="shared" si="4"/>
        <v>-9806</v>
      </c>
      <c r="H40" s="63">
        <f t="shared" si="5"/>
        <v>-9.6912555344718543E-2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86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42612</v>
      </c>
      <c r="D83" s="67">
        <f>EDATE(E83,-1)</f>
        <v>42643</v>
      </c>
      <c r="E83" s="67">
        <f>EDATE(F83,-1)</f>
        <v>42673</v>
      </c>
      <c r="F83" s="67">
        <f>EDATE(G83,-1)</f>
        <v>42704</v>
      </c>
      <c r="G83" s="67">
        <f>EDATE(H83,-1)</f>
        <v>42735</v>
      </c>
      <c r="H83" s="67">
        <f>EDATE(E11,1)</f>
        <v>42766</v>
      </c>
      <c r="I83"/>
      <c r="J83"/>
    </row>
    <row r="84" spans="2:11" ht="16.5" customHeight="1">
      <c r="B84" s="24" t="s">
        <v>0</v>
      </c>
      <c r="C84" s="74">
        <v>1040684</v>
      </c>
      <c r="D84" s="74">
        <v>1049230</v>
      </c>
      <c r="E84" s="74">
        <v>1061843</v>
      </c>
      <c r="F84" s="74">
        <v>1080706</v>
      </c>
      <c r="G84" s="74">
        <v>1102966</v>
      </c>
      <c r="H84" s="74">
        <v>1122053</v>
      </c>
    </row>
    <row r="85" spans="2:11" ht="16.5" customHeight="1">
      <c r="B85" s="25" t="s">
        <v>1</v>
      </c>
      <c r="C85" s="75">
        <v>19083</v>
      </c>
      <c r="D85" s="75">
        <v>19110</v>
      </c>
      <c r="E85" s="75">
        <v>18990</v>
      </c>
      <c r="F85" s="75">
        <v>19037</v>
      </c>
      <c r="G85" s="75">
        <v>18622</v>
      </c>
      <c r="H85" s="75">
        <v>18499</v>
      </c>
    </row>
    <row r="86" spans="2:11" ht="16.5" customHeight="1">
      <c r="B86" s="26" t="s">
        <v>45</v>
      </c>
      <c r="C86" s="77">
        <v>8850</v>
      </c>
      <c r="D86" s="77">
        <v>8966</v>
      </c>
      <c r="E86" s="77">
        <v>9026</v>
      </c>
      <c r="F86" s="77">
        <v>9070</v>
      </c>
      <c r="G86" s="77">
        <v>9215</v>
      </c>
      <c r="H86" s="77">
        <v>9371</v>
      </c>
    </row>
    <row r="87" spans="2:11" ht="16.5" customHeight="1" thickBot="1">
      <c r="B87" s="27" t="s">
        <v>2</v>
      </c>
      <c r="C87" s="73">
        <v>2017</v>
      </c>
      <c r="D87" s="73">
        <v>2602</v>
      </c>
      <c r="E87" s="73">
        <v>7021</v>
      </c>
      <c r="F87" s="73">
        <v>10116</v>
      </c>
      <c r="G87" s="73">
        <v>10694</v>
      </c>
      <c r="H87" s="73">
        <v>10991</v>
      </c>
    </row>
    <row r="88" spans="2:11" s="65" customFormat="1" ht="18" thickBot="1">
      <c r="B88" s="87" t="s">
        <v>3</v>
      </c>
      <c r="C88" s="76">
        <v>1070634</v>
      </c>
      <c r="D88" s="76">
        <v>1079908</v>
      </c>
      <c r="E88" s="76">
        <v>1096880</v>
      </c>
      <c r="F88" s="76">
        <v>1118929</v>
      </c>
      <c r="G88" s="76">
        <v>1141497</v>
      </c>
      <c r="H88" s="76">
        <v>1160914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42766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330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42766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251157</v>
      </c>
      <c r="H139" s="136">
        <v>251157</v>
      </c>
      <c r="I139" s="46"/>
      <c r="J139" s="49"/>
    </row>
    <row r="140" spans="2:10" ht="13.5" customHeight="1">
      <c r="B140" s="137" t="s">
        <v>27</v>
      </c>
      <c r="C140" s="137" t="s">
        <v>27</v>
      </c>
      <c r="D140" s="137" t="s">
        <v>27</v>
      </c>
      <c r="E140" s="137" t="s">
        <v>27</v>
      </c>
      <c r="F140" s="138" t="s">
        <v>27</v>
      </c>
      <c r="G140" s="139">
        <v>198417</v>
      </c>
      <c r="H140" s="140">
        <v>198417</v>
      </c>
      <c r="I140" s="46"/>
      <c r="J140" s="49"/>
    </row>
    <row r="141" spans="2:10" ht="17.25" customHeight="1">
      <c r="B141" s="137" t="s">
        <v>28</v>
      </c>
      <c r="C141" s="137" t="s">
        <v>28</v>
      </c>
      <c r="D141" s="137" t="s">
        <v>28</v>
      </c>
      <c r="E141" s="137" t="s">
        <v>28</v>
      </c>
      <c r="F141" s="138" t="s">
        <v>28</v>
      </c>
      <c r="G141" s="139">
        <v>189330</v>
      </c>
      <c r="H141" s="140">
        <v>189330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162053</v>
      </c>
      <c r="H142" s="140">
        <v>162053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96363</v>
      </c>
      <c r="H143" s="140">
        <v>96363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61550</v>
      </c>
      <c r="H144" s="140">
        <v>61550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49924</v>
      </c>
      <c r="H145" s="140">
        <v>49924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33284</v>
      </c>
      <c r="H146" s="140">
        <v>33284</v>
      </c>
      <c r="I146" s="46"/>
      <c r="J146" s="49"/>
    </row>
    <row r="147" spans="2:13" ht="17.25" customHeight="1">
      <c r="B147" s="137" t="s">
        <v>51</v>
      </c>
      <c r="C147" s="137" t="s">
        <v>51</v>
      </c>
      <c r="D147" s="137" t="s">
        <v>51</v>
      </c>
      <c r="E147" s="137" t="s">
        <v>51</v>
      </c>
      <c r="F147" s="138" t="s">
        <v>51</v>
      </c>
      <c r="G147" s="139">
        <v>21970</v>
      </c>
      <c r="H147" s="140">
        <v>21970</v>
      </c>
      <c r="I147" s="46"/>
      <c r="J147" s="49"/>
      <c r="L147"/>
    </row>
    <row r="148" spans="2:13" ht="18" customHeight="1" thickBot="1">
      <c r="B148" s="154" t="s">
        <v>30</v>
      </c>
      <c r="C148" s="154" t="s">
        <v>30</v>
      </c>
      <c r="D148" s="154" t="s">
        <v>30</v>
      </c>
      <c r="E148" s="154" t="s">
        <v>30</v>
      </c>
      <c r="F148" s="146" t="s">
        <v>30</v>
      </c>
      <c r="G148" s="155">
        <v>19859</v>
      </c>
      <c r="H148" s="156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16290</v>
      </c>
      <c r="H154" s="136">
        <v>16290</v>
      </c>
      <c r="I154" s="52"/>
      <c r="J154" s="49"/>
      <c r="K154" s="48"/>
      <c r="L154"/>
      <c r="M154"/>
    </row>
    <row r="155" spans="2:13" ht="17.25" customHeight="1">
      <c r="B155" s="137" t="s">
        <v>27</v>
      </c>
      <c r="C155" s="137" t="s">
        <v>27</v>
      </c>
      <c r="D155" s="137" t="s">
        <v>27</v>
      </c>
      <c r="E155" s="137" t="s">
        <v>27</v>
      </c>
      <c r="F155" s="138" t="s">
        <v>27</v>
      </c>
      <c r="G155" s="139">
        <v>14564</v>
      </c>
      <c r="H155" s="140">
        <v>14564</v>
      </c>
      <c r="I155" s="52"/>
      <c r="J155" s="49"/>
      <c r="K155" s="48"/>
      <c r="L155"/>
      <c r="M155"/>
    </row>
    <row r="156" spans="2:13" ht="17.25" customHeight="1">
      <c r="B156" s="137" t="s">
        <v>28</v>
      </c>
      <c r="C156" s="137" t="s">
        <v>28</v>
      </c>
      <c r="D156" s="137" t="s">
        <v>28</v>
      </c>
      <c r="E156" s="137" t="s">
        <v>28</v>
      </c>
      <c r="F156" s="138" t="s">
        <v>28</v>
      </c>
      <c r="G156" s="139">
        <v>14113</v>
      </c>
      <c r="H156" s="140">
        <v>14113</v>
      </c>
      <c r="I156" s="52"/>
      <c r="J156" s="49"/>
      <c r="K156" s="48"/>
      <c r="L156"/>
      <c r="M156"/>
    </row>
    <row r="157" spans="2:13" ht="17.25">
      <c r="B157" s="137" t="s">
        <v>38</v>
      </c>
      <c r="C157" s="137" t="s">
        <v>38</v>
      </c>
      <c r="D157" s="137" t="s">
        <v>38</v>
      </c>
      <c r="E157" s="137" t="s">
        <v>38</v>
      </c>
      <c r="F157" s="138" t="s">
        <v>38</v>
      </c>
      <c r="G157" s="139">
        <v>11564</v>
      </c>
      <c r="H157" s="140">
        <v>11564</v>
      </c>
      <c r="I157" s="52"/>
      <c r="J157" s="49"/>
      <c r="K157" s="48"/>
      <c r="L157"/>
      <c r="M157"/>
    </row>
    <row r="158" spans="2:13" ht="17.25" customHeight="1">
      <c r="B158" s="137" t="s">
        <v>37</v>
      </c>
      <c r="C158" s="137" t="s">
        <v>37</v>
      </c>
      <c r="D158" s="137" t="s">
        <v>37</v>
      </c>
      <c r="E158" s="137" t="s">
        <v>37</v>
      </c>
      <c r="F158" s="138" t="s">
        <v>37</v>
      </c>
      <c r="G158" s="139">
        <v>11321</v>
      </c>
      <c r="H158" s="140">
        <v>11321</v>
      </c>
      <c r="I158" s="52"/>
      <c r="J158" s="49"/>
      <c r="K158" s="48"/>
      <c r="L158"/>
      <c r="M158"/>
    </row>
    <row r="159" spans="2:13" ht="17.25" customHeight="1">
      <c r="B159" s="137" t="s">
        <v>40</v>
      </c>
      <c r="C159" s="137" t="s">
        <v>40</v>
      </c>
      <c r="D159" s="137" t="s">
        <v>40</v>
      </c>
      <c r="E159" s="137" t="s">
        <v>40</v>
      </c>
      <c r="F159" s="138" t="s">
        <v>40</v>
      </c>
      <c r="G159" s="139">
        <v>4047</v>
      </c>
      <c r="H159" s="140">
        <v>4047</v>
      </c>
      <c r="I159" s="53"/>
      <c r="J159" s="49"/>
      <c r="K159" s="48"/>
      <c r="L159"/>
      <c r="M159"/>
    </row>
    <row r="160" spans="2:13" ht="17.25" customHeight="1">
      <c r="B160" s="137" t="s">
        <v>29</v>
      </c>
      <c r="C160" s="137" t="s">
        <v>29</v>
      </c>
      <c r="D160" s="137" t="s">
        <v>29</v>
      </c>
      <c r="E160" s="137" t="s">
        <v>29</v>
      </c>
      <c r="F160" s="138" t="s">
        <v>29</v>
      </c>
      <c r="G160" s="139">
        <v>3001</v>
      </c>
      <c r="H160" s="140">
        <v>3001</v>
      </c>
      <c r="I160" s="52"/>
      <c r="J160" s="49"/>
      <c r="K160" s="48"/>
      <c r="L160"/>
      <c r="M160"/>
    </row>
    <row r="161" spans="2:13" ht="17.25" customHeight="1">
      <c r="B161" s="137" t="s">
        <v>41</v>
      </c>
      <c r="C161" s="137" t="s">
        <v>41</v>
      </c>
      <c r="D161" s="137" t="s">
        <v>41</v>
      </c>
      <c r="E161" s="137" t="s">
        <v>41</v>
      </c>
      <c r="F161" s="138" t="s">
        <v>41</v>
      </c>
      <c r="G161" s="139">
        <v>2621</v>
      </c>
      <c r="H161" s="140">
        <v>2621</v>
      </c>
      <c r="I161" s="52"/>
      <c r="J161" s="49"/>
      <c r="K161" s="48"/>
      <c r="L161"/>
      <c r="M161"/>
    </row>
    <row r="162" spans="2:13" ht="17.25" customHeight="1">
      <c r="B162" s="137" t="s">
        <v>42</v>
      </c>
      <c r="C162" s="137" t="s">
        <v>42</v>
      </c>
      <c r="D162" s="137" t="s">
        <v>42</v>
      </c>
      <c r="E162" s="137" t="s">
        <v>42</v>
      </c>
      <c r="F162" s="138" t="s">
        <v>42</v>
      </c>
      <c r="G162" s="139">
        <v>2376</v>
      </c>
      <c r="H162" s="140">
        <v>2376</v>
      </c>
      <c r="I162" s="52"/>
      <c r="J162" s="49"/>
      <c r="K162" s="48"/>
      <c r="L162"/>
      <c r="M162"/>
    </row>
    <row r="163" spans="2:13" ht="18" customHeight="1" thickBot="1">
      <c r="B163" s="154" t="s">
        <v>50</v>
      </c>
      <c r="C163" s="154" t="s">
        <v>50</v>
      </c>
      <c r="D163" s="154" t="s">
        <v>50</v>
      </c>
      <c r="E163" s="154" t="s">
        <v>50</v>
      </c>
      <c r="F163" s="146" t="s">
        <v>50</v>
      </c>
      <c r="G163" s="155">
        <v>1777</v>
      </c>
      <c r="H163" s="156">
        <v>1777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28</v>
      </c>
      <c r="C169" s="133" t="s">
        <v>28</v>
      </c>
      <c r="D169" s="133" t="s">
        <v>28</v>
      </c>
      <c r="E169" s="133" t="s">
        <v>28</v>
      </c>
      <c r="F169" s="134" t="s">
        <v>28</v>
      </c>
      <c r="G169" s="135">
        <v>1398529746885.1599</v>
      </c>
      <c r="H169" s="136">
        <v>1398529746885.1599</v>
      </c>
      <c r="I169" s="54"/>
      <c r="J169" s="55"/>
    </row>
    <row r="170" spans="2:13" ht="17.25" customHeight="1">
      <c r="B170" s="137" t="s">
        <v>37</v>
      </c>
      <c r="C170" s="137" t="s">
        <v>37</v>
      </c>
      <c r="D170" s="137" t="s">
        <v>37</v>
      </c>
      <c r="E170" s="137" t="s">
        <v>37</v>
      </c>
      <c r="F170" s="138" t="s">
        <v>37</v>
      </c>
      <c r="G170" s="139">
        <v>1318191208436.6799</v>
      </c>
      <c r="H170" s="140">
        <v>1318191208436.6799</v>
      </c>
      <c r="I170" s="54"/>
      <c r="J170" s="55"/>
    </row>
    <row r="171" spans="2:13" ht="17.25" customHeight="1">
      <c r="B171" s="137" t="s">
        <v>36</v>
      </c>
      <c r="C171" s="137" t="s">
        <v>36</v>
      </c>
      <c r="D171" s="137" t="s">
        <v>36</v>
      </c>
      <c r="E171" s="137" t="s">
        <v>36</v>
      </c>
      <c r="F171" s="138" t="s">
        <v>36</v>
      </c>
      <c r="G171" s="139">
        <v>828485664570.09998</v>
      </c>
      <c r="H171" s="140">
        <v>828485664570.09998</v>
      </c>
      <c r="I171" s="54"/>
      <c r="J171" s="55"/>
    </row>
    <row r="172" spans="2:13" ht="17.25" customHeight="1">
      <c r="B172" s="137" t="s">
        <v>49</v>
      </c>
      <c r="C172" s="137" t="s">
        <v>49</v>
      </c>
      <c r="D172" s="137" t="s">
        <v>49</v>
      </c>
      <c r="E172" s="137" t="s">
        <v>49</v>
      </c>
      <c r="F172" s="138" t="s">
        <v>49</v>
      </c>
      <c r="G172" s="139">
        <v>599642948878.43994</v>
      </c>
      <c r="H172" s="140">
        <v>599642948878.43994</v>
      </c>
      <c r="I172" s="54"/>
      <c r="J172" s="55"/>
    </row>
    <row r="173" spans="2:13" ht="17.25" customHeight="1">
      <c r="B173" s="137" t="s">
        <v>27</v>
      </c>
      <c r="C173" s="137" t="s">
        <v>27</v>
      </c>
      <c r="D173" s="137" t="s">
        <v>27</v>
      </c>
      <c r="E173" s="137" t="s">
        <v>27</v>
      </c>
      <c r="F173" s="138" t="s">
        <v>27</v>
      </c>
      <c r="G173" s="139">
        <v>510830902696.83002</v>
      </c>
      <c r="H173" s="140">
        <v>510830902696.83002</v>
      </c>
      <c r="I173" s="56"/>
      <c r="J173" s="49"/>
    </row>
    <row r="174" spans="2:13" ht="17.25" customHeight="1">
      <c r="B174" s="137" t="s">
        <v>39</v>
      </c>
      <c r="C174" s="137" t="s">
        <v>39</v>
      </c>
      <c r="D174" s="137" t="s">
        <v>39</v>
      </c>
      <c r="E174" s="137" t="s">
        <v>39</v>
      </c>
      <c r="F174" s="138" t="s">
        <v>39</v>
      </c>
      <c r="G174" s="139">
        <v>497185763507.69</v>
      </c>
      <c r="H174" s="140">
        <v>497185763507.69</v>
      </c>
      <c r="I174" s="54"/>
      <c r="J174" s="55"/>
    </row>
    <row r="175" spans="2:13" ht="17.25" customHeight="1">
      <c r="B175" s="137" t="s">
        <v>48</v>
      </c>
      <c r="C175" s="137" t="s">
        <v>48</v>
      </c>
      <c r="D175" s="137" t="s">
        <v>48</v>
      </c>
      <c r="E175" s="137" t="s">
        <v>48</v>
      </c>
      <c r="F175" s="138" t="s">
        <v>48</v>
      </c>
      <c r="G175" s="139">
        <v>468712504894.85999</v>
      </c>
      <c r="H175" s="140">
        <v>468712504894.85999</v>
      </c>
      <c r="I175" s="54"/>
      <c r="J175" s="55"/>
    </row>
    <row r="176" spans="2:13" ht="17.25" customHeight="1">
      <c r="B176" s="137" t="s">
        <v>44</v>
      </c>
      <c r="C176" s="137" t="s">
        <v>44</v>
      </c>
      <c r="D176" s="137" t="s">
        <v>44</v>
      </c>
      <c r="E176" s="137" t="s">
        <v>44</v>
      </c>
      <c r="F176" s="138" t="s">
        <v>44</v>
      </c>
      <c r="G176" s="139">
        <v>419984276348.31</v>
      </c>
      <c r="H176" s="140">
        <v>419984276348.31</v>
      </c>
      <c r="I176" s="54"/>
      <c r="J176" s="55"/>
    </row>
    <row r="177" spans="2:10" ht="17.25" customHeight="1">
      <c r="B177" s="137" t="s">
        <v>42</v>
      </c>
      <c r="C177" s="137" t="s">
        <v>42</v>
      </c>
      <c r="D177" s="137" t="s">
        <v>42</v>
      </c>
      <c r="E177" s="137" t="s">
        <v>42</v>
      </c>
      <c r="F177" s="138" t="s">
        <v>42</v>
      </c>
      <c r="G177" s="139">
        <v>348972099779.31</v>
      </c>
      <c r="H177" s="140">
        <v>348972099779.31</v>
      </c>
      <c r="I177" s="54"/>
      <c r="J177" s="55"/>
    </row>
    <row r="178" spans="2:10" ht="18" customHeight="1" thickBot="1">
      <c r="B178" s="154" t="s">
        <v>31</v>
      </c>
      <c r="C178" s="154" t="s">
        <v>31</v>
      </c>
      <c r="D178" s="154" t="s">
        <v>31</v>
      </c>
      <c r="E178" s="154" t="s">
        <v>31</v>
      </c>
      <c r="F178" s="146" t="s">
        <v>31</v>
      </c>
      <c r="G178" s="155">
        <v>342076215908.21002</v>
      </c>
      <c r="H178" s="156">
        <v>342076215908.21002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076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0769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9">
    <pageSetUpPr fitToPage="1"/>
  </sheetPr>
  <dimension ref="B2:N180"/>
  <sheetViews>
    <sheetView topLeftCell="A7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42794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42794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42763</v>
      </c>
      <c r="F11" s="67">
        <f>B3</f>
        <v>42794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2">
        <f>January!F12</f>
        <v>1605440</v>
      </c>
      <c r="F12" s="78">
        <v>1541184</v>
      </c>
      <c r="G12" s="11">
        <f>F12-E12</f>
        <v>-64256</v>
      </c>
      <c r="H12" s="58">
        <f t="shared" ref="H12:H18" si="0">F12/E12-1</f>
        <v>-4.0023918676499903E-2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2">
        <f>January!F13</f>
        <v>30224</v>
      </c>
      <c r="F13" s="78">
        <v>30191</v>
      </c>
      <c r="G13" s="11">
        <f t="shared" ref="G13:G18" si="1">F13-E13</f>
        <v>-33</v>
      </c>
      <c r="H13" s="58">
        <f t="shared" si="0"/>
        <v>-1.0918475383800974E-3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2">
        <f>January!F14</f>
        <v>14297</v>
      </c>
      <c r="F14" s="78">
        <v>14174</v>
      </c>
      <c r="G14" s="11">
        <f t="shared" si="1"/>
        <v>-123</v>
      </c>
      <c r="H14" s="58">
        <f t="shared" si="0"/>
        <v>-8.6032034692592463E-3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2">
        <f>January!F15</f>
        <v>6720</v>
      </c>
      <c r="F15" s="78">
        <v>6603</v>
      </c>
      <c r="G15" s="11">
        <f t="shared" si="1"/>
        <v>-117</v>
      </c>
      <c r="H15" s="58">
        <f t="shared" si="0"/>
        <v>-1.7410714285714279E-2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2">
        <f>January!F16</f>
        <v>7577</v>
      </c>
      <c r="F16" s="78">
        <v>7571</v>
      </c>
      <c r="G16" s="11">
        <f t="shared" si="1"/>
        <v>-6</v>
      </c>
      <c r="H16" s="58">
        <f t="shared" si="0"/>
        <v>-7.9187013329817812E-4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2">
        <f>January!F17</f>
        <v>31425</v>
      </c>
      <c r="F17" s="78">
        <v>34712</v>
      </c>
      <c r="G17" s="11">
        <f t="shared" si="1"/>
        <v>3287</v>
      </c>
      <c r="H17" s="58">
        <f t="shared" si="0"/>
        <v>0.10459824980111376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January!F18</f>
        <v>1681386</v>
      </c>
      <c r="F18" s="66">
        <v>1620261</v>
      </c>
      <c r="G18" s="66">
        <f t="shared" si="1"/>
        <v>-61125</v>
      </c>
      <c r="H18" s="63">
        <f t="shared" si="0"/>
        <v>-3.6353936573755186E-2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42763</v>
      </c>
      <c r="F22" s="67">
        <f>F11</f>
        <v>42794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2">
        <f>January!F23</f>
        <v>1122053</v>
      </c>
      <c r="F23" s="78">
        <v>1125369</v>
      </c>
      <c r="G23" s="11">
        <f>F23-E23</f>
        <v>3316</v>
      </c>
      <c r="H23" s="58">
        <f>F23/E23-1</f>
        <v>2.9552971205459855E-3</v>
      </c>
      <c r="I23" s="80"/>
    </row>
    <row r="24" spans="2:10" s="70" customFormat="1" ht="17.25">
      <c r="B24" s="114" t="s">
        <v>1</v>
      </c>
      <c r="C24" s="114"/>
      <c r="D24" s="115"/>
      <c r="E24" s="72">
        <f>January!F24</f>
        <v>18499</v>
      </c>
      <c r="F24" s="78">
        <v>18472</v>
      </c>
      <c r="G24" s="11">
        <f t="shared" ref="G24:G29" si="2">F24-E24</f>
        <v>-27</v>
      </c>
      <c r="H24" s="58">
        <f t="shared" ref="H24:H29" si="3">F24/E24-1</f>
        <v>-1.4595383534244943E-3</v>
      </c>
      <c r="I24" s="80"/>
    </row>
    <row r="25" spans="2:10" s="70" customFormat="1" ht="17.25">
      <c r="B25" s="114" t="s">
        <v>45</v>
      </c>
      <c r="C25" s="114"/>
      <c r="D25" s="115"/>
      <c r="E25" s="72">
        <f>January!F25</f>
        <v>9371</v>
      </c>
      <c r="F25" s="78">
        <v>9319</v>
      </c>
      <c r="G25" s="11">
        <f t="shared" si="2"/>
        <v>-52</v>
      </c>
      <c r="H25" s="58">
        <f t="shared" si="3"/>
        <v>-5.5490342546152815E-3</v>
      </c>
      <c r="I25" s="80"/>
    </row>
    <row r="26" spans="2:10" s="70" customFormat="1" ht="17.25">
      <c r="B26" s="116" t="s">
        <v>46</v>
      </c>
      <c r="C26" s="116"/>
      <c r="D26" s="117"/>
      <c r="E26" s="72">
        <f>January!F26</f>
        <v>5969</v>
      </c>
      <c r="F26" s="78">
        <v>5987</v>
      </c>
      <c r="G26" s="11">
        <f t="shared" si="2"/>
        <v>18</v>
      </c>
      <c r="H26" s="58">
        <f t="shared" si="3"/>
        <v>3.0155804992459956E-3</v>
      </c>
      <c r="I26" s="80"/>
    </row>
    <row r="27" spans="2:10" s="70" customFormat="1" ht="17.25">
      <c r="B27" s="118" t="s">
        <v>47</v>
      </c>
      <c r="C27" s="118"/>
      <c r="D27" s="119"/>
      <c r="E27" s="72">
        <f>January!F27</f>
        <v>3402</v>
      </c>
      <c r="F27" s="78">
        <v>3332</v>
      </c>
      <c r="G27" s="11">
        <f t="shared" si="2"/>
        <v>-70</v>
      </c>
      <c r="H27" s="58">
        <f t="shared" si="3"/>
        <v>-2.0576131687242816E-2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2">
        <f>January!F28</f>
        <v>10991</v>
      </c>
      <c r="F28" s="78">
        <v>13509</v>
      </c>
      <c r="G28" s="11">
        <f t="shared" si="2"/>
        <v>2518</v>
      </c>
      <c r="H28" s="58">
        <f t="shared" si="3"/>
        <v>0.22909653352743153</v>
      </c>
      <c r="I28" s="80"/>
    </row>
    <row r="29" spans="2:10" s="64" customFormat="1" ht="18" thickBot="1">
      <c r="B29" s="59" t="s">
        <v>3</v>
      </c>
      <c r="C29" s="59"/>
      <c r="D29" s="60"/>
      <c r="E29" s="66">
        <f>January!F29</f>
        <v>1160914</v>
      </c>
      <c r="F29" s="66">
        <v>1166669</v>
      </c>
      <c r="G29" s="66">
        <f t="shared" si="2"/>
        <v>5755</v>
      </c>
      <c r="H29" s="63">
        <f t="shared" si="3"/>
        <v>4.9573008853369682E-3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42763</v>
      </c>
      <c r="F33" s="67">
        <f>F11</f>
        <v>42794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f>January!F34</f>
        <v>86958</v>
      </c>
      <c r="F34" s="72">
        <v>89612</v>
      </c>
      <c r="G34" s="11">
        <f t="shared" ref="G34:G40" si="4">F34-E34</f>
        <v>2654</v>
      </c>
      <c r="H34" s="58">
        <f t="shared" ref="H34:H40" si="5">F34/E34-1</f>
        <v>3.0520481151820489E-2</v>
      </c>
      <c r="I34" s="57"/>
    </row>
    <row r="35" spans="2:9" ht="17.25">
      <c r="B35" s="114" t="s">
        <v>1</v>
      </c>
      <c r="C35" s="114"/>
      <c r="D35" s="115"/>
      <c r="E35" s="72">
        <f>January!F35</f>
        <v>916</v>
      </c>
      <c r="F35" s="72">
        <v>989</v>
      </c>
      <c r="G35" s="11">
        <f t="shared" si="4"/>
        <v>73</v>
      </c>
      <c r="H35" s="58">
        <f t="shared" si="5"/>
        <v>7.9694323144104739E-2</v>
      </c>
      <c r="I35" s="57"/>
    </row>
    <row r="36" spans="2:9" ht="17.25">
      <c r="B36" s="114" t="s">
        <v>45</v>
      </c>
      <c r="C36" s="114"/>
      <c r="D36" s="115"/>
      <c r="E36" s="72">
        <f>January!F36</f>
        <v>667</v>
      </c>
      <c r="F36" s="72">
        <v>702</v>
      </c>
      <c r="G36" s="11">
        <f t="shared" si="4"/>
        <v>35</v>
      </c>
      <c r="H36" s="58">
        <f t="shared" si="5"/>
        <v>5.2473763118440875E-2</v>
      </c>
      <c r="I36" s="57"/>
    </row>
    <row r="37" spans="2:9" ht="17.25">
      <c r="B37" s="116" t="s">
        <v>46</v>
      </c>
      <c r="C37" s="116"/>
      <c r="D37" s="117"/>
      <c r="E37" s="72">
        <f>January!F37</f>
        <v>415</v>
      </c>
      <c r="F37" s="72">
        <v>441</v>
      </c>
      <c r="G37" s="11">
        <f t="shared" si="4"/>
        <v>26</v>
      </c>
      <c r="H37" s="58">
        <f t="shared" si="5"/>
        <v>6.2650602409638489E-2</v>
      </c>
      <c r="I37" s="57"/>
    </row>
    <row r="38" spans="2:9" ht="17.25">
      <c r="B38" s="118" t="s">
        <v>47</v>
      </c>
      <c r="C38" s="118"/>
      <c r="D38" s="119"/>
      <c r="E38" s="72">
        <f>January!F38</f>
        <v>252</v>
      </c>
      <c r="F38" s="72">
        <v>261</v>
      </c>
      <c r="G38" s="11">
        <f t="shared" si="4"/>
        <v>9</v>
      </c>
      <c r="H38" s="58">
        <f t="shared" si="5"/>
        <v>3.5714285714285809E-2</v>
      </c>
      <c r="I38" s="57"/>
    </row>
    <row r="39" spans="2:9" ht="18" customHeight="1" thickBot="1">
      <c r="B39" s="120" t="s">
        <v>2</v>
      </c>
      <c r="C39" s="120"/>
      <c r="D39" s="121"/>
      <c r="E39" s="72">
        <f>January!F39</f>
        <v>2837</v>
      </c>
      <c r="F39" s="72">
        <v>4206</v>
      </c>
      <c r="G39" s="11">
        <f t="shared" si="4"/>
        <v>1369</v>
      </c>
      <c r="H39" s="58">
        <f t="shared" si="5"/>
        <v>0.48255199154035955</v>
      </c>
      <c r="I39" s="57"/>
    </row>
    <row r="40" spans="2:9" s="64" customFormat="1" ht="18" thickBot="1">
      <c r="B40" s="59" t="s">
        <v>3</v>
      </c>
      <c r="C40" s="59"/>
      <c r="D40" s="60"/>
      <c r="E40" s="66">
        <f>January!F40</f>
        <v>91378</v>
      </c>
      <c r="F40" s="66">
        <v>95509</v>
      </c>
      <c r="G40" s="66">
        <f t="shared" si="4"/>
        <v>4131</v>
      </c>
      <c r="H40" s="63">
        <f t="shared" si="5"/>
        <v>4.5207818074372463E-2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88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42641</v>
      </c>
      <c r="D83" s="67">
        <f>EDATE(E83,-1)</f>
        <v>42671</v>
      </c>
      <c r="E83" s="67">
        <f>EDATE(F83,-1)</f>
        <v>42702</v>
      </c>
      <c r="F83" s="67">
        <f>EDATE(G83,-1)</f>
        <v>42732</v>
      </c>
      <c r="G83" s="67">
        <f>EDATE(H83,-1)</f>
        <v>42763</v>
      </c>
      <c r="H83" s="67">
        <f>EDATE(E11,1)</f>
        <v>42794</v>
      </c>
      <c r="I83"/>
      <c r="J83"/>
    </row>
    <row r="84" spans="2:11" ht="16.5" customHeight="1">
      <c r="B84" s="24" t="s">
        <v>0</v>
      </c>
      <c r="C84" s="74">
        <v>1049230</v>
      </c>
      <c r="D84" s="74">
        <v>1061843</v>
      </c>
      <c r="E84" s="74">
        <v>1080706</v>
      </c>
      <c r="F84" s="74">
        <v>1102966</v>
      </c>
      <c r="G84" s="74">
        <v>1122053</v>
      </c>
      <c r="H84" s="74">
        <v>1125369</v>
      </c>
    </row>
    <row r="85" spans="2:11" ht="16.5" customHeight="1">
      <c r="B85" s="25" t="s">
        <v>1</v>
      </c>
      <c r="C85" s="75">
        <v>19110</v>
      </c>
      <c r="D85" s="75">
        <v>18990</v>
      </c>
      <c r="E85" s="75">
        <v>19037</v>
      </c>
      <c r="F85" s="75">
        <v>18622</v>
      </c>
      <c r="G85" s="75">
        <v>18499</v>
      </c>
      <c r="H85" s="75">
        <v>18472</v>
      </c>
    </row>
    <row r="86" spans="2:11" ht="16.5" customHeight="1">
      <c r="B86" s="26" t="s">
        <v>45</v>
      </c>
      <c r="C86" s="77">
        <v>8966</v>
      </c>
      <c r="D86" s="77">
        <v>9026</v>
      </c>
      <c r="E86" s="77">
        <v>9070</v>
      </c>
      <c r="F86" s="77">
        <v>9215</v>
      </c>
      <c r="G86" s="77">
        <v>9371</v>
      </c>
      <c r="H86" s="77">
        <v>9319</v>
      </c>
    </row>
    <row r="87" spans="2:11" ht="16.5" customHeight="1" thickBot="1">
      <c r="B87" s="27" t="s">
        <v>2</v>
      </c>
      <c r="C87" s="73">
        <v>2602</v>
      </c>
      <c r="D87" s="73">
        <v>7021</v>
      </c>
      <c r="E87" s="73">
        <v>10116</v>
      </c>
      <c r="F87" s="73">
        <v>10694</v>
      </c>
      <c r="G87" s="73">
        <v>10991</v>
      </c>
      <c r="H87" s="73">
        <v>13509</v>
      </c>
    </row>
    <row r="88" spans="2:11" s="65" customFormat="1" ht="18" thickBot="1">
      <c r="B88" s="89" t="s">
        <v>3</v>
      </c>
      <c r="C88" s="76">
        <v>1079908</v>
      </c>
      <c r="D88" s="76">
        <v>1096880</v>
      </c>
      <c r="E88" s="76">
        <v>1118929</v>
      </c>
      <c r="F88" s="76">
        <v>1141497</v>
      </c>
      <c r="G88" s="76">
        <v>1160914</v>
      </c>
      <c r="H88" s="76">
        <v>1166669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42794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331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42794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252818</v>
      </c>
      <c r="H139" s="136">
        <v>252818</v>
      </c>
      <c r="I139" s="46"/>
      <c r="J139" s="49"/>
    </row>
    <row r="140" spans="2:10" ht="13.5" customHeight="1">
      <c r="B140" s="137" t="s">
        <v>27</v>
      </c>
      <c r="C140" s="137" t="s">
        <v>27</v>
      </c>
      <c r="D140" s="137" t="s">
        <v>27</v>
      </c>
      <c r="E140" s="137" t="s">
        <v>27</v>
      </c>
      <c r="F140" s="138" t="s">
        <v>27</v>
      </c>
      <c r="G140" s="139">
        <v>200378</v>
      </c>
      <c r="H140" s="140">
        <v>200378</v>
      </c>
      <c r="I140" s="46"/>
      <c r="J140" s="49"/>
    </row>
    <row r="141" spans="2:10" ht="17.25" customHeight="1">
      <c r="B141" s="137" t="s">
        <v>28</v>
      </c>
      <c r="C141" s="137" t="s">
        <v>28</v>
      </c>
      <c r="D141" s="137" t="s">
        <v>28</v>
      </c>
      <c r="E141" s="137" t="s">
        <v>28</v>
      </c>
      <c r="F141" s="138" t="s">
        <v>28</v>
      </c>
      <c r="G141" s="139">
        <v>194418</v>
      </c>
      <c r="H141" s="140">
        <v>194418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163695</v>
      </c>
      <c r="H142" s="140">
        <v>163695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98310</v>
      </c>
      <c r="H143" s="140">
        <v>98310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61493</v>
      </c>
      <c r="H144" s="140">
        <v>61493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50137</v>
      </c>
      <c r="H145" s="140">
        <v>50137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33360</v>
      </c>
      <c r="H146" s="140">
        <v>33360</v>
      </c>
      <c r="I146" s="46"/>
      <c r="J146" s="49"/>
    </row>
    <row r="147" spans="2:13" ht="17.25" customHeight="1">
      <c r="B147" s="137" t="s">
        <v>51</v>
      </c>
      <c r="C147" s="137" t="s">
        <v>51</v>
      </c>
      <c r="D147" s="137" t="s">
        <v>51</v>
      </c>
      <c r="E147" s="137" t="s">
        <v>51</v>
      </c>
      <c r="F147" s="138" t="s">
        <v>51</v>
      </c>
      <c r="G147" s="139">
        <v>22007</v>
      </c>
      <c r="H147" s="140">
        <v>22007</v>
      </c>
      <c r="I147" s="46"/>
      <c r="J147" s="49"/>
      <c r="L147"/>
    </row>
    <row r="148" spans="2:13" ht="18" customHeight="1" thickBot="1">
      <c r="B148" s="154" t="s">
        <v>30</v>
      </c>
      <c r="C148" s="154" t="s">
        <v>30</v>
      </c>
      <c r="D148" s="154" t="s">
        <v>30</v>
      </c>
      <c r="E148" s="154" t="s">
        <v>30</v>
      </c>
      <c r="F148" s="146" t="s">
        <v>30</v>
      </c>
      <c r="G148" s="155">
        <v>19859</v>
      </c>
      <c r="H148" s="156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16914</v>
      </c>
      <c r="H154" s="136">
        <v>16914</v>
      </c>
      <c r="I154" s="52"/>
      <c r="J154" s="49"/>
      <c r="K154" s="48"/>
      <c r="L154"/>
      <c r="M154"/>
    </row>
    <row r="155" spans="2:13" ht="17.25" customHeight="1">
      <c r="B155" s="137" t="s">
        <v>27</v>
      </c>
      <c r="C155" s="137" t="s">
        <v>27</v>
      </c>
      <c r="D155" s="137" t="s">
        <v>27</v>
      </c>
      <c r="E155" s="137" t="s">
        <v>27</v>
      </c>
      <c r="F155" s="138" t="s">
        <v>27</v>
      </c>
      <c r="G155" s="139">
        <v>14365</v>
      </c>
      <c r="H155" s="140">
        <v>14365</v>
      </c>
      <c r="I155" s="52"/>
      <c r="J155" s="49"/>
      <c r="K155" s="48"/>
      <c r="L155"/>
      <c r="M155"/>
    </row>
    <row r="156" spans="2:13" ht="17.25" customHeight="1">
      <c r="B156" s="137" t="s">
        <v>28</v>
      </c>
      <c r="C156" s="137" t="s">
        <v>28</v>
      </c>
      <c r="D156" s="137" t="s">
        <v>28</v>
      </c>
      <c r="E156" s="137" t="s">
        <v>28</v>
      </c>
      <c r="F156" s="138" t="s">
        <v>28</v>
      </c>
      <c r="G156" s="139">
        <v>14345</v>
      </c>
      <c r="H156" s="140">
        <v>14345</v>
      </c>
      <c r="I156" s="52"/>
      <c r="J156" s="49"/>
      <c r="K156" s="48"/>
      <c r="L156"/>
      <c r="M156"/>
    </row>
    <row r="157" spans="2:13" ht="17.25">
      <c r="B157" s="137" t="s">
        <v>38</v>
      </c>
      <c r="C157" s="137" t="s">
        <v>38</v>
      </c>
      <c r="D157" s="137" t="s">
        <v>38</v>
      </c>
      <c r="E157" s="137" t="s">
        <v>38</v>
      </c>
      <c r="F157" s="138" t="s">
        <v>38</v>
      </c>
      <c r="G157" s="139">
        <v>11668</v>
      </c>
      <c r="H157" s="140">
        <v>11668</v>
      </c>
      <c r="I157" s="52"/>
      <c r="J157" s="49"/>
      <c r="K157" s="48"/>
      <c r="L157"/>
      <c r="M157"/>
    </row>
    <row r="158" spans="2:13" ht="17.25" customHeight="1">
      <c r="B158" s="137" t="s">
        <v>37</v>
      </c>
      <c r="C158" s="137" t="s">
        <v>37</v>
      </c>
      <c r="D158" s="137" t="s">
        <v>37</v>
      </c>
      <c r="E158" s="137" t="s">
        <v>37</v>
      </c>
      <c r="F158" s="138" t="s">
        <v>37</v>
      </c>
      <c r="G158" s="139">
        <v>11645</v>
      </c>
      <c r="H158" s="140">
        <v>11645</v>
      </c>
      <c r="I158" s="52"/>
      <c r="J158" s="49"/>
      <c r="K158" s="48"/>
      <c r="L158"/>
      <c r="M158"/>
    </row>
    <row r="159" spans="2:13" ht="17.25" customHeight="1">
      <c r="B159" s="137" t="s">
        <v>40</v>
      </c>
      <c r="C159" s="137" t="s">
        <v>40</v>
      </c>
      <c r="D159" s="137" t="s">
        <v>40</v>
      </c>
      <c r="E159" s="137" t="s">
        <v>40</v>
      </c>
      <c r="F159" s="138" t="s">
        <v>40</v>
      </c>
      <c r="G159" s="139">
        <v>4320</v>
      </c>
      <c r="H159" s="140">
        <v>4320</v>
      </c>
      <c r="I159" s="53"/>
      <c r="J159" s="49"/>
      <c r="K159" s="48"/>
      <c r="L159"/>
      <c r="M159"/>
    </row>
    <row r="160" spans="2:13" ht="17.25" customHeight="1">
      <c r="B160" s="137" t="s">
        <v>50</v>
      </c>
      <c r="C160" s="137" t="s">
        <v>50</v>
      </c>
      <c r="D160" s="137" t="s">
        <v>50</v>
      </c>
      <c r="E160" s="137" t="s">
        <v>50</v>
      </c>
      <c r="F160" s="138" t="s">
        <v>50</v>
      </c>
      <c r="G160" s="139">
        <v>3781</v>
      </c>
      <c r="H160" s="140">
        <v>3781</v>
      </c>
      <c r="I160" s="52"/>
      <c r="J160" s="49"/>
      <c r="K160" s="48"/>
      <c r="L160"/>
      <c r="M160"/>
    </row>
    <row r="161" spans="2:13" ht="17.25" customHeight="1">
      <c r="B161" s="137" t="s">
        <v>29</v>
      </c>
      <c r="C161" s="137" t="s">
        <v>29</v>
      </c>
      <c r="D161" s="137" t="s">
        <v>29</v>
      </c>
      <c r="E161" s="137" t="s">
        <v>29</v>
      </c>
      <c r="F161" s="138" t="s">
        <v>29</v>
      </c>
      <c r="G161" s="139">
        <v>2913</v>
      </c>
      <c r="H161" s="140">
        <v>2913</v>
      </c>
      <c r="I161" s="52"/>
      <c r="J161" s="49"/>
      <c r="K161" s="48"/>
      <c r="L161"/>
      <c r="M161"/>
    </row>
    <row r="162" spans="2:13" ht="17.25" customHeight="1">
      <c r="B162" s="137" t="s">
        <v>41</v>
      </c>
      <c r="C162" s="137" t="s">
        <v>41</v>
      </c>
      <c r="D162" s="137" t="s">
        <v>41</v>
      </c>
      <c r="E162" s="137" t="s">
        <v>41</v>
      </c>
      <c r="F162" s="138" t="s">
        <v>41</v>
      </c>
      <c r="G162" s="139">
        <v>2562</v>
      </c>
      <c r="H162" s="140">
        <v>2562</v>
      </c>
      <c r="I162" s="52"/>
      <c r="J162" s="49"/>
      <c r="K162" s="48"/>
      <c r="L162"/>
      <c r="M162"/>
    </row>
    <row r="163" spans="2:13" ht="18" customHeight="1" thickBot="1">
      <c r="B163" s="154" t="s">
        <v>42</v>
      </c>
      <c r="C163" s="154" t="s">
        <v>42</v>
      </c>
      <c r="D163" s="154" t="s">
        <v>42</v>
      </c>
      <c r="E163" s="154" t="s">
        <v>42</v>
      </c>
      <c r="F163" s="146" t="s">
        <v>42</v>
      </c>
      <c r="G163" s="155">
        <v>2516</v>
      </c>
      <c r="H163" s="156">
        <v>2516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37</v>
      </c>
      <c r="C169" s="133" t="s">
        <v>37</v>
      </c>
      <c r="D169" s="133" t="s">
        <v>37</v>
      </c>
      <c r="E169" s="133" t="s">
        <v>37</v>
      </c>
      <c r="F169" s="134" t="s">
        <v>37</v>
      </c>
      <c r="G169" s="135">
        <v>1592479239163.01</v>
      </c>
      <c r="H169" s="136">
        <v>1592479239163.01</v>
      </c>
      <c r="I169" s="54"/>
      <c r="J169" s="55"/>
    </row>
    <row r="170" spans="2:13" ht="17.25" customHeight="1">
      <c r="B170" s="137" t="s">
        <v>28</v>
      </c>
      <c r="C170" s="137" t="s">
        <v>28</v>
      </c>
      <c r="D170" s="137" t="s">
        <v>28</v>
      </c>
      <c r="E170" s="137" t="s">
        <v>28</v>
      </c>
      <c r="F170" s="138" t="s">
        <v>28</v>
      </c>
      <c r="G170" s="139">
        <v>1475524964881.5601</v>
      </c>
      <c r="H170" s="140">
        <v>1475524964881.5601</v>
      </c>
      <c r="I170" s="54"/>
      <c r="J170" s="55"/>
    </row>
    <row r="171" spans="2:13" ht="17.25" customHeight="1">
      <c r="B171" s="137" t="s">
        <v>36</v>
      </c>
      <c r="C171" s="137" t="s">
        <v>36</v>
      </c>
      <c r="D171" s="137" t="s">
        <v>36</v>
      </c>
      <c r="E171" s="137" t="s">
        <v>36</v>
      </c>
      <c r="F171" s="138" t="s">
        <v>36</v>
      </c>
      <c r="G171" s="139">
        <v>875439712554.98999</v>
      </c>
      <c r="H171" s="140">
        <v>875439712554.98999</v>
      </c>
      <c r="I171" s="54"/>
      <c r="J171" s="55"/>
    </row>
    <row r="172" spans="2:13" ht="17.25" customHeight="1">
      <c r="B172" s="137" t="s">
        <v>48</v>
      </c>
      <c r="C172" s="137" t="s">
        <v>48</v>
      </c>
      <c r="D172" s="137" t="s">
        <v>48</v>
      </c>
      <c r="E172" s="137" t="s">
        <v>48</v>
      </c>
      <c r="F172" s="138" t="s">
        <v>48</v>
      </c>
      <c r="G172" s="139">
        <v>752664462869.35999</v>
      </c>
      <c r="H172" s="140">
        <v>752664462869.35999</v>
      </c>
      <c r="I172" s="54"/>
      <c r="J172" s="55"/>
    </row>
    <row r="173" spans="2:13" ht="17.25" customHeight="1">
      <c r="B173" s="137" t="s">
        <v>49</v>
      </c>
      <c r="C173" s="137" t="s">
        <v>49</v>
      </c>
      <c r="D173" s="137" t="s">
        <v>49</v>
      </c>
      <c r="E173" s="137" t="s">
        <v>49</v>
      </c>
      <c r="F173" s="138" t="s">
        <v>49</v>
      </c>
      <c r="G173" s="139">
        <v>551332547997.34998</v>
      </c>
      <c r="H173" s="140">
        <v>551332547997.34998</v>
      </c>
      <c r="I173" s="56"/>
      <c r="J173" s="49"/>
    </row>
    <row r="174" spans="2:13" ht="17.25" customHeight="1">
      <c r="B174" s="137" t="s">
        <v>39</v>
      </c>
      <c r="C174" s="137" t="s">
        <v>39</v>
      </c>
      <c r="D174" s="137" t="s">
        <v>39</v>
      </c>
      <c r="E174" s="137" t="s">
        <v>39</v>
      </c>
      <c r="F174" s="138" t="s">
        <v>39</v>
      </c>
      <c r="G174" s="139">
        <v>507414844921.84998</v>
      </c>
      <c r="H174" s="140">
        <v>507414844921.84998</v>
      </c>
      <c r="I174" s="54"/>
      <c r="J174" s="55"/>
    </row>
    <row r="175" spans="2:13" ht="17.25" customHeight="1">
      <c r="B175" s="137" t="s">
        <v>44</v>
      </c>
      <c r="C175" s="137" t="s">
        <v>44</v>
      </c>
      <c r="D175" s="137" t="s">
        <v>44</v>
      </c>
      <c r="E175" s="137" t="s">
        <v>44</v>
      </c>
      <c r="F175" s="138" t="s">
        <v>44</v>
      </c>
      <c r="G175" s="139">
        <v>448168884445.29999</v>
      </c>
      <c r="H175" s="140">
        <v>448168884445.29999</v>
      </c>
      <c r="I175" s="54"/>
      <c r="J175" s="55"/>
    </row>
    <row r="176" spans="2:13" ht="17.25" customHeight="1">
      <c r="B176" s="137" t="s">
        <v>42</v>
      </c>
      <c r="C176" s="137" t="s">
        <v>42</v>
      </c>
      <c r="D176" s="137" t="s">
        <v>42</v>
      </c>
      <c r="E176" s="137" t="s">
        <v>42</v>
      </c>
      <c r="F176" s="138" t="s">
        <v>42</v>
      </c>
      <c r="G176" s="139">
        <v>442100539314.5</v>
      </c>
      <c r="H176" s="140">
        <v>442100539314.5</v>
      </c>
      <c r="I176" s="54"/>
      <c r="J176" s="55"/>
    </row>
    <row r="177" spans="2:10" ht="17.25" customHeight="1">
      <c r="B177" s="137" t="s">
        <v>52</v>
      </c>
      <c r="C177" s="137" t="s">
        <v>52</v>
      </c>
      <c r="D177" s="137" t="s">
        <v>52</v>
      </c>
      <c r="E177" s="137" t="s">
        <v>52</v>
      </c>
      <c r="F177" s="138" t="s">
        <v>52</v>
      </c>
      <c r="G177" s="139">
        <v>440809648653.89001</v>
      </c>
      <c r="H177" s="140">
        <v>440809648653.89001</v>
      </c>
      <c r="I177" s="54"/>
      <c r="J177" s="55"/>
    </row>
    <row r="178" spans="2:10" ht="18" customHeight="1" thickBot="1">
      <c r="B178" s="154" t="s">
        <v>27</v>
      </c>
      <c r="C178" s="154" t="s">
        <v>27</v>
      </c>
      <c r="D178" s="154" t="s">
        <v>27</v>
      </c>
      <c r="E178" s="154" t="s">
        <v>27</v>
      </c>
      <c r="F178" s="146" t="s">
        <v>27</v>
      </c>
      <c r="G178" s="155">
        <v>371464004204.06</v>
      </c>
      <c r="H178" s="156">
        <v>371464004204.06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179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1793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0">
    <pageSetUpPr fitToPage="1"/>
  </sheetPr>
  <dimension ref="B2:N180"/>
  <sheetViews>
    <sheetView topLeftCell="A10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42825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42825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42794</v>
      </c>
      <c r="F11" s="67">
        <f>B3</f>
        <v>42825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1541184</v>
      </c>
      <c r="F12" s="78">
        <v>1692079</v>
      </c>
      <c r="G12" s="11">
        <f>F12-E12</f>
        <v>150895</v>
      </c>
      <c r="H12" s="58">
        <f t="shared" ref="H12:H18" si="0">F12/E12-1</f>
        <v>9.790849113408906E-2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30191</v>
      </c>
      <c r="F13" s="78">
        <v>30318</v>
      </c>
      <c r="G13" s="11">
        <f t="shared" ref="G13:G18" si="1">F13-E13</f>
        <v>127</v>
      </c>
      <c r="H13" s="58">
        <f t="shared" si="0"/>
        <v>4.2065516213440901E-3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14174</v>
      </c>
      <c r="F14" s="78">
        <v>14943</v>
      </c>
      <c r="G14" s="11">
        <f t="shared" si="1"/>
        <v>769</v>
      </c>
      <c r="H14" s="58">
        <f t="shared" si="0"/>
        <v>5.4254268378721493E-2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6603</v>
      </c>
      <c r="F15" s="78">
        <v>7393</v>
      </c>
      <c r="G15" s="11">
        <f t="shared" si="1"/>
        <v>790</v>
      </c>
      <c r="H15" s="58">
        <f t="shared" si="0"/>
        <v>0.11964258670301375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7571</v>
      </c>
      <c r="F16" s="78">
        <v>7550</v>
      </c>
      <c r="G16" s="11">
        <f t="shared" si="1"/>
        <v>-21</v>
      </c>
      <c r="H16" s="58">
        <f t="shared" si="0"/>
        <v>-2.7737419099194138E-3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34712</v>
      </c>
      <c r="F17" s="78">
        <v>35406</v>
      </c>
      <c r="G17" s="11">
        <f t="shared" si="1"/>
        <v>694</v>
      </c>
      <c r="H17" s="58">
        <f t="shared" si="0"/>
        <v>1.9993085964507884E-2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1620261</v>
      </c>
      <c r="F18" s="66">
        <v>1772746</v>
      </c>
      <c r="G18" s="66">
        <f t="shared" si="1"/>
        <v>152485</v>
      </c>
      <c r="H18" s="63">
        <f t="shared" si="0"/>
        <v>9.4111380820744328E-2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42794</v>
      </c>
      <c r="F22" s="67">
        <f>F11</f>
        <v>42825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1125369</v>
      </c>
      <c r="F23" s="78">
        <v>1143968</v>
      </c>
      <c r="G23" s="11">
        <f>F23-E23</f>
        <v>18599</v>
      </c>
      <c r="H23" s="58">
        <f>F23/E23-1</f>
        <v>1.652702358071001E-2</v>
      </c>
      <c r="I23" s="80"/>
    </row>
    <row r="24" spans="2:10" s="70" customFormat="1" ht="17.25">
      <c r="B24" s="114" t="s">
        <v>1</v>
      </c>
      <c r="C24" s="114"/>
      <c r="D24" s="115"/>
      <c r="E24" s="78">
        <v>18472</v>
      </c>
      <c r="F24" s="78">
        <v>18496</v>
      </c>
      <c r="G24" s="11">
        <f t="shared" ref="G24:G29" si="2">F24-E24</f>
        <v>24</v>
      </c>
      <c r="H24" s="58">
        <f t="shared" ref="H24:H29" si="3">F24/E24-1</f>
        <v>1.2992637505413462E-3</v>
      </c>
      <c r="I24" s="80"/>
    </row>
    <row r="25" spans="2:10" s="70" customFormat="1" ht="17.25">
      <c r="B25" s="114" t="s">
        <v>45</v>
      </c>
      <c r="C25" s="114"/>
      <c r="D25" s="115"/>
      <c r="E25" s="78">
        <v>9319</v>
      </c>
      <c r="F25" s="78">
        <v>9908</v>
      </c>
      <c r="G25" s="11">
        <f t="shared" si="2"/>
        <v>589</v>
      </c>
      <c r="H25" s="58">
        <f t="shared" si="3"/>
        <v>6.3204206459920531E-2</v>
      </c>
      <c r="I25" s="80"/>
    </row>
    <row r="26" spans="2:10" s="70" customFormat="1" ht="17.25">
      <c r="B26" s="116" t="s">
        <v>46</v>
      </c>
      <c r="C26" s="116"/>
      <c r="D26" s="117"/>
      <c r="E26" s="78">
        <v>5987</v>
      </c>
      <c r="F26" s="78">
        <v>6602</v>
      </c>
      <c r="G26" s="11">
        <f t="shared" si="2"/>
        <v>615</v>
      </c>
      <c r="H26" s="58">
        <f t="shared" si="3"/>
        <v>0.10272256555871051</v>
      </c>
      <c r="I26" s="80"/>
    </row>
    <row r="27" spans="2:10" s="70" customFormat="1" ht="17.25">
      <c r="B27" s="118" t="s">
        <v>47</v>
      </c>
      <c r="C27" s="118"/>
      <c r="D27" s="119"/>
      <c r="E27" s="78">
        <v>3332</v>
      </c>
      <c r="F27" s="78">
        <v>3306</v>
      </c>
      <c r="G27" s="11">
        <f t="shared" si="2"/>
        <v>-26</v>
      </c>
      <c r="H27" s="58">
        <f t="shared" si="3"/>
        <v>-7.8031212484993562E-3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13509</v>
      </c>
      <c r="F28" s="78">
        <v>14098</v>
      </c>
      <c r="G28" s="11">
        <f t="shared" si="2"/>
        <v>589</v>
      </c>
      <c r="H28" s="58">
        <f t="shared" si="3"/>
        <v>4.3600562587904346E-2</v>
      </c>
      <c r="I28" s="80"/>
    </row>
    <row r="29" spans="2:10" s="64" customFormat="1" ht="18" thickBot="1">
      <c r="B29" s="59" t="s">
        <v>3</v>
      </c>
      <c r="C29" s="59"/>
      <c r="D29" s="60"/>
      <c r="E29" s="66">
        <v>1166669</v>
      </c>
      <c r="F29" s="66">
        <v>1186470</v>
      </c>
      <c r="G29" s="66">
        <f t="shared" si="2"/>
        <v>19801</v>
      </c>
      <c r="H29" s="63">
        <f t="shared" si="3"/>
        <v>1.6972251769782121E-2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42794</v>
      </c>
      <c r="F33" s="67">
        <f>F11</f>
        <v>42825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89612</v>
      </c>
      <c r="F34" s="72">
        <v>89139</v>
      </c>
      <c r="G34" s="11">
        <f t="shared" ref="G34:G40" si="4">F34-E34</f>
        <v>-473</v>
      </c>
      <c r="H34" s="58">
        <f t="shared" ref="H34:H40" si="5">F34/E34-1</f>
        <v>-5.2783109404990203E-3</v>
      </c>
      <c r="I34" s="57"/>
    </row>
    <row r="35" spans="2:9" ht="17.25">
      <c r="B35" s="114" t="s">
        <v>1</v>
      </c>
      <c r="C35" s="114"/>
      <c r="D35" s="115"/>
      <c r="E35" s="72">
        <v>989</v>
      </c>
      <c r="F35" s="72">
        <v>1054</v>
      </c>
      <c r="G35" s="11">
        <f t="shared" si="4"/>
        <v>65</v>
      </c>
      <c r="H35" s="58">
        <f t="shared" si="5"/>
        <v>6.5722952477249796E-2</v>
      </c>
      <c r="I35" s="57"/>
    </row>
    <row r="36" spans="2:9" ht="17.25">
      <c r="B36" s="114" t="s">
        <v>45</v>
      </c>
      <c r="C36" s="114"/>
      <c r="D36" s="115"/>
      <c r="E36" s="72">
        <v>702</v>
      </c>
      <c r="F36" s="72">
        <v>751</v>
      </c>
      <c r="G36" s="11">
        <f t="shared" si="4"/>
        <v>49</v>
      </c>
      <c r="H36" s="58">
        <f t="shared" si="5"/>
        <v>6.9800569800569701E-2</v>
      </c>
      <c r="I36" s="57"/>
    </row>
    <row r="37" spans="2:9" ht="17.25">
      <c r="B37" s="116" t="s">
        <v>46</v>
      </c>
      <c r="C37" s="116"/>
      <c r="D37" s="117"/>
      <c r="E37" s="72">
        <v>441</v>
      </c>
      <c r="F37" s="72">
        <v>467</v>
      </c>
      <c r="G37" s="11">
        <f t="shared" si="4"/>
        <v>26</v>
      </c>
      <c r="H37" s="58">
        <f t="shared" si="5"/>
        <v>5.895691609977316E-2</v>
      </c>
      <c r="I37" s="57"/>
    </row>
    <row r="38" spans="2:9" ht="17.25">
      <c r="B38" s="118" t="s">
        <v>47</v>
      </c>
      <c r="C38" s="118"/>
      <c r="D38" s="119"/>
      <c r="E38" s="72">
        <v>261</v>
      </c>
      <c r="F38" s="72">
        <v>284</v>
      </c>
      <c r="G38" s="11">
        <f t="shared" si="4"/>
        <v>23</v>
      </c>
      <c r="H38" s="58">
        <f t="shared" si="5"/>
        <v>8.8122605363984752E-2</v>
      </c>
      <c r="I38" s="57"/>
    </row>
    <row r="39" spans="2:9" ht="18" customHeight="1" thickBot="1">
      <c r="B39" s="120" t="s">
        <v>2</v>
      </c>
      <c r="C39" s="120"/>
      <c r="D39" s="121"/>
      <c r="E39" s="72">
        <v>4206</v>
      </c>
      <c r="F39" s="72">
        <v>4968</v>
      </c>
      <c r="G39" s="11">
        <f t="shared" si="4"/>
        <v>762</v>
      </c>
      <c r="H39" s="58">
        <f t="shared" si="5"/>
        <v>0.18116975748930098</v>
      </c>
      <c r="I39" s="57"/>
    </row>
    <row r="40" spans="2:9" s="64" customFormat="1" ht="18" thickBot="1">
      <c r="B40" s="59" t="s">
        <v>3</v>
      </c>
      <c r="C40" s="59"/>
      <c r="D40" s="60"/>
      <c r="E40" s="66">
        <v>95509</v>
      </c>
      <c r="F40" s="66">
        <v>95912</v>
      </c>
      <c r="G40" s="66">
        <f t="shared" si="4"/>
        <v>403</v>
      </c>
      <c r="H40" s="63">
        <f t="shared" si="5"/>
        <v>4.2194976389660077E-3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91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42671</v>
      </c>
      <c r="D83" s="67">
        <f>EDATE(E83,-1)</f>
        <v>42702</v>
      </c>
      <c r="E83" s="67">
        <f>EDATE(F83,-1)</f>
        <v>42732</v>
      </c>
      <c r="F83" s="67">
        <f>EDATE(G83,-1)</f>
        <v>42763</v>
      </c>
      <c r="G83" s="67">
        <f>EDATE(H83,-1)</f>
        <v>42794</v>
      </c>
      <c r="H83" s="67">
        <f>EDATE(E11,1)</f>
        <v>42822</v>
      </c>
      <c r="I83"/>
      <c r="J83"/>
    </row>
    <row r="84" spans="2:11" ht="16.5" customHeight="1">
      <c r="B84" s="24" t="s">
        <v>0</v>
      </c>
      <c r="C84" s="74">
        <v>1061843</v>
      </c>
      <c r="D84" s="74">
        <v>1080706</v>
      </c>
      <c r="E84" s="74">
        <v>1102966</v>
      </c>
      <c r="F84" s="74">
        <v>1122053</v>
      </c>
      <c r="G84" s="74">
        <v>1125369</v>
      </c>
      <c r="H84" s="74">
        <v>1143968</v>
      </c>
    </row>
    <row r="85" spans="2:11" ht="16.5" customHeight="1">
      <c r="B85" s="25" t="s">
        <v>1</v>
      </c>
      <c r="C85" s="75">
        <v>18990</v>
      </c>
      <c r="D85" s="75">
        <v>19037</v>
      </c>
      <c r="E85" s="75">
        <v>18622</v>
      </c>
      <c r="F85" s="75">
        <v>18499</v>
      </c>
      <c r="G85" s="75">
        <v>18472</v>
      </c>
      <c r="H85" s="75">
        <v>18496</v>
      </c>
    </row>
    <row r="86" spans="2:11" ht="16.5" customHeight="1">
      <c r="B86" s="26" t="s">
        <v>45</v>
      </c>
      <c r="C86" s="77">
        <v>9026</v>
      </c>
      <c r="D86" s="77">
        <v>9070</v>
      </c>
      <c r="E86" s="77">
        <v>9215</v>
      </c>
      <c r="F86" s="77">
        <v>9371</v>
      </c>
      <c r="G86" s="77">
        <v>9319</v>
      </c>
      <c r="H86" s="77">
        <v>9908</v>
      </c>
    </row>
    <row r="87" spans="2:11" ht="16.5" customHeight="1" thickBot="1">
      <c r="B87" s="27" t="s">
        <v>2</v>
      </c>
      <c r="C87" s="73">
        <v>7021</v>
      </c>
      <c r="D87" s="73">
        <v>10116</v>
      </c>
      <c r="E87" s="73">
        <v>10694</v>
      </c>
      <c r="F87" s="73">
        <v>10991</v>
      </c>
      <c r="G87" s="73">
        <v>13509</v>
      </c>
      <c r="H87" s="73">
        <v>14098</v>
      </c>
    </row>
    <row r="88" spans="2:11" s="65" customFormat="1" ht="18" thickBot="1">
      <c r="B88" s="90" t="s">
        <v>3</v>
      </c>
      <c r="C88" s="76">
        <v>1096880</v>
      </c>
      <c r="D88" s="76">
        <v>1118929</v>
      </c>
      <c r="E88" s="76">
        <v>1141497</v>
      </c>
      <c r="F88" s="76">
        <v>1160914</v>
      </c>
      <c r="G88" s="76">
        <v>1166669</v>
      </c>
      <c r="H88" s="76">
        <v>1186470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42825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329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42825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254641</v>
      </c>
      <c r="H139" s="136">
        <v>254641</v>
      </c>
      <c r="I139" s="46"/>
      <c r="J139" s="49"/>
    </row>
    <row r="140" spans="2:10" ht="13.5" customHeight="1">
      <c r="B140" s="137" t="s">
        <v>27</v>
      </c>
      <c r="C140" s="137" t="s">
        <v>27</v>
      </c>
      <c r="D140" s="137" t="s">
        <v>27</v>
      </c>
      <c r="E140" s="137" t="s">
        <v>27</v>
      </c>
      <c r="F140" s="138" t="s">
        <v>27</v>
      </c>
      <c r="G140" s="139">
        <v>202669</v>
      </c>
      <c r="H140" s="140">
        <v>202669</v>
      </c>
      <c r="I140" s="46"/>
      <c r="J140" s="49"/>
    </row>
    <row r="141" spans="2:10" ht="17.25" customHeight="1">
      <c r="B141" s="137" t="s">
        <v>28</v>
      </c>
      <c r="C141" s="137" t="s">
        <v>28</v>
      </c>
      <c r="D141" s="137" t="s">
        <v>28</v>
      </c>
      <c r="E141" s="137" t="s">
        <v>28</v>
      </c>
      <c r="F141" s="138" t="s">
        <v>28</v>
      </c>
      <c r="G141" s="139">
        <v>200693</v>
      </c>
      <c r="H141" s="140">
        <v>200693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165478</v>
      </c>
      <c r="H142" s="140">
        <v>165478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100705</v>
      </c>
      <c r="H143" s="140">
        <v>100705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61418</v>
      </c>
      <c r="H144" s="140">
        <v>61418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50386</v>
      </c>
      <c r="H145" s="140">
        <v>50386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33444</v>
      </c>
      <c r="H146" s="140">
        <v>33444</v>
      </c>
      <c r="I146" s="46"/>
      <c r="J146" s="49"/>
    </row>
    <row r="147" spans="2:13" ht="17.25" customHeight="1">
      <c r="B147" s="137" t="s">
        <v>51</v>
      </c>
      <c r="C147" s="137" t="s">
        <v>51</v>
      </c>
      <c r="D147" s="137" t="s">
        <v>51</v>
      </c>
      <c r="E147" s="137" t="s">
        <v>51</v>
      </c>
      <c r="F147" s="138" t="s">
        <v>51</v>
      </c>
      <c r="G147" s="139">
        <v>22103</v>
      </c>
      <c r="H147" s="140">
        <v>22103</v>
      </c>
      <c r="I147" s="46"/>
      <c r="J147" s="49"/>
      <c r="L147"/>
    </row>
    <row r="148" spans="2:13" ht="18" customHeight="1" thickBot="1">
      <c r="B148" s="154" t="s">
        <v>30</v>
      </c>
      <c r="C148" s="154" t="s">
        <v>30</v>
      </c>
      <c r="D148" s="154" t="s">
        <v>30</v>
      </c>
      <c r="E148" s="154" t="s">
        <v>30</v>
      </c>
      <c r="F148" s="146" t="s">
        <v>30</v>
      </c>
      <c r="G148" s="155">
        <v>19859</v>
      </c>
      <c r="H148" s="156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16607</v>
      </c>
      <c r="H154" s="136">
        <v>16607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14414</v>
      </c>
      <c r="H155" s="140">
        <v>14414</v>
      </c>
      <c r="I155" s="52"/>
      <c r="J155" s="49"/>
      <c r="K155" s="48"/>
      <c r="L155"/>
      <c r="M155"/>
    </row>
    <row r="156" spans="2:13" ht="17.25" customHeight="1">
      <c r="B156" s="137" t="s">
        <v>27</v>
      </c>
      <c r="C156" s="137" t="s">
        <v>27</v>
      </c>
      <c r="D156" s="137" t="s">
        <v>27</v>
      </c>
      <c r="E156" s="137" t="s">
        <v>27</v>
      </c>
      <c r="F156" s="138" t="s">
        <v>27</v>
      </c>
      <c r="G156" s="139">
        <v>13570</v>
      </c>
      <c r="H156" s="140">
        <v>13570</v>
      </c>
      <c r="I156" s="52"/>
      <c r="J156" s="49"/>
      <c r="K156" s="48"/>
      <c r="L156"/>
      <c r="M156"/>
    </row>
    <row r="157" spans="2:13" ht="17.25">
      <c r="B157" s="137" t="s">
        <v>37</v>
      </c>
      <c r="C157" s="137" t="s">
        <v>37</v>
      </c>
      <c r="D157" s="137" t="s">
        <v>37</v>
      </c>
      <c r="E157" s="137" t="s">
        <v>37</v>
      </c>
      <c r="F157" s="138" t="s">
        <v>37</v>
      </c>
      <c r="G157" s="139">
        <v>12371</v>
      </c>
      <c r="H157" s="140">
        <v>12371</v>
      </c>
      <c r="I157" s="52"/>
      <c r="J157" s="49"/>
      <c r="K157" s="48"/>
      <c r="L157"/>
      <c r="M157"/>
    </row>
    <row r="158" spans="2:13" ht="17.25" customHeight="1">
      <c r="B158" s="137" t="s">
        <v>38</v>
      </c>
      <c r="C158" s="137" t="s">
        <v>38</v>
      </c>
      <c r="D158" s="137" t="s">
        <v>38</v>
      </c>
      <c r="E158" s="137" t="s">
        <v>38</v>
      </c>
      <c r="F158" s="138" t="s">
        <v>38</v>
      </c>
      <c r="G158" s="139">
        <v>11981</v>
      </c>
      <c r="H158" s="140">
        <v>11981</v>
      </c>
      <c r="I158" s="52"/>
      <c r="J158" s="49"/>
      <c r="K158" s="48"/>
      <c r="L158"/>
      <c r="M158"/>
    </row>
    <row r="159" spans="2:13" ht="17.25" customHeight="1">
      <c r="B159" s="137" t="s">
        <v>50</v>
      </c>
      <c r="C159" s="137" t="s">
        <v>50</v>
      </c>
      <c r="D159" s="137" t="s">
        <v>50</v>
      </c>
      <c r="E159" s="137" t="s">
        <v>50</v>
      </c>
      <c r="F159" s="138" t="s">
        <v>50</v>
      </c>
      <c r="G159" s="139">
        <v>4527</v>
      </c>
      <c r="H159" s="140">
        <v>4527</v>
      </c>
      <c r="I159" s="53"/>
      <c r="J159" s="49"/>
      <c r="K159" s="48"/>
      <c r="L159"/>
      <c r="M159"/>
    </row>
    <row r="160" spans="2:13" ht="17.25" customHeight="1">
      <c r="B160" s="137" t="s">
        <v>40</v>
      </c>
      <c r="C160" s="137" t="s">
        <v>40</v>
      </c>
      <c r="D160" s="137" t="s">
        <v>40</v>
      </c>
      <c r="E160" s="137" t="s">
        <v>40</v>
      </c>
      <c r="F160" s="138" t="s">
        <v>40</v>
      </c>
      <c r="G160" s="139">
        <v>4252</v>
      </c>
      <c r="H160" s="140">
        <v>4252</v>
      </c>
      <c r="I160" s="52"/>
      <c r="J160" s="49"/>
      <c r="K160" s="48"/>
      <c r="L160"/>
      <c r="M160"/>
    </row>
    <row r="161" spans="2:13" ht="17.25" customHeight="1">
      <c r="B161" s="137" t="s">
        <v>29</v>
      </c>
      <c r="C161" s="137" t="s">
        <v>29</v>
      </c>
      <c r="D161" s="137" t="s">
        <v>29</v>
      </c>
      <c r="E161" s="137" t="s">
        <v>29</v>
      </c>
      <c r="F161" s="138" t="s">
        <v>29</v>
      </c>
      <c r="G161" s="139">
        <v>2794</v>
      </c>
      <c r="H161" s="140">
        <v>2794</v>
      </c>
      <c r="I161" s="52"/>
      <c r="J161" s="49"/>
      <c r="K161" s="48"/>
      <c r="L161"/>
      <c r="M161"/>
    </row>
    <row r="162" spans="2:13" ht="17.25" customHeight="1">
      <c r="B162" s="137" t="s">
        <v>42</v>
      </c>
      <c r="C162" s="137" t="s">
        <v>42</v>
      </c>
      <c r="D162" s="137" t="s">
        <v>42</v>
      </c>
      <c r="E162" s="137" t="s">
        <v>42</v>
      </c>
      <c r="F162" s="138" t="s">
        <v>42</v>
      </c>
      <c r="G162" s="139">
        <v>2602</v>
      </c>
      <c r="H162" s="140">
        <v>2602</v>
      </c>
      <c r="I162" s="52"/>
      <c r="J162" s="49"/>
      <c r="K162" s="48"/>
      <c r="L162"/>
      <c r="M162"/>
    </row>
    <row r="163" spans="2:13" ht="18" customHeight="1" thickBot="1">
      <c r="B163" s="154" t="s">
        <v>41</v>
      </c>
      <c r="C163" s="154" t="s">
        <v>41</v>
      </c>
      <c r="D163" s="154" t="s">
        <v>41</v>
      </c>
      <c r="E163" s="154" t="s">
        <v>41</v>
      </c>
      <c r="F163" s="146" t="s">
        <v>41</v>
      </c>
      <c r="G163" s="155">
        <v>2556</v>
      </c>
      <c r="H163" s="156">
        <v>2556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37</v>
      </c>
      <c r="C169" s="133" t="s">
        <v>37</v>
      </c>
      <c r="D169" s="133" t="s">
        <v>37</v>
      </c>
      <c r="E169" s="133" t="s">
        <v>37</v>
      </c>
      <c r="F169" s="134" t="s">
        <v>37</v>
      </c>
      <c r="G169" s="135">
        <v>2477493010608.5898</v>
      </c>
      <c r="H169" s="136">
        <v>2477493010608.5898</v>
      </c>
      <c r="I169" s="54"/>
      <c r="J169" s="55"/>
    </row>
    <row r="170" spans="2:13" ht="17.25" customHeight="1">
      <c r="B170" s="137" t="s">
        <v>28</v>
      </c>
      <c r="C170" s="137" t="s">
        <v>28</v>
      </c>
      <c r="D170" s="137" t="s">
        <v>28</v>
      </c>
      <c r="E170" s="137" t="s">
        <v>28</v>
      </c>
      <c r="F170" s="138" t="s">
        <v>28</v>
      </c>
      <c r="G170" s="139">
        <v>2061253075202.8301</v>
      </c>
      <c r="H170" s="140">
        <v>2061253075202.8301</v>
      </c>
      <c r="I170" s="54"/>
      <c r="J170" s="55"/>
    </row>
    <row r="171" spans="2:13" ht="17.25" customHeight="1">
      <c r="B171" s="137" t="s">
        <v>48</v>
      </c>
      <c r="C171" s="137" t="s">
        <v>48</v>
      </c>
      <c r="D171" s="137" t="s">
        <v>48</v>
      </c>
      <c r="E171" s="137" t="s">
        <v>48</v>
      </c>
      <c r="F171" s="138" t="s">
        <v>48</v>
      </c>
      <c r="G171" s="139">
        <v>1582278128463.97</v>
      </c>
      <c r="H171" s="140">
        <v>1582278128463.97</v>
      </c>
      <c r="I171" s="54"/>
      <c r="J171" s="55"/>
    </row>
    <row r="172" spans="2:13" ht="17.25" customHeight="1">
      <c r="B172" s="137" t="s">
        <v>36</v>
      </c>
      <c r="C172" s="137" t="s">
        <v>36</v>
      </c>
      <c r="D172" s="137" t="s">
        <v>36</v>
      </c>
      <c r="E172" s="137" t="s">
        <v>36</v>
      </c>
      <c r="F172" s="138" t="s">
        <v>36</v>
      </c>
      <c r="G172" s="139">
        <v>1163889392532.49</v>
      </c>
      <c r="H172" s="140">
        <v>1163889392532.49</v>
      </c>
      <c r="I172" s="54"/>
      <c r="J172" s="55"/>
    </row>
    <row r="173" spans="2:13" ht="17.25" customHeight="1">
      <c r="B173" s="137" t="s">
        <v>42</v>
      </c>
      <c r="C173" s="137" t="s">
        <v>42</v>
      </c>
      <c r="D173" s="137" t="s">
        <v>42</v>
      </c>
      <c r="E173" s="137" t="s">
        <v>42</v>
      </c>
      <c r="F173" s="138" t="s">
        <v>42</v>
      </c>
      <c r="G173" s="139">
        <v>639679458644.18005</v>
      </c>
      <c r="H173" s="140">
        <v>639679458644.18005</v>
      </c>
      <c r="I173" s="56"/>
      <c r="J173" s="49"/>
    </row>
    <row r="174" spans="2:13" ht="17.25" customHeight="1">
      <c r="B174" s="137" t="s">
        <v>52</v>
      </c>
      <c r="C174" s="137" t="s">
        <v>52</v>
      </c>
      <c r="D174" s="137" t="s">
        <v>52</v>
      </c>
      <c r="E174" s="137" t="s">
        <v>52</v>
      </c>
      <c r="F174" s="138" t="s">
        <v>52</v>
      </c>
      <c r="G174" s="139">
        <v>596068986075.73999</v>
      </c>
      <c r="H174" s="140">
        <v>596068986075.73999</v>
      </c>
      <c r="I174" s="54"/>
      <c r="J174" s="55"/>
    </row>
    <row r="175" spans="2:13" ht="17.25" customHeight="1">
      <c r="B175" s="137" t="s">
        <v>39</v>
      </c>
      <c r="C175" s="137" t="s">
        <v>39</v>
      </c>
      <c r="D175" s="137" t="s">
        <v>39</v>
      </c>
      <c r="E175" s="137" t="s">
        <v>39</v>
      </c>
      <c r="F175" s="138" t="s">
        <v>39</v>
      </c>
      <c r="G175" s="139">
        <v>550496812388.51001</v>
      </c>
      <c r="H175" s="140">
        <v>550496812388.51001</v>
      </c>
      <c r="I175" s="54"/>
      <c r="J175" s="55"/>
    </row>
    <row r="176" spans="2:13" ht="17.25" customHeight="1">
      <c r="B176" s="137" t="s">
        <v>49</v>
      </c>
      <c r="C176" s="137" t="s">
        <v>49</v>
      </c>
      <c r="D176" s="137" t="s">
        <v>49</v>
      </c>
      <c r="E176" s="137" t="s">
        <v>49</v>
      </c>
      <c r="F176" s="138" t="s">
        <v>49</v>
      </c>
      <c r="G176" s="139">
        <v>546943674780.71002</v>
      </c>
      <c r="H176" s="140">
        <v>546943674780.71002</v>
      </c>
      <c r="I176" s="54"/>
      <c r="J176" s="55"/>
    </row>
    <row r="177" spans="2:10" ht="17.25" customHeight="1">
      <c r="B177" s="137" t="s">
        <v>44</v>
      </c>
      <c r="C177" s="137" t="s">
        <v>44</v>
      </c>
      <c r="D177" s="137" t="s">
        <v>44</v>
      </c>
      <c r="E177" s="137" t="s">
        <v>44</v>
      </c>
      <c r="F177" s="138" t="s">
        <v>44</v>
      </c>
      <c r="G177" s="139">
        <v>536731724836.78998</v>
      </c>
      <c r="H177" s="140">
        <v>536731724836.78998</v>
      </c>
      <c r="I177" s="54"/>
      <c r="J177" s="55"/>
    </row>
    <row r="178" spans="2:10" ht="18" customHeight="1" thickBot="1">
      <c r="B178" s="154" t="s">
        <v>27</v>
      </c>
      <c r="C178" s="154" t="s">
        <v>27</v>
      </c>
      <c r="D178" s="154" t="s">
        <v>27</v>
      </c>
      <c r="E178" s="154" t="s">
        <v>27</v>
      </c>
      <c r="F178" s="146" t="s">
        <v>27</v>
      </c>
      <c r="G178" s="155">
        <v>489801470065.64001</v>
      </c>
      <c r="H178" s="156">
        <v>489801470065.64001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2817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2817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1">
    <pageSetUpPr fitToPage="1"/>
  </sheetPr>
  <dimension ref="B2:N180"/>
  <sheetViews>
    <sheetView topLeftCell="A10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42855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42855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42824</v>
      </c>
      <c r="F11" s="67">
        <f>B3</f>
        <v>42855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1692079</v>
      </c>
      <c r="F12" s="78">
        <v>1594345</v>
      </c>
      <c r="G12" s="11">
        <f>F12-E12</f>
        <v>-97734</v>
      </c>
      <c r="H12" s="58">
        <f t="shared" ref="H12:H18" si="0">F12/E12-1</f>
        <v>-5.7759714528695216E-2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30318</v>
      </c>
      <c r="F13" s="78">
        <v>30280</v>
      </c>
      <c r="G13" s="11">
        <f t="shared" ref="G13:G18" si="1">F13-E13</f>
        <v>-38</v>
      </c>
      <c r="H13" s="58">
        <f t="shared" si="0"/>
        <v>-1.2533808298700322E-3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14943</v>
      </c>
      <c r="F14" s="78">
        <v>14340</v>
      </c>
      <c r="G14" s="11">
        <f t="shared" si="1"/>
        <v>-603</v>
      </c>
      <c r="H14" s="58">
        <f t="shared" si="0"/>
        <v>-4.0353342702268646E-2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7393</v>
      </c>
      <c r="F15" s="78">
        <v>6862</v>
      </c>
      <c r="G15" s="11">
        <f t="shared" si="1"/>
        <v>-531</v>
      </c>
      <c r="H15" s="58">
        <f t="shared" si="0"/>
        <v>-7.1824699039632067E-2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7550</v>
      </c>
      <c r="F16" s="78">
        <v>7478</v>
      </c>
      <c r="G16" s="11">
        <f t="shared" si="1"/>
        <v>-72</v>
      </c>
      <c r="H16" s="58">
        <f t="shared" si="0"/>
        <v>-9.5364238410595714E-3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35406</v>
      </c>
      <c r="F17" s="78">
        <v>28749</v>
      </c>
      <c r="G17" s="11">
        <f t="shared" si="1"/>
        <v>-6657</v>
      </c>
      <c r="H17" s="58">
        <f t="shared" si="0"/>
        <v>-0.18801897983392646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1772746</v>
      </c>
      <c r="F18" s="66">
        <v>1667714</v>
      </c>
      <c r="G18" s="66">
        <f t="shared" si="1"/>
        <v>-105032</v>
      </c>
      <c r="H18" s="63">
        <f t="shared" si="0"/>
        <v>-5.9248194608815918E-2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42824</v>
      </c>
      <c r="F22" s="67">
        <f>F11</f>
        <v>42855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1143968</v>
      </c>
      <c r="F23" s="78">
        <v>1156796</v>
      </c>
      <c r="G23" s="11">
        <f>F23-E23</f>
        <v>12828</v>
      </c>
      <c r="H23" s="58">
        <f>F23/E23-1</f>
        <v>1.1213600380430178E-2</v>
      </c>
      <c r="I23" s="80"/>
    </row>
    <row r="24" spans="2:10" s="70" customFormat="1" ht="17.25">
      <c r="B24" s="114" t="s">
        <v>1</v>
      </c>
      <c r="C24" s="114"/>
      <c r="D24" s="115"/>
      <c r="E24" s="78">
        <v>18496</v>
      </c>
      <c r="F24" s="78">
        <v>18504</v>
      </c>
      <c r="G24" s="11">
        <f t="shared" ref="G24:G29" si="2">F24-E24</f>
        <v>8</v>
      </c>
      <c r="H24" s="58">
        <f t="shared" ref="H24:H29" si="3">F24/E24-1</f>
        <v>4.3252595155718332E-4</v>
      </c>
      <c r="I24" s="80"/>
    </row>
    <row r="25" spans="2:10" s="70" customFormat="1" ht="17.25">
      <c r="B25" s="114" t="s">
        <v>45</v>
      </c>
      <c r="C25" s="114"/>
      <c r="D25" s="115"/>
      <c r="E25" s="78">
        <v>9908</v>
      </c>
      <c r="F25" s="78">
        <v>9540</v>
      </c>
      <c r="G25" s="11">
        <f t="shared" si="2"/>
        <v>-368</v>
      </c>
      <c r="H25" s="58">
        <f t="shared" si="3"/>
        <v>-3.7141703673798987E-2</v>
      </c>
      <c r="I25" s="80"/>
    </row>
    <row r="26" spans="2:10" s="70" customFormat="1" ht="17.25">
      <c r="B26" s="116" t="s">
        <v>46</v>
      </c>
      <c r="C26" s="116"/>
      <c r="D26" s="117"/>
      <c r="E26" s="78">
        <v>6602</v>
      </c>
      <c r="F26" s="78">
        <v>6261</v>
      </c>
      <c r="G26" s="11">
        <f t="shared" si="2"/>
        <v>-341</v>
      </c>
      <c r="H26" s="58">
        <f t="shared" si="3"/>
        <v>-5.1651014843986709E-2</v>
      </c>
      <c r="I26" s="80"/>
    </row>
    <row r="27" spans="2:10" s="70" customFormat="1" ht="17.25">
      <c r="B27" s="118" t="s">
        <v>47</v>
      </c>
      <c r="C27" s="118"/>
      <c r="D27" s="119"/>
      <c r="E27" s="78">
        <v>3306</v>
      </c>
      <c r="F27" s="78">
        <v>3279</v>
      </c>
      <c r="G27" s="11">
        <f t="shared" si="2"/>
        <v>-27</v>
      </c>
      <c r="H27" s="58">
        <f t="shared" si="3"/>
        <v>-8.1669691470054318E-3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14098</v>
      </c>
      <c r="F28" s="78">
        <v>14622</v>
      </c>
      <c r="G28" s="11">
        <f t="shared" si="2"/>
        <v>524</v>
      </c>
      <c r="H28" s="58">
        <f t="shared" si="3"/>
        <v>3.7168392679812756E-2</v>
      </c>
      <c r="I28" s="80"/>
    </row>
    <row r="29" spans="2:10" s="64" customFormat="1" ht="18" thickBot="1">
      <c r="B29" s="59" t="s">
        <v>3</v>
      </c>
      <c r="C29" s="59"/>
      <c r="D29" s="60"/>
      <c r="E29" s="66">
        <v>1186470</v>
      </c>
      <c r="F29" s="66">
        <v>1199462</v>
      </c>
      <c r="G29" s="66">
        <f t="shared" si="2"/>
        <v>12992</v>
      </c>
      <c r="H29" s="63">
        <f t="shared" si="3"/>
        <v>1.0950129375373985E-2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42824</v>
      </c>
      <c r="F33" s="67">
        <f>F11</f>
        <v>42855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89139</v>
      </c>
      <c r="F34" s="72">
        <v>88993</v>
      </c>
      <c r="G34" s="11">
        <f t="shared" ref="G34:G40" si="4">F34-E34</f>
        <v>-146</v>
      </c>
      <c r="H34" s="58">
        <f t="shared" ref="H34:H40" si="5">F34/E34-1</f>
        <v>-1.6378913831207598E-3</v>
      </c>
      <c r="I34" s="57"/>
    </row>
    <row r="35" spans="2:9" ht="17.25">
      <c r="B35" s="114" t="s">
        <v>1</v>
      </c>
      <c r="C35" s="114"/>
      <c r="D35" s="115"/>
      <c r="E35" s="72">
        <v>1054</v>
      </c>
      <c r="F35" s="72">
        <v>1028</v>
      </c>
      <c r="G35" s="11">
        <f t="shared" si="4"/>
        <v>-26</v>
      </c>
      <c r="H35" s="58">
        <f t="shared" si="5"/>
        <v>-2.4667931688804545E-2</v>
      </c>
      <c r="I35" s="57"/>
    </row>
    <row r="36" spans="2:9" ht="17.25">
      <c r="B36" s="114" t="s">
        <v>45</v>
      </c>
      <c r="C36" s="114"/>
      <c r="D36" s="115"/>
      <c r="E36" s="72">
        <v>751</v>
      </c>
      <c r="F36" s="72">
        <v>724</v>
      </c>
      <c r="G36" s="11">
        <f t="shared" si="4"/>
        <v>-27</v>
      </c>
      <c r="H36" s="58">
        <f t="shared" si="5"/>
        <v>-3.5952063914780341E-2</v>
      </c>
      <c r="I36" s="57"/>
    </row>
    <row r="37" spans="2:9" ht="17.25">
      <c r="B37" s="116" t="s">
        <v>46</v>
      </c>
      <c r="C37" s="116"/>
      <c r="D37" s="117"/>
      <c r="E37" s="72">
        <v>467</v>
      </c>
      <c r="F37" s="72">
        <v>443</v>
      </c>
      <c r="G37" s="11">
        <f t="shared" si="4"/>
        <v>-24</v>
      </c>
      <c r="H37" s="58">
        <f t="shared" si="5"/>
        <v>-5.1391862955032175E-2</v>
      </c>
      <c r="I37" s="57"/>
    </row>
    <row r="38" spans="2:9" ht="17.25">
      <c r="B38" s="118" t="s">
        <v>47</v>
      </c>
      <c r="C38" s="118"/>
      <c r="D38" s="119"/>
      <c r="E38" s="72">
        <v>284</v>
      </c>
      <c r="F38" s="72">
        <v>281</v>
      </c>
      <c r="G38" s="11">
        <f t="shared" si="4"/>
        <v>-3</v>
      </c>
      <c r="H38" s="58">
        <f t="shared" si="5"/>
        <v>-1.0563380281690127E-2</v>
      </c>
      <c r="I38" s="57"/>
    </row>
    <row r="39" spans="2:9" ht="18" customHeight="1" thickBot="1">
      <c r="B39" s="120" t="s">
        <v>2</v>
      </c>
      <c r="C39" s="120"/>
      <c r="D39" s="121"/>
      <c r="E39" s="72">
        <v>4968</v>
      </c>
      <c r="F39" s="72">
        <v>4206</v>
      </c>
      <c r="G39" s="11">
        <f t="shared" si="4"/>
        <v>-762</v>
      </c>
      <c r="H39" s="58">
        <f t="shared" si="5"/>
        <v>-0.15338164251207731</v>
      </c>
      <c r="I39" s="57"/>
    </row>
    <row r="40" spans="2:9" s="64" customFormat="1" ht="18" thickBot="1">
      <c r="B40" s="59" t="s">
        <v>3</v>
      </c>
      <c r="C40" s="59"/>
      <c r="D40" s="60"/>
      <c r="E40" s="66">
        <v>95912</v>
      </c>
      <c r="F40" s="66">
        <v>94951</v>
      </c>
      <c r="G40" s="66">
        <f t="shared" si="4"/>
        <v>-961</v>
      </c>
      <c r="H40" s="63">
        <f t="shared" si="5"/>
        <v>-1.0019601301192727E-2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91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42702</v>
      </c>
      <c r="D83" s="67">
        <f>EDATE(E83,-1)</f>
        <v>42732</v>
      </c>
      <c r="E83" s="67">
        <f>EDATE(F83,-1)</f>
        <v>42763</v>
      </c>
      <c r="F83" s="67">
        <f>EDATE(G83,-1)</f>
        <v>42794</v>
      </c>
      <c r="G83" s="67">
        <f>EDATE(H83,-1)</f>
        <v>42824</v>
      </c>
      <c r="H83" s="67">
        <f>EDATE(E11,1)</f>
        <v>42855</v>
      </c>
      <c r="I83"/>
      <c r="J83"/>
    </row>
    <row r="84" spans="2:11" ht="16.5" customHeight="1">
      <c r="B84" s="24" t="s">
        <v>0</v>
      </c>
      <c r="C84" s="74">
        <v>1080706</v>
      </c>
      <c r="D84" s="74">
        <v>1102966</v>
      </c>
      <c r="E84" s="74">
        <v>1122053</v>
      </c>
      <c r="F84" s="74">
        <v>1125369</v>
      </c>
      <c r="G84" s="74">
        <v>1143968</v>
      </c>
      <c r="H84" s="74">
        <v>1156796</v>
      </c>
    </row>
    <row r="85" spans="2:11" ht="16.5" customHeight="1">
      <c r="B85" s="25" t="s">
        <v>1</v>
      </c>
      <c r="C85" s="75">
        <v>19037</v>
      </c>
      <c r="D85" s="75">
        <v>18622</v>
      </c>
      <c r="E85" s="75">
        <v>18499</v>
      </c>
      <c r="F85" s="75">
        <v>18472</v>
      </c>
      <c r="G85" s="75">
        <v>18496</v>
      </c>
      <c r="H85" s="75">
        <v>18504</v>
      </c>
    </row>
    <row r="86" spans="2:11" ht="16.5" customHeight="1">
      <c r="B86" s="26" t="s">
        <v>45</v>
      </c>
      <c r="C86" s="77">
        <v>9070</v>
      </c>
      <c r="D86" s="77">
        <v>9215</v>
      </c>
      <c r="E86" s="77">
        <v>9371</v>
      </c>
      <c r="F86" s="77">
        <v>9319</v>
      </c>
      <c r="G86" s="77">
        <v>9908</v>
      </c>
      <c r="H86" s="77">
        <v>9540</v>
      </c>
    </row>
    <row r="87" spans="2:11" ht="16.5" customHeight="1" thickBot="1">
      <c r="B87" s="27" t="s">
        <v>2</v>
      </c>
      <c r="C87" s="73">
        <v>10116</v>
      </c>
      <c r="D87" s="73">
        <v>10694</v>
      </c>
      <c r="E87" s="73">
        <v>10991</v>
      </c>
      <c r="F87" s="73">
        <v>13509</v>
      </c>
      <c r="G87" s="73">
        <v>14098</v>
      </c>
      <c r="H87" s="73">
        <v>14622</v>
      </c>
    </row>
    <row r="88" spans="2:11" s="65" customFormat="1" ht="18" thickBot="1">
      <c r="B88" s="90" t="s">
        <v>3</v>
      </c>
      <c r="C88" s="76">
        <v>1118929</v>
      </c>
      <c r="D88" s="76">
        <v>1141497</v>
      </c>
      <c r="E88" s="76">
        <v>1160914</v>
      </c>
      <c r="F88" s="76">
        <v>1166669</v>
      </c>
      <c r="G88" s="76">
        <v>1186470</v>
      </c>
      <c r="H88" s="76">
        <v>1199462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42855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330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42855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257569</v>
      </c>
      <c r="H139" s="136">
        <v>257569</v>
      </c>
      <c r="I139" s="46"/>
      <c r="J139" s="49"/>
    </row>
    <row r="140" spans="2:10" ht="13.5" customHeight="1">
      <c r="B140" s="137" t="s">
        <v>27</v>
      </c>
      <c r="C140" s="137" t="s">
        <v>27</v>
      </c>
      <c r="D140" s="137" t="s">
        <v>27</v>
      </c>
      <c r="E140" s="137" t="s">
        <v>27</v>
      </c>
      <c r="F140" s="138" t="s">
        <v>27</v>
      </c>
      <c r="G140" s="139">
        <v>207913</v>
      </c>
      <c r="H140" s="140">
        <v>207913</v>
      </c>
      <c r="I140" s="46"/>
      <c r="J140" s="49"/>
    </row>
    <row r="141" spans="2:10" ht="17.25" customHeight="1">
      <c r="B141" s="137" t="s">
        <v>28</v>
      </c>
      <c r="C141" s="137" t="s">
        <v>28</v>
      </c>
      <c r="D141" s="137" t="s">
        <v>28</v>
      </c>
      <c r="E141" s="137" t="s">
        <v>28</v>
      </c>
      <c r="F141" s="138" t="s">
        <v>28</v>
      </c>
      <c r="G141" s="139">
        <v>207178</v>
      </c>
      <c r="H141" s="140">
        <v>207178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167040</v>
      </c>
      <c r="H142" s="140">
        <v>167040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102560</v>
      </c>
      <c r="H143" s="140">
        <v>102560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61459</v>
      </c>
      <c r="H144" s="140">
        <v>61459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50654</v>
      </c>
      <c r="H145" s="140">
        <v>50654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33571</v>
      </c>
      <c r="H146" s="140">
        <v>33571</v>
      </c>
      <c r="I146" s="46"/>
      <c r="J146" s="49"/>
    </row>
    <row r="147" spans="2:13" ht="17.25" customHeight="1">
      <c r="B147" s="137" t="s">
        <v>53</v>
      </c>
      <c r="C147" s="137" t="s">
        <v>53</v>
      </c>
      <c r="D147" s="137" t="s">
        <v>53</v>
      </c>
      <c r="E147" s="137" t="s">
        <v>53</v>
      </c>
      <c r="F147" s="138" t="s">
        <v>53</v>
      </c>
      <c r="G147" s="139">
        <v>22227</v>
      </c>
      <c r="H147" s="140">
        <v>22227</v>
      </c>
      <c r="I147" s="46"/>
      <c r="J147" s="49"/>
      <c r="L147"/>
    </row>
    <row r="148" spans="2:13" ht="18" customHeight="1" thickBot="1">
      <c r="B148" s="154" t="s">
        <v>30</v>
      </c>
      <c r="C148" s="154" t="s">
        <v>30</v>
      </c>
      <c r="D148" s="154" t="s">
        <v>30</v>
      </c>
      <c r="E148" s="154" t="s">
        <v>30</v>
      </c>
      <c r="F148" s="146" t="s">
        <v>30</v>
      </c>
      <c r="G148" s="155">
        <v>19859</v>
      </c>
      <c r="H148" s="156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16058</v>
      </c>
      <c r="H154" s="136">
        <v>16058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14158</v>
      </c>
      <c r="H155" s="140">
        <v>14158</v>
      </c>
      <c r="I155" s="52"/>
      <c r="J155" s="49"/>
      <c r="K155" s="48"/>
      <c r="L155"/>
      <c r="M155"/>
    </row>
    <row r="156" spans="2:13" ht="17.25" customHeight="1">
      <c r="B156" s="137" t="s">
        <v>27</v>
      </c>
      <c r="C156" s="137" t="s">
        <v>27</v>
      </c>
      <c r="D156" s="137" t="s">
        <v>27</v>
      </c>
      <c r="E156" s="137" t="s">
        <v>27</v>
      </c>
      <c r="F156" s="138" t="s">
        <v>27</v>
      </c>
      <c r="G156" s="139">
        <v>12830</v>
      </c>
      <c r="H156" s="140">
        <v>12830</v>
      </c>
      <c r="I156" s="52"/>
      <c r="J156" s="49"/>
      <c r="K156" s="48"/>
      <c r="L156"/>
      <c r="M156"/>
    </row>
    <row r="157" spans="2:13" ht="17.25">
      <c r="B157" s="137" t="s">
        <v>38</v>
      </c>
      <c r="C157" s="137" t="s">
        <v>38</v>
      </c>
      <c r="D157" s="137" t="s">
        <v>38</v>
      </c>
      <c r="E157" s="137" t="s">
        <v>38</v>
      </c>
      <c r="F157" s="138" t="s">
        <v>38</v>
      </c>
      <c r="G157" s="139">
        <v>12054</v>
      </c>
      <c r="H157" s="140">
        <v>12054</v>
      </c>
      <c r="I157" s="52"/>
      <c r="J157" s="49"/>
      <c r="K157" s="48"/>
      <c r="L157"/>
      <c r="M157"/>
    </row>
    <row r="158" spans="2:13" ht="17.25" customHeight="1">
      <c r="B158" s="137" t="s">
        <v>37</v>
      </c>
      <c r="C158" s="137" t="s">
        <v>37</v>
      </c>
      <c r="D158" s="137" t="s">
        <v>37</v>
      </c>
      <c r="E158" s="137" t="s">
        <v>37</v>
      </c>
      <c r="F158" s="138" t="s">
        <v>37</v>
      </c>
      <c r="G158" s="139">
        <v>11539</v>
      </c>
      <c r="H158" s="140">
        <v>11539</v>
      </c>
      <c r="I158" s="52"/>
      <c r="J158" s="49"/>
      <c r="K158" s="48"/>
      <c r="L158"/>
      <c r="M158"/>
    </row>
    <row r="159" spans="2:13" ht="17.25" customHeight="1">
      <c r="B159" s="137" t="s">
        <v>40</v>
      </c>
      <c r="C159" s="137" t="s">
        <v>40</v>
      </c>
      <c r="D159" s="137" t="s">
        <v>40</v>
      </c>
      <c r="E159" s="137" t="s">
        <v>40</v>
      </c>
      <c r="F159" s="138" t="s">
        <v>40</v>
      </c>
      <c r="G159" s="139">
        <v>4160</v>
      </c>
      <c r="H159" s="140">
        <v>4160</v>
      </c>
      <c r="I159" s="53"/>
      <c r="J159" s="49"/>
      <c r="K159" s="48"/>
      <c r="L159"/>
      <c r="M159"/>
    </row>
    <row r="160" spans="2:13" ht="17.25" customHeight="1">
      <c r="B160" s="137" t="s">
        <v>50</v>
      </c>
      <c r="C160" s="137" t="s">
        <v>50</v>
      </c>
      <c r="D160" s="137" t="s">
        <v>50</v>
      </c>
      <c r="E160" s="137" t="s">
        <v>50</v>
      </c>
      <c r="F160" s="138" t="s">
        <v>50</v>
      </c>
      <c r="G160" s="139">
        <v>3757</v>
      </c>
      <c r="H160" s="140">
        <v>3757</v>
      </c>
      <c r="I160" s="52"/>
      <c r="J160" s="49"/>
      <c r="K160" s="48"/>
      <c r="L160"/>
      <c r="M160"/>
    </row>
    <row r="161" spans="2:13" ht="17.25" customHeight="1">
      <c r="B161" s="137" t="s">
        <v>29</v>
      </c>
      <c r="C161" s="137" t="s">
        <v>29</v>
      </c>
      <c r="D161" s="137" t="s">
        <v>29</v>
      </c>
      <c r="E161" s="137" t="s">
        <v>29</v>
      </c>
      <c r="F161" s="138" t="s">
        <v>29</v>
      </c>
      <c r="G161" s="139">
        <v>2764</v>
      </c>
      <c r="H161" s="140">
        <v>2764</v>
      </c>
      <c r="I161" s="52"/>
      <c r="J161" s="49"/>
      <c r="K161" s="48"/>
      <c r="L161"/>
      <c r="M161"/>
    </row>
    <row r="162" spans="2:13" ht="17.25" customHeight="1">
      <c r="B162" s="137" t="s">
        <v>42</v>
      </c>
      <c r="C162" s="137" t="s">
        <v>42</v>
      </c>
      <c r="D162" s="137" t="s">
        <v>42</v>
      </c>
      <c r="E162" s="137" t="s">
        <v>42</v>
      </c>
      <c r="F162" s="138" t="s">
        <v>42</v>
      </c>
      <c r="G162" s="139">
        <v>2603</v>
      </c>
      <c r="H162" s="140">
        <v>2603</v>
      </c>
      <c r="I162" s="52"/>
      <c r="J162" s="49"/>
      <c r="K162" s="48"/>
      <c r="L162"/>
      <c r="M162"/>
    </row>
    <row r="163" spans="2:13" ht="18" customHeight="1" thickBot="1">
      <c r="B163" s="154" t="s">
        <v>41</v>
      </c>
      <c r="C163" s="154" t="s">
        <v>41</v>
      </c>
      <c r="D163" s="154" t="s">
        <v>41</v>
      </c>
      <c r="E163" s="154" t="s">
        <v>41</v>
      </c>
      <c r="F163" s="146" t="s">
        <v>41</v>
      </c>
      <c r="G163" s="155">
        <v>2368</v>
      </c>
      <c r="H163" s="156">
        <v>2368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37</v>
      </c>
      <c r="C169" s="133" t="s">
        <v>37</v>
      </c>
      <c r="D169" s="133" t="s">
        <v>37</v>
      </c>
      <c r="E169" s="133" t="s">
        <v>37</v>
      </c>
      <c r="F169" s="134" t="s">
        <v>37</v>
      </c>
      <c r="G169" s="135">
        <v>2439067961465.04</v>
      </c>
      <c r="H169" s="136">
        <v>2439067961465.04</v>
      </c>
      <c r="I169" s="54"/>
      <c r="J169" s="55"/>
    </row>
    <row r="170" spans="2:13" ht="17.25" customHeight="1">
      <c r="B170" s="137" t="s">
        <v>28</v>
      </c>
      <c r="C170" s="137" t="s">
        <v>28</v>
      </c>
      <c r="D170" s="137" t="s">
        <v>28</v>
      </c>
      <c r="E170" s="137" t="s">
        <v>28</v>
      </c>
      <c r="F170" s="138" t="s">
        <v>28</v>
      </c>
      <c r="G170" s="139">
        <v>1716178153314.9399</v>
      </c>
      <c r="H170" s="140">
        <v>1716178153314.9399</v>
      </c>
      <c r="I170" s="54"/>
      <c r="J170" s="55"/>
    </row>
    <row r="171" spans="2:13" ht="17.25" customHeight="1">
      <c r="B171" s="137" t="s">
        <v>48</v>
      </c>
      <c r="C171" s="137" t="s">
        <v>48</v>
      </c>
      <c r="D171" s="137" t="s">
        <v>48</v>
      </c>
      <c r="E171" s="137" t="s">
        <v>48</v>
      </c>
      <c r="F171" s="138" t="s">
        <v>48</v>
      </c>
      <c r="G171" s="139">
        <v>1636761533161.6201</v>
      </c>
      <c r="H171" s="140">
        <v>1636761533161.6201</v>
      </c>
      <c r="I171" s="54"/>
      <c r="J171" s="55"/>
    </row>
    <row r="172" spans="2:13" ht="17.25" customHeight="1">
      <c r="B172" s="137" t="s">
        <v>36</v>
      </c>
      <c r="C172" s="137" t="s">
        <v>36</v>
      </c>
      <c r="D172" s="137" t="s">
        <v>36</v>
      </c>
      <c r="E172" s="137" t="s">
        <v>36</v>
      </c>
      <c r="F172" s="138" t="s">
        <v>36</v>
      </c>
      <c r="G172" s="139">
        <v>1029465140752.5601</v>
      </c>
      <c r="H172" s="140">
        <v>1029465140752.5601</v>
      </c>
      <c r="I172" s="54"/>
      <c r="J172" s="55"/>
    </row>
    <row r="173" spans="2:13" ht="17.25" customHeight="1">
      <c r="B173" s="137" t="s">
        <v>52</v>
      </c>
      <c r="C173" s="137" t="s">
        <v>52</v>
      </c>
      <c r="D173" s="137" t="s">
        <v>52</v>
      </c>
      <c r="E173" s="137" t="s">
        <v>52</v>
      </c>
      <c r="F173" s="138" t="s">
        <v>52</v>
      </c>
      <c r="G173" s="139">
        <v>538457259822.46002</v>
      </c>
      <c r="H173" s="140">
        <v>538457259822.46002</v>
      </c>
      <c r="I173" s="56"/>
      <c r="J173" s="49"/>
    </row>
    <row r="174" spans="2:13" ht="17.25" customHeight="1">
      <c r="B174" s="137" t="s">
        <v>42</v>
      </c>
      <c r="C174" s="137" t="s">
        <v>42</v>
      </c>
      <c r="D174" s="137" t="s">
        <v>42</v>
      </c>
      <c r="E174" s="137" t="s">
        <v>42</v>
      </c>
      <c r="F174" s="138" t="s">
        <v>42</v>
      </c>
      <c r="G174" s="139">
        <v>501575030773.32001</v>
      </c>
      <c r="H174" s="140">
        <v>501575030773.32001</v>
      </c>
      <c r="I174" s="54"/>
      <c r="J174" s="55"/>
    </row>
    <row r="175" spans="2:13" ht="17.25" customHeight="1">
      <c r="B175" s="137" t="s">
        <v>31</v>
      </c>
      <c r="C175" s="137" t="s">
        <v>31</v>
      </c>
      <c r="D175" s="137" t="s">
        <v>31</v>
      </c>
      <c r="E175" s="137" t="s">
        <v>31</v>
      </c>
      <c r="F175" s="138" t="s">
        <v>31</v>
      </c>
      <c r="G175" s="139">
        <v>491949900397.71002</v>
      </c>
      <c r="H175" s="140">
        <v>491949900397.71002</v>
      </c>
      <c r="I175" s="54"/>
      <c r="J175" s="55"/>
    </row>
    <row r="176" spans="2:13" ht="17.25" customHeight="1">
      <c r="B176" s="137" t="s">
        <v>44</v>
      </c>
      <c r="C176" s="137" t="s">
        <v>44</v>
      </c>
      <c r="D176" s="137" t="s">
        <v>44</v>
      </c>
      <c r="E176" s="137" t="s">
        <v>44</v>
      </c>
      <c r="F176" s="138" t="s">
        <v>44</v>
      </c>
      <c r="G176" s="139">
        <v>490573149149.85999</v>
      </c>
      <c r="H176" s="140">
        <v>490573149149.85999</v>
      </c>
      <c r="I176" s="54"/>
      <c r="J176" s="55"/>
    </row>
    <row r="177" spans="2:10" ht="17.25" customHeight="1">
      <c r="B177" s="137" t="s">
        <v>39</v>
      </c>
      <c r="C177" s="137" t="s">
        <v>39</v>
      </c>
      <c r="D177" s="137" t="s">
        <v>39</v>
      </c>
      <c r="E177" s="137" t="s">
        <v>39</v>
      </c>
      <c r="F177" s="138" t="s">
        <v>39</v>
      </c>
      <c r="G177" s="139">
        <v>484018438784.76001</v>
      </c>
      <c r="H177" s="140">
        <v>484018438784.76001</v>
      </c>
      <c r="I177" s="54"/>
      <c r="J177" s="55"/>
    </row>
    <row r="178" spans="2:10" ht="18" customHeight="1" thickBot="1">
      <c r="B178" s="154" t="s">
        <v>27</v>
      </c>
      <c r="C178" s="154" t="s">
        <v>27</v>
      </c>
      <c r="D178" s="154" t="s">
        <v>27</v>
      </c>
      <c r="E178" s="154" t="s">
        <v>27</v>
      </c>
      <c r="F178" s="146" t="s">
        <v>27</v>
      </c>
      <c r="G178" s="155">
        <v>357268126772.13</v>
      </c>
      <c r="H178" s="156">
        <v>357268126772.13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384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3841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2">
    <pageSetUpPr fitToPage="1"/>
  </sheetPr>
  <dimension ref="B2:N180"/>
  <sheetViews>
    <sheetView topLeftCell="A13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42886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42886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42855</v>
      </c>
      <c r="F11" s="67">
        <f>B3</f>
        <v>42886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1594345</v>
      </c>
      <c r="F12" s="78">
        <v>1624903</v>
      </c>
      <c r="G12" s="11">
        <f>F12-E12</f>
        <v>30558</v>
      </c>
      <c r="H12" s="58">
        <f t="shared" ref="H12:H18" si="0">F12/E12-1</f>
        <v>1.9166491568637811E-2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30280</v>
      </c>
      <c r="F13" s="78">
        <v>30158</v>
      </c>
      <c r="G13" s="11">
        <f t="shared" ref="G13:G18" si="1">F13-E13</f>
        <v>-122</v>
      </c>
      <c r="H13" s="58">
        <f t="shared" si="0"/>
        <v>-4.0290620871862304E-3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14340</v>
      </c>
      <c r="F14" s="78">
        <v>14612</v>
      </c>
      <c r="G14" s="11">
        <f t="shared" si="1"/>
        <v>272</v>
      </c>
      <c r="H14" s="58">
        <f t="shared" si="0"/>
        <v>1.8967921896792195E-2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6862</v>
      </c>
      <c r="F15" s="78">
        <v>6928</v>
      </c>
      <c r="G15" s="11">
        <f t="shared" si="1"/>
        <v>66</v>
      </c>
      <c r="H15" s="58">
        <f t="shared" si="0"/>
        <v>9.6181871174585432E-3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7478</v>
      </c>
      <c r="F16" s="78">
        <v>7684</v>
      </c>
      <c r="G16" s="11">
        <f t="shared" si="1"/>
        <v>206</v>
      </c>
      <c r="H16" s="58">
        <f t="shared" si="0"/>
        <v>2.7547472586253008E-2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28749</v>
      </c>
      <c r="F17" s="78">
        <v>29488</v>
      </c>
      <c r="G17" s="11">
        <f t="shared" si="1"/>
        <v>739</v>
      </c>
      <c r="H17" s="58">
        <f t="shared" si="0"/>
        <v>2.5705241921458066E-2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1667714</v>
      </c>
      <c r="F18" s="66">
        <v>1699161</v>
      </c>
      <c r="G18" s="66">
        <f t="shared" si="1"/>
        <v>31447</v>
      </c>
      <c r="H18" s="63">
        <f t="shared" si="0"/>
        <v>1.8856350669239408E-2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42855</v>
      </c>
      <c r="F22" s="67">
        <f>F11</f>
        <v>42886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1156796</v>
      </c>
      <c r="F23" s="78">
        <v>1178131</v>
      </c>
      <c r="G23" s="11">
        <f>F23-E23</f>
        <v>21335</v>
      </c>
      <c r="H23" s="58">
        <f>F23/E23-1</f>
        <v>1.8443182721932017E-2</v>
      </c>
      <c r="I23" s="80"/>
    </row>
    <row r="24" spans="2:10" s="70" customFormat="1" ht="17.25">
      <c r="B24" s="114" t="s">
        <v>1</v>
      </c>
      <c r="C24" s="114"/>
      <c r="D24" s="115"/>
      <c r="E24" s="78">
        <v>18504</v>
      </c>
      <c r="F24" s="78">
        <v>18473</v>
      </c>
      <c r="G24" s="11">
        <f t="shared" ref="G24:G29" si="2">F24-E24</f>
        <v>-31</v>
      </c>
      <c r="H24" s="58">
        <f t="shared" ref="H24:H29" si="3">F24/E24-1</f>
        <v>-1.6753134457414554E-3</v>
      </c>
      <c r="I24" s="80"/>
    </row>
    <row r="25" spans="2:10" s="70" customFormat="1" ht="17.25">
      <c r="B25" s="114" t="s">
        <v>45</v>
      </c>
      <c r="C25" s="114"/>
      <c r="D25" s="115"/>
      <c r="E25" s="78">
        <v>9540</v>
      </c>
      <c r="F25" s="78">
        <v>9591</v>
      </c>
      <c r="G25" s="11">
        <f t="shared" si="2"/>
        <v>51</v>
      </c>
      <c r="H25" s="58">
        <f t="shared" si="3"/>
        <v>5.3459119496854779E-3</v>
      </c>
      <c r="I25" s="80"/>
    </row>
    <row r="26" spans="2:10" s="70" customFormat="1" ht="17.25">
      <c r="B26" s="116" t="s">
        <v>46</v>
      </c>
      <c r="C26" s="116"/>
      <c r="D26" s="117"/>
      <c r="E26" s="78">
        <v>6261</v>
      </c>
      <c r="F26" s="78">
        <v>6324</v>
      </c>
      <c r="G26" s="11">
        <f t="shared" si="2"/>
        <v>63</v>
      </c>
      <c r="H26" s="58">
        <f t="shared" si="3"/>
        <v>1.0062290368950677E-2</v>
      </c>
      <c r="I26" s="80"/>
    </row>
    <row r="27" spans="2:10" s="70" customFormat="1" ht="17.25">
      <c r="B27" s="118" t="s">
        <v>47</v>
      </c>
      <c r="C27" s="118"/>
      <c r="D27" s="119"/>
      <c r="E27" s="78">
        <v>3279</v>
      </c>
      <c r="F27" s="78">
        <v>3267</v>
      </c>
      <c r="G27" s="11">
        <f t="shared" si="2"/>
        <v>-12</v>
      </c>
      <c r="H27" s="58">
        <f t="shared" si="3"/>
        <v>-3.6596523330283404E-3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14622</v>
      </c>
      <c r="F28" s="78">
        <v>15082</v>
      </c>
      <c r="G28" s="11">
        <f t="shared" si="2"/>
        <v>460</v>
      </c>
      <c r="H28" s="58">
        <f t="shared" si="3"/>
        <v>3.1459444672411463E-2</v>
      </c>
      <c r="I28" s="80"/>
    </row>
    <row r="29" spans="2:10" s="64" customFormat="1" ht="18" thickBot="1">
      <c r="B29" s="59" t="s">
        <v>3</v>
      </c>
      <c r="C29" s="59"/>
      <c r="D29" s="60"/>
      <c r="E29" s="66">
        <v>1199462</v>
      </c>
      <c r="F29" s="66">
        <v>1221277</v>
      </c>
      <c r="G29" s="66">
        <f t="shared" si="2"/>
        <v>21815</v>
      </c>
      <c r="H29" s="63">
        <f t="shared" si="3"/>
        <v>1.8187320648757499E-2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42855</v>
      </c>
      <c r="F33" s="67">
        <f>F11</f>
        <v>42886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88993</v>
      </c>
      <c r="F34" s="72">
        <v>94788</v>
      </c>
      <c r="G34" s="11">
        <f t="shared" ref="G34:G40" si="4">F34-E34</f>
        <v>5795</v>
      </c>
      <c r="H34" s="58">
        <f t="shared" ref="H34:H40" si="5">F34/E34-1</f>
        <v>6.5117481150202883E-2</v>
      </c>
      <c r="I34" s="57"/>
    </row>
    <row r="35" spans="2:9" ht="17.25">
      <c r="B35" s="114" t="s">
        <v>1</v>
      </c>
      <c r="C35" s="114"/>
      <c r="D35" s="115"/>
      <c r="E35" s="72">
        <v>1028</v>
      </c>
      <c r="F35" s="72">
        <v>1015</v>
      </c>
      <c r="G35" s="11">
        <f t="shared" si="4"/>
        <v>-13</v>
      </c>
      <c r="H35" s="58">
        <f t="shared" si="5"/>
        <v>-1.2645914396887115E-2</v>
      </c>
      <c r="I35" s="57"/>
    </row>
    <row r="36" spans="2:9" ht="17.25">
      <c r="B36" s="114" t="s">
        <v>45</v>
      </c>
      <c r="C36" s="114"/>
      <c r="D36" s="115"/>
      <c r="E36" s="72">
        <v>724</v>
      </c>
      <c r="F36" s="72">
        <v>704</v>
      </c>
      <c r="G36" s="11">
        <f t="shared" si="4"/>
        <v>-20</v>
      </c>
      <c r="H36" s="58">
        <f t="shared" si="5"/>
        <v>-2.7624309392265234E-2</v>
      </c>
      <c r="I36" s="57"/>
    </row>
    <row r="37" spans="2:9" ht="17.25">
      <c r="B37" s="116" t="s">
        <v>46</v>
      </c>
      <c r="C37" s="116"/>
      <c r="D37" s="117"/>
      <c r="E37" s="72">
        <v>443</v>
      </c>
      <c r="F37" s="72">
        <v>424</v>
      </c>
      <c r="G37" s="11">
        <f t="shared" si="4"/>
        <v>-19</v>
      </c>
      <c r="H37" s="58">
        <f t="shared" si="5"/>
        <v>-4.2889390519187387E-2</v>
      </c>
      <c r="I37" s="57"/>
    </row>
    <row r="38" spans="2:9" ht="17.25">
      <c r="B38" s="118" t="s">
        <v>47</v>
      </c>
      <c r="C38" s="118"/>
      <c r="D38" s="119"/>
      <c r="E38" s="72">
        <v>281</v>
      </c>
      <c r="F38" s="72">
        <v>280</v>
      </c>
      <c r="G38" s="11">
        <f t="shared" si="4"/>
        <v>-1</v>
      </c>
      <c r="H38" s="58">
        <f t="shared" si="5"/>
        <v>-3.558718861209953E-3</v>
      </c>
      <c r="I38" s="57"/>
    </row>
    <row r="39" spans="2:9" ht="18" customHeight="1" thickBot="1">
      <c r="B39" s="120" t="s">
        <v>2</v>
      </c>
      <c r="C39" s="120"/>
      <c r="D39" s="121"/>
      <c r="E39" s="72">
        <v>4206</v>
      </c>
      <c r="F39" s="72">
        <v>3858</v>
      </c>
      <c r="G39" s="11">
        <f t="shared" si="4"/>
        <v>-348</v>
      </c>
      <c r="H39" s="58">
        <f t="shared" si="5"/>
        <v>-8.2738944365192579E-2</v>
      </c>
      <c r="I39" s="57"/>
    </row>
    <row r="40" spans="2:9" s="64" customFormat="1" ht="18" thickBot="1">
      <c r="B40" s="59" t="s">
        <v>3</v>
      </c>
      <c r="C40" s="59"/>
      <c r="D40" s="60"/>
      <c r="E40" s="66">
        <v>94951</v>
      </c>
      <c r="F40" s="66">
        <v>100365</v>
      </c>
      <c r="G40" s="66">
        <f t="shared" si="4"/>
        <v>5414</v>
      </c>
      <c r="H40" s="63">
        <f t="shared" si="5"/>
        <v>5.7018883424081901E-2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92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42732</v>
      </c>
      <c r="D83" s="67">
        <f>EDATE(E83,-1)</f>
        <v>42763</v>
      </c>
      <c r="E83" s="67">
        <f>EDATE(F83,-1)</f>
        <v>42794</v>
      </c>
      <c r="F83" s="67">
        <f>EDATE(G83,-1)</f>
        <v>42824</v>
      </c>
      <c r="G83" s="67">
        <f>EDATE(H83,-1)</f>
        <v>42855</v>
      </c>
      <c r="H83" s="67">
        <f>EDATE(E11,1)</f>
        <v>42885</v>
      </c>
      <c r="I83"/>
      <c r="J83"/>
    </row>
    <row r="84" spans="2:11" ht="16.5" customHeight="1">
      <c r="B84" s="24" t="s">
        <v>0</v>
      </c>
      <c r="C84" s="74">
        <v>1102966</v>
      </c>
      <c r="D84" s="74">
        <v>1122053</v>
      </c>
      <c r="E84" s="74">
        <v>1125369</v>
      </c>
      <c r="F84" s="74">
        <v>1143968</v>
      </c>
      <c r="G84" s="74">
        <v>1156796</v>
      </c>
      <c r="H84" s="74">
        <v>1178131</v>
      </c>
    </row>
    <row r="85" spans="2:11" ht="16.5" customHeight="1">
      <c r="B85" s="25" t="s">
        <v>1</v>
      </c>
      <c r="C85" s="75">
        <v>18622</v>
      </c>
      <c r="D85" s="75">
        <v>18499</v>
      </c>
      <c r="E85" s="75">
        <v>18472</v>
      </c>
      <c r="F85" s="75">
        <v>18496</v>
      </c>
      <c r="G85" s="75">
        <v>18504</v>
      </c>
      <c r="H85" s="75">
        <v>18473</v>
      </c>
    </row>
    <row r="86" spans="2:11" ht="16.5" customHeight="1">
      <c r="B86" s="26" t="s">
        <v>45</v>
      </c>
      <c r="C86" s="77">
        <v>9215</v>
      </c>
      <c r="D86" s="77">
        <v>9371</v>
      </c>
      <c r="E86" s="77">
        <v>9319</v>
      </c>
      <c r="F86" s="77">
        <v>9908</v>
      </c>
      <c r="G86" s="77">
        <v>9540</v>
      </c>
      <c r="H86" s="77">
        <v>9591</v>
      </c>
    </row>
    <row r="87" spans="2:11" ht="16.5" customHeight="1" thickBot="1">
      <c r="B87" s="27" t="s">
        <v>2</v>
      </c>
      <c r="C87" s="73">
        <v>10694</v>
      </c>
      <c r="D87" s="73">
        <v>10991</v>
      </c>
      <c r="E87" s="73">
        <v>13509</v>
      </c>
      <c r="F87" s="73">
        <v>14098</v>
      </c>
      <c r="G87" s="73">
        <v>14622</v>
      </c>
      <c r="H87" s="73">
        <v>15082</v>
      </c>
    </row>
    <row r="88" spans="2:11" s="65" customFormat="1" ht="18" thickBot="1">
      <c r="B88" s="93" t="s">
        <v>3</v>
      </c>
      <c r="C88" s="76">
        <v>1141497</v>
      </c>
      <c r="D88" s="76">
        <v>1160914</v>
      </c>
      <c r="E88" s="76">
        <v>1166669</v>
      </c>
      <c r="F88" s="76">
        <v>1186470</v>
      </c>
      <c r="G88" s="76">
        <v>1199462</v>
      </c>
      <c r="H88" s="76">
        <v>1221277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42886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323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42886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261057</v>
      </c>
      <c r="H139" s="136">
        <v>261057</v>
      </c>
      <c r="I139" s="46"/>
      <c r="J139" s="49"/>
    </row>
    <row r="140" spans="2:10" ht="13.5" customHeight="1">
      <c r="B140" s="137" t="s">
        <v>28</v>
      </c>
      <c r="C140" s="137" t="s">
        <v>28</v>
      </c>
      <c r="D140" s="137" t="s">
        <v>28</v>
      </c>
      <c r="E140" s="137" t="s">
        <v>28</v>
      </c>
      <c r="F140" s="138" t="s">
        <v>28</v>
      </c>
      <c r="G140" s="139">
        <v>215592</v>
      </c>
      <c r="H140" s="140">
        <v>215592</v>
      </c>
      <c r="I140" s="46"/>
      <c r="J140" s="49"/>
    </row>
    <row r="141" spans="2:10" ht="17.25" customHeight="1">
      <c r="B141" s="137" t="s">
        <v>27</v>
      </c>
      <c r="C141" s="137" t="s">
        <v>27</v>
      </c>
      <c r="D141" s="137" t="s">
        <v>27</v>
      </c>
      <c r="E141" s="137" t="s">
        <v>27</v>
      </c>
      <c r="F141" s="138" t="s">
        <v>27</v>
      </c>
      <c r="G141" s="139">
        <v>215439</v>
      </c>
      <c r="H141" s="140">
        <v>215439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168501</v>
      </c>
      <c r="H142" s="140">
        <v>168501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104515</v>
      </c>
      <c r="H143" s="140">
        <v>104515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61251</v>
      </c>
      <c r="H144" s="140">
        <v>61251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50899</v>
      </c>
      <c r="H145" s="140">
        <v>50899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33702</v>
      </c>
      <c r="H146" s="140">
        <v>33702</v>
      </c>
      <c r="I146" s="46"/>
      <c r="J146" s="49"/>
    </row>
    <row r="147" spans="2:13" ht="17.25" customHeight="1">
      <c r="B147" s="137" t="s">
        <v>53</v>
      </c>
      <c r="C147" s="137" t="s">
        <v>53</v>
      </c>
      <c r="D147" s="137" t="s">
        <v>53</v>
      </c>
      <c r="E147" s="137" t="s">
        <v>53</v>
      </c>
      <c r="F147" s="138" t="s">
        <v>53</v>
      </c>
      <c r="G147" s="139">
        <v>22375</v>
      </c>
      <c r="H147" s="140">
        <v>22375</v>
      </c>
      <c r="I147" s="46"/>
      <c r="J147" s="49"/>
      <c r="L147"/>
    </row>
    <row r="148" spans="2:13" ht="18" customHeight="1" thickBot="1">
      <c r="B148" s="154" t="s">
        <v>30</v>
      </c>
      <c r="C148" s="154" t="s">
        <v>30</v>
      </c>
      <c r="D148" s="154" t="s">
        <v>30</v>
      </c>
      <c r="E148" s="154" t="s">
        <v>30</v>
      </c>
      <c r="F148" s="146" t="s">
        <v>30</v>
      </c>
      <c r="G148" s="155">
        <v>19859</v>
      </c>
      <c r="H148" s="156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16488</v>
      </c>
      <c r="H154" s="136">
        <v>16488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14461</v>
      </c>
      <c r="H155" s="140">
        <v>14461</v>
      </c>
      <c r="I155" s="52"/>
      <c r="J155" s="49"/>
      <c r="K155" s="48"/>
      <c r="L155"/>
      <c r="M155"/>
    </row>
    <row r="156" spans="2:13" ht="17.25" customHeight="1">
      <c r="B156" s="137" t="s">
        <v>27</v>
      </c>
      <c r="C156" s="137" t="s">
        <v>27</v>
      </c>
      <c r="D156" s="137" t="s">
        <v>27</v>
      </c>
      <c r="E156" s="137" t="s">
        <v>27</v>
      </c>
      <c r="F156" s="138" t="s">
        <v>27</v>
      </c>
      <c r="G156" s="139">
        <v>12856</v>
      </c>
      <c r="H156" s="140">
        <v>12856</v>
      </c>
      <c r="I156" s="52"/>
      <c r="J156" s="49"/>
      <c r="K156" s="48"/>
      <c r="L156"/>
      <c r="M156"/>
    </row>
    <row r="157" spans="2:13" ht="17.25">
      <c r="B157" s="137" t="s">
        <v>37</v>
      </c>
      <c r="C157" s="137" t="s">
        <v>37</v>
      </c>
      <c r="D157" s="137" t="s">
        <v>37</v>
      </c>
      <c r="E157" s="137" t="s">
        <v>37</v>
      </c>
      <c r="F157" s="138" t="s">
        <v>37</v>
      </c>
      <c r="G157" s="139">
        <v>12102</v>
      </c>
      <c r="H157" s="140">
        <v>12102</v>
      </c>
      <c r="I157" s="52"/>
      <c r="J157" s="49"/>
      <c r="K157" s="48"/>
      <c r="L157"/>
      <c r="M157"/>
    </row>
    <row r="158" spans="2:13" ht="17.25" customHeight="1">
      <c r="B158" s="137" t="s">
        <v>38</v>
      </c>
      <c r="C158" s="137" t="s">
        <v>38</v>
      </c>
      <c r="D158" s="137" t="s">
        <v>38</v>
      </c>
      <c r="E158" s="137" t="s">
        <v>38</v>
      </c>
      <c r="F158" s="138" t="s">
        <v>38</v>
      </c>
      <c r="G158" s="139">
        <v>11131</v>
      </c>
      <c r="H158" s="140">
        <v>11131</v>
      </c>
      <c r="I158" s="52"/>
      <c r="J158" s="49"/>
      <c r="K158" s="48"/>
      <c r="L158"/>
      <c r="M158"/>
    </row>
    <row r="159" spans="2:13" ht="17.25" customHeight="1">
      <c r="B159" s="137" t="s">
        <v>40</v>
      </c>
      <c r="C159" s="137" t="s">
        <v>40</v>
      </c>
      <c r="D159" s="137" t="s">
        <v>40</v>
      </c>
      <c r="E159" s="137" t="s">
        <v>40</v>
      </c>
      <c r="F159" s="138" t="s">
        <v>40</v>
      </c>
      <c r="G159" s="139">
        <v>4181</v>
      </c>
      <c r="H159" s="140">
        <v>4181</v>
      </c>
      <c r="I159" s="53"/>
      <c r="J159" s="49"/>
      <c r="K159" s="48"/>
      <c r="L159"/>
      <c r="M159"/>
    </row>
    <row r="160" spans="2:13" ht="17.25" customHeight="1">
      <c r="B160" s="137" t="s">
        <v>50</v>
      </c>
      <c r="C160" s="137" t="s">
        <v>50</v>
      </c>
      <c r="D160" s="137" t="s">
        <v>50</v>
      </c>
      <c r="E160" s="137" t="s">
        <v>50</v>
      </c>
      <c r="F160" s="138" t="s">
        <v>50</v>
      </c>
      <c r="G160" s="139">
        <v>3455</v>
      </c>
      <c r="H160" s="140">
        <v>3455</v>
      </c>
      <c r="I160" s="52"/>
      <c r="J160" s="49"/>
      <c r="K160" s="48"/>
      <c r="L160"/>
      <c r="M160"/>
    </row>
    <row r="161" spans="2:13" ht="17.25" customHeight="1">
      <c r="B161" s="137" t="s">
        <v>42</v>
      </c>
      <c r="C161" s="137" t="s">
        <v>42</v>
      </c>
      <c r="D161" s="137" t="s">
        <v>42</v>
      </c>
      <c r="E161" s="137" t="s">
        <v>42</v>
      </c>
      <c r="F161" s="138" t="s">
        <v>42</v>
      </c>
      <c r="G161" s="139">
        <v>2690</v>
      </c>
      <c r="H161" s="140">
        <v>2690</v>
      </c>
      <c r="I161" s="52"/>
      <c r="J161" s="49"/>
      <c r="K161" s="48"/>
      <c r="L161"/>
      <c r="M161"/>
    </row>
    <row r="162" spans="2:13" ht="17.25" customHeight="1">
      <c r="B162" s="137" t="s">
        <v>29</v>
      </c>
      <c r="C162" s="137" t="s">
        <v>29</v>
      </c>
      <c r="D162" s="137" t="s">
        <v>29</v>
      </c>
      <c r="E162" s="137" t="s">
        <v>29</v>
      </c>
      <c r="F162" s="138" t="s">
        <v>29</v>
      </c>
      <c r="G162" s="139">
        <v>2626</v>
      </c>
      <c r="H162" s="140">
        <v>2626</v>
      </c>
      <c r="I162" s="52"/>
      <c r="J162" s="49"/>
      <c r="K162" s="48"/>
      <c r="L162"/>
      <c r="M162"/>
    </row>
    <row r="163" spans="2:13" ht="18" customHeight="1" thickBot="1">
      <c r="B163" s="154" t="s">
        <v>41</v>
      </c>
      <c r="C163" s="154" t="s">
        <v>41</v>
      </c>
      <c r="D163" s="154" t="s">
        <v>41</v>
      </c>
      <c r="E163" s="154" t="s">
        <v>41</v>
      </c>
      <c r="F163" s="146" t="s">
        <v>41</v>
      </c>
      <c r="G163" s="155">
        <v>2552</v>
      </c>
      <c r="H163" s="156">
        <v>2552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37</v>
      </c>
      <c r="C169" s="133" t="s">
        <v>37</v>
      </c>
      <c r="D169" s="133" t="s">
        <v>37</v>
      </c>
      <c r="E169" s="133" t="s">
        <v>37</v>
      </c>
      <c r="F169" s="134" t="s">
        <v>37</v>
      </c>
      <c r="G169" s="135">
        <v>2608762430231.0801</v>
      </c>
      <c r="H169" s="136">
        <v>2608762430231.0801</v>
      </c>
      <c r="I169" s="54"/>
      <c r="J169" s="55"/>
    </row>
    <row r="170" spans="2:13" ht="17.25" customHeight="1">
      <c r="B170" s="137" t="s">
        <v>28</v>
      </c>
      <c r="C170" s="137" t="s">
        <v>28</v>
      </c>
      <c r="D170" s="137" t="s">
        <v>28</v>
      </c>
      <c r="E170" s="137" t="s">
        <v>28</v>
      </c>
      <c r="F170" s="138" t="s">
        <v>28</v>
      </c>
      <c r="G170" s="139">
        <v>2000566235618.7</v>
      </c>
      <c r="H170" s="140">
        <v>2000566235618.7</v>
      </c>
      <c r="I170" s="54"/>
      <c r="J170" s="55"/>
    </row>
    <row r="171" spans="2:13" ht="17.25" customHeight="1">
      <c r="B171" s="137" t="s">
        <v>48</v>
      </c>
      <c r="C171" s="137" t="s">
        <v>48</v>
      </c>
      <c r="D171" s="137" t="s">
        <v>48</v>
      </c>
      <c r="E171" s="137" t="s">
        <v>48</v>
      </c>
      <c r="F171" s="138" t="s">
        <v>48</v>
      </c>
      <c r="G171" s="139">
        <v>1434786923099.3301</v>
      </c>
      <c r="H171" s="140">
        <v>1434786923099.3301</v>
      </c>
      <c r="I171" s="54"/>
      <c r="J171" s="55"/>
    </row>
    <row r="172" spans="2:13" ht="17.25" customHeight="1">
      <c r="B172" s="137" t="s">
        <v>36</v>
      </c>
      <c r="C172" s="137" t="s">
        <v>36</v>
      </c>
      <c r="D172" s="137" t="s">
        <v>36</v>
      </c>
      <c r="E172" s="137" t="s">
        <v>36</v>
      </c>
      <c r="F172" s="138" t="s">
        <v>36</v>
      </c>
      <c r="G172" s="139">
        <v>969941795709.40002</v>
      </c>
      <c r="H172" s="140">
        <v>969941795709.40002</v>
      </c>
      <c r="I172" s="54"/>
      <c r="J172" s="55"/>
    </row>
    <row r="173" spans="2:13" ht="17.25" customHeight="1">
      <c r="B173" s="137" t="s">
        <v>42</v>
      </c>
      <c r="C173" s="137" t="s">
        <v>42</v>
      </c>
      <c r="D173" s="137" t="s">
        <v>42</v>
      </c>
      <c r="E173" s="137" t="s">
        <v>42</v>
      </c>
      <c r="F173" s="138" t="s">
        <v>42</v>
      </c>
      <c r="G173" s="139">
        <v>535372516634.52002</v>
      </c>
      <c r="H173" s="140">
        <v>535372516634.52002</v>
      </c>
      <c r="I173" s="56"/>
      <c r="J173" s="49"/>
    </row>
    <row r="174" spans="2:13" ht="17.25" customHeight="1">
      <c r="B174" s="137" t="s">
        <v>44</v>
      </c>
      <c r="C174" s="137" t="s">
        <v>44</v>
      </c>
      <c r="D174" s="137" t="s">
        <v>44</v>
      </c>
      <c r="E174" s="137" t="s">
        <v>44</v>
      </c>
      <c r="F174" s="138" t="s">
        <v>44</v>
      </c>
      <c r="G174" s="139">
        <v>488907356870.44</v>
      </c>
      <c r="H174" s="140">
        <v>488907356870.44</v>
      </c>
      <c r="I174" s="54"/>
      <c r="J174" s="55"/>
    </row>
    <row r="175" spans="2:13" ht="17.25" customHeight="1">
      <c r="B175" s="137" t="s">
        <v>39</v>
      </c>
      <c r="C175" s="137" t="s">
        <v>39</v>
      </c>
      <c r="D175" s="137" t="s">
        <v>39</v>
      </c>
      <c r="E175" s="137" t="s">
        <v>39</v>
      </c>
      <c r="F175" s="138" t="s">
        <v>39</v>
      </c>
      <c r="G175" s="139">
        <v>461987079975.84998</v>
      </c>
      <c r="H175" s="140">
        <v>461987079975.84998</v>
      </c>
      <c r="I175" s="54"/>
      <c r="J175" s="55"/>
    </row>
    <row r="176" spans="2:13" ht="17.25" customHeight="1">
      <c r="B176" s="137" t="s">
        <v>52</v>
      </c>
      <c r="C176" s="137" t="s">
        <v>52</v>
      </c>
      <c r="D176" s="137" t="s">
        <v>52</v>
      </c>
      <c r="E176" s="137" t="s">
        <v>52</v>
      </c>
      <c r="F176" s="138" t="s">
        <v>52</v>
      </c>
      <c r="G176" s="139">
        <v>451196025884.51001</v>
      </c>
      <c r="H176" s="140">
        <v>451196025884.51001</v>
      </c>
      <c r="I176" s="54"/>
      <c r="J176" s="55"/>
    </row>
    <row r="177" spans="2:10" ht="17.25" customHeight="1">
      <c r="B177" s="137" t="s">
        <v>31</v>
      </c>
      <c r="C177" s="137" t="s">
        <v>31</v>
      </c>
      <c r="D177" s="137" t="s">
        <v>31</v>
      </c>
      <c r="E177" s="137" t="s">
        <v>31</v>
      </c>
      <c r="F177" s="138" t="s">
        <v>31</v>
      </c>
      <c r="G177" s="139">
        <v>389851605371.84998</v>
      </c>
      <c r="H177" s="140">
        <v>389851605371.84998</v>
      </c>
      <c r="I177" s="54"/>
      <c r="J177" s="55"/>
    </row>
    <row r="178" spans="2:10" ht="18" customHeight="1" thickBot="1">
      <c r="B178" s="154" t="s">
        <v>27</v>
      </c>
      <c r="C178" s="154" t="s">
        <v>27</v>
      </c>
      <c r="D178" s="154" t="s">
        <v>27</v>
      </c>
      <c r="E178" s="154" t="s">
        <v>27</v>
      </c>
      <c r="F178" s="146" t="s">
        <v>27</v>
      </c>
      <c r="G178" s="155">
        <v>344093712901.42999</v>
      </c>
      <c r="H178" s="156">
        <v>344093712901.42999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486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4865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3">
    <pageSetUpPr fitToPage="1"/>
  </sheetPr>
  <dimension ref="B2:N180"/>
  <sheetViews>
    <sheetView topLeftCell="A10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42916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42916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42885</v>
      </c>
      <c r="F11" s="67">
        <f>B3</f>
        <v>42916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1624903</v>
      </c>
      <c r="F12" s="78">
        <v>1710052</v>
      </c>
      <c r="G12" s="11">
        <f>F12-E12</f>
        <v>85149</v>
      </c>
      <c r="H12" s="58">
        <f t="shared" ref="H12:H18" si="0">F12/E12-1</f>
        <v>5.240251264229312E-2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30158</v>
      </c>
      <c r="F13" s="78">
        <v>31339</v>
      </c>
      <c r="G13" s="11">
        <f t="shared" ref="G13:G18" si="1">F13-E13</f>
        <v>1181</v>
      </c>
      <c r="H13" s="58">
        <f t="shared" si="0"/>
        <v>3.9160421778632548E-2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14612</v>
      </c>
      <c r="F14" s="78">
        <v>14726</v>
      </c>
      <c r="G14" s="11">
        <f t="shared" si="1"/>
        <v>114</v>
      </c>
      <c r="H14" s="58">
        <f t="shared" si="0"/>
        <v>7.8018067341911745E-3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6928</v>
      </c>
      <c r="F15" s="78">
        <v>7237</v>
      </c>
      <c r="G15" s="11">
        <f t="shared" si="1"/>
        <v>309</v>
      </c>
      <c r="H15" s="58">
        <f t="shared" si="0"/>
        <v>4.4601616628175522E-2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7684</v>
      </c>
      <c r="F16" s="78">
        <v>7489</v>
      </c>
      <c r="G16" s="11">
        <f t="shared" si="1"/>
        <v>-195</v>
      </c>
      <c r="H16" s="58">
        <f t="shared" si="0"/>
        <v>-2.5377407600208235E-2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29488</v>
      </c>
      <c r="F17" s="78">
        <v>30609</v>
      </c>
      <c r="G17" s="11">
        <f t="shared" si="1"/>
        <v>1121</v>
      </c>
      <c r="H17" s="58">
        <f t="shared" si="0"/>
        <v>3.801546391752586E-2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1699161</v>
      </c>
      <c r="F18" s="66">
        <v>1786726</v>
      </c>
      <c r="G18" s="66">
        <f t="shared" si="1"/>
        <v>87565</v>
      </c>
      <c r="H18" s="63">
        <f t="shared" si="0"/>
        <v>5.1534257201053979E-2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42885</v>
      </c>
      <c r="F22" s="67">
        <f>F11</f>
        <v>42916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1178131</v>
      </c>
      <c r="F23" s="78">
        <v>1194087</v>
      </c>
      <c r="G23" s="11">
        <f>F23-E23</f>
        <v>15956</v>
      </c>
      <c r="H23" s="58">
        <f>F23/E23-1</f>
        <v>1.3543485401878108E-2</v>
      </c>
      <c r="I23" s="80"/>
    </row>
    <row r="24" spans="2:10" s="70" customFormat="1" ht="17.25">
      <c r="B24" s="114" t="s">
        <v>1</v>
      </c>
      <c r="C24" s="114"/>
      <c r="D24" s="115"/>
      <c r="E24" s="78">
        <v>18473</v>
      </c>
      <c r="F24" s="78">
        <v>18588</v>
      </c>
      <c r="G24" s="11">
        <f t="shared" ref="G24:G29" si="2">F24-E24</f>
        <v>115</v>
      </c>
      <c r="H24" s="58">
        <f t="shared" ref="H24:H29" si="3">F24/E24-1</f>
        <v>6.2253017918043607E-3</v>
      </c>
      <c r="I24" s="80"/>
    </row>
    <row r="25" spans="2:10" s="70" customFormat="1" ht="17.25">
      <c r="B25" s="114" t="s">
        <v>45</v>
      </c>
      <c r="C25" s="114"/>
      <c r="D25" s="115"/>
      <c r="E25" s="78">
        <v>9591</v>
      </c>
      <c r="F25" s="78">
        <v>9805</v>
      </c>
      <c r="G25" s="11">
        <f t="shared" si="2"/>
        <v>214</v>
      </c>
      <c r="H25" s="58">
        <f t="shared" si="3"/>
        <v>2.2312584714836881E-2</v>
      </c>
      <c r="I25" s="80"/>
    </row>
    <row r="26" spans="2:10" s="70" customFormat="1" ht="17.25">
      <c r="B26" s="116" t="s">
        <v>46</v>
      </c>
      <c r="C26" s="116"/>
      <c r="D26" s="117"/>
      <c r="E26" s="78">
        <v>6324</v>
      </c>
      <c r="F26" s="78">
        <v>6516</v>
      </c>
      <c r="G26" s="11">
        <f t="shared" si="2"/>
        <v>192</v>
      </c>
      <c r="H26" s="58">
        <f t="shared" si="3"/>
        <v>3.0360531309297834E-2</v>
      </c>
      <c r="I26" s="80"/>
    </row>
    <row r="27" spans="2:10" s="70" customFormat="1" ht="17.25">
      <c r="B27" s="118" t="s">
        <v>47</v>
      </c>
      <c r="C27" s="118"/>
      <c r="D27" s="119"/>
      <c r="E27" s="78">
        <v>3267</v>
      </c>
      <c r="F27" s="78">
        <v>3289</v>
      </c>
      <c r="G27" s="11">
        <f t="shared" si="2"/>
        <v>22</v>
      </c>
      <c r="H27" s="58">
        <f t="shared" si="3"/>
        <v>6.7340067340067034E-3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15082</v>
      </c>
      <c r="F28" s="78">
        <v>15779</v>
      </c>
      <c r="G28" s="11">
        <f t="shared" si="2"/>
        <v>697</v>
      </c>
      <c r="H28" s="58">
        <f t="shared" si="3"/>
        <v>4.621402996949997E-2</v>
      </c>
      <c r="I28" s="80"/>
    </row>
    <row r="29" spans="2:10" s="64" customFormat="1" ht="18" thickBot="1">
      <c r="B29" s="59" t="s">
        <v>3</v>
      </c>
      <c r="C29" s="59"/>
      <c r="D29" s="60"/>
      <c r="E29" s="66">
        <v>1221277</v>
      </c>
      <c r="F29" s="66">
        <v>1238259</v>
      </c>
      <c r="G29" s="66">
        <f t="shared" si="2"/>
        <v>16982</v>
      </c>
      <c r="H29" s="63">
        <f t="shared" si="3"/>
        <v>1.3905117348480323E-2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42885</v>
      </c>
      <c r="F33" s="67">
        <f>F11</f>
        <v>42916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94788</v>
      </c>
      <c r="F34" s="72">
        <v>89203</v>
      </c>
      <c r="G34" s="11">
        <f t="shared" ref="G34:G40" si="4">F34-E34</f>
        <v>-5585</v>
      </c>
      <c r="H34" s="58">
        <f t="shared" ref="H34:H40" si="5">F34/E34-1</f>
        <v>-5.8920960459129867E-2</v>
      </c>
      <c r="I34" s="57"/>
    </row>
    <row r="35" spans="2:9" ht="17.25">
      <c r="B35" s="114" t="s">
        <v>1</v>
      </c>
      <c r="C35" s="114"/>
      <c r="D35" s="115"/>
      <c r="E35" s="72">
        <v>1015</v>
      </c>
      <c r="F35" s="72">
        <v>1044</v>
      </c>
      <c r="G35" s="11">
        <f t="shared" si="4"/>
        <v>29</v>
      </c>
      <c r="H35" s="58">
        <f t="shared" si="5"/>
        <v>2.857142857142847E-2</v>
      </c>
      <c r="I35" s="57"/>
    </row>
    <row r="36" spans="2:9" ht="17.25">
      <c r="B36" s="114" t="s">
        <v>45</v>
      </c>
      <c r="C36" s="114"/>
      <c r="D36" s="115"/>
      <c r="E36" s="72">
        <v>704</v>
      </c>
      <c r="F36" s="72">
        <v>718</v>
      </c>
      <c r="G36" s="11">
        <f t="shared" si="4"/>
        <v>14</v>
      </c>
      <c r="H36" s="58">
        <f t="shared" si="5"/>
        <v>1.9886363636363535E-2</v>
      </c>
      <c r="I36" s="57"/>
    </row>
    <row r="37" spans="2:9" ht="17.25">
      <c r="B37" s="116" t="s">
        <v>46</v>
      </c>
      <c r="C37" s="116"/>
      <c r="D37" s="117"/>
      <c r="E37" s="72">
        <v>424</v>
      </c>
      <c r="F37" s="72">
        <v>440</v>
      </c>
      <c r="G37" s="11">
        <f t="shared" si="4"/>
        <v>16</v>
      </c>
      <c r="H37" s="58">
        <f t="shared" si="5"/>
        <v>3.7735849056603765E-2</v>
      </c>
      <c r="I37" s="57"/>
    </row>
    <row r="38" spans="2:9" ht="17.25">
      <c r="B38" s="118" t="s">
        <v>47</v>
      </c>
      <c r="C38" s="118"/>
      <c r="D38" s="119"/>
      <c r="E38" s="72">
        <v>280</v>
      </c>
      <c r="F38" s="72">
        <v>278</v>
      </c>
      <c r="G38" s="11">
        <f t="shared" si="4"/>
        <v>-2</v>
      </c>
      <c r="H38" s="58">
        <f t="shared" si="5"/>
        <v>-7.1428571428571175E-3</v>
      </c>
      <c r="I38" s="57"/>
    </row>
    <row r="39" spans="2:9" ht="18" customHeight="1" thickBot="1">
      <c r="B39" s="120" t="s">
        <v>2</v>
      </c>
      <c r="C39" s="120"/>
      <c r="D39" s="121"/>
      <c r="E39" s="72">
        <v>3858</v>
      </c>
      <c r="F39" s="72">
        <v>2854</v>
      </c>
      <c r="G39" s="11">
        <f t="shared" si="4"/>
        <v>-1004</v>
      </c>
      <c r="H39" s="58">
        <f t="shared" si="5"/>
        <v>-0.26023846552617935</v>
      </c>
      <c r="I39" s="57"/>
    </row>
    <row r="40" spans="2:9" s="64" customFormat="1" ht="18" thickBot="1">
      <c r="B40" s="59" t="s">
        <v>3</v>
      </c>
      <c r="C40" s="59"/>
      <c r="D40" s="60"/>
      <c r="E40" s="66">
        <v>100365</v>
      </c>
      <c r="F40" s="66">
        <v>93819</v>
      </c>
      <c r="G40" s="66">
        <f t="shared" si="4"/>
        <v>-6546</v>
      </c>
      <c r="H40" s="63">
        <f t="shared" si="5"/>
        <v>-6.5221939919294591E-2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95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42763</v>
      </c>
      <c r="D83" s="67">
        <f>EDATE(E83,-1)</f>
        <v>42794</v>
      </c>
      <c r="E83" s="67">
        <f>EDATE(F83,-1)</f>
        <v>42824</v>
      </c>
      <c r="F83" s="67">
        <f>EDATE(G83,-1)</f>
        <v>42855</v>
      </c>
      <c r="G83" s="67">
        <f>EDATE(H83,-1)</f>
        <v>42885</v>
      </c>
      <c r="H83" s="67">
        <f>EDATE(E11,1)</f>
        <v>42916</v>
      </c>
      <c r="I83"/>
      <c r="J83"/>
    </row>
    <row r="84" spans="2:11" ht="16.5" customHeight="1">
      <c r="B84" s="24" t="s">
        <v>0</v>
      </c>
      <c r="C84" s="74">
        <v>1122053</v>
      </c>
      <c r="D84" s="74">
        <v>1125369</v>
      </c>
      <c r="E84" s="74">
        <v>1143968</v>
      </c>
      <c r="F84" s="74">
        <v>1156796</v>
      </c>
      <c r="G84" s="74">
        <v>1178131</v>
      </c>
      <c r="H84" s="74">
        <v>1194087</v>
      </c>
    </row>
    <row r="85" spans="2:11" ht="16.5" customHeight="1">
      <c r="B85" s="25" t="s">
        <v>1</v>
      </c>
      <c r="C85" s="75">
        <v>18499</v>
      </c>
      <c r="D85" s="75">
        <v>18472</v>
      </c>
      <c r="E85" s="75">
        <v>18496</v>
      </c>
      <c r="F85" s="75">
        <v>18504</v>
      </c>
      <c r="G85" s="75">
        <v>18473</v>
      </c>
      <c r="H85" s="75">
        <v>18588</v>
      </c>
    </row>
    <row r="86" spans="2:11" ht="16.5" customHeight="1">
      <c r="B86" s="26" t="s">
        <v>45</v>
      </c>
      <c r="C86" s="77">
        <v>9371</v>
      </c>
      <c r="D86" s="77">
        <v>9319</v>
      </c>
      <c r="E86" s="77">
        <v>9908</v>
      </c>
      <c r="F86" s="77">
        <v>9540</v>
      </c>
      <c r="G86" s="77">
        <v>9591</v>
      </c>
      <c r="H86" s="77">
        <v>9805</v>
      </c>
    </row>
    <row r="87" spans="2:11" ht="16.5" customHeight="1" thickBot="1">
      <c r="B87" s="27" t="s">
        <v>2</v>
      </c>
      <c r="C87" s="73">
        <v>10991</v>
      </c>
      <c r="D87" s="73">
        <v>13509</v>
      </c>
      <c r="E87" s="73">
        <v>14098</v>
      </c>
      <c r="F87" s="73">
        <v>14622</v>
      </c>
      <c r="G87" s="73">
        <v>15082</v>
      </c>
      <c r="H87" s="73">
        <v>15779</v>
      </c>
    </row>
    <row r="88" spans="2:11" s="65" customFormat="1" ht="18" thickBot="1">
      <c r="B88" s="94" t="s">
        <v>3</v>
      </c>
      <c r="C88" s="76">
        <v>1160914</v>
      </c>
      <c r="D88" s="76">
        <v>1166669</v>
      </c>
      <c r="E88" s="76">
        <v>1186470</v>
      </c>
      <c r="F88" s="76">
        <v>1199462</v>
      </c>
      <c r="G88" s="76">
        <v>1221277</v>
      </c>
      <c r="H88" s="76">
        <v>1238259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42916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332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42916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262968</v>
      </c>
      <c r="H139" s="136">
        <v>262968</v>
      </c>
      <c r="I139" s="46"/>
      <c r="J139" s="49"/>
    </row>
    <row r="140" spans="2:10" ht="13.5" customHeight="1">
      <c r="B140" s="137" t="s">
        <v>28</v>
      </c>
      <c r="C140" s="137" t="s">
        <v>28</v>
      </c>
      <c r="D140" s="137" t="s">
        <v>28</v>
      </c>
      <c r="E140" s="137" t="s">
        <v>28</v>
      </c>
      <c r="F140" s="138" t="s">
        <v>28</v>
      </c>
      <c r="G140" s="139">
        <v>223811</v>
      </c>
      <c r="H140" s="140">
        <v>223811</v>
      </c>
      <c r="I140" s="46"/>
      <c r="J140" s="49"/>
    </row>
    <row r="141" spans="2:10" ht="17.25" customHeight="1">
      <c r="B141" s="137" t="s">
        <v>27</v>
      </c>
      <c r="C141" s="137" t="s">
        <v>27</v>
      </c>
      <c r="D141" s="137" t="s">
        <v>27</v>
      </c>
      <c r="E141" s="137" t="s">
        <v>27</v>
      </c>
      <c r="F141" s="138" t="s">
        <v>27</v>
      </c>
      <c r="G141" s="139">
        <v>219107</v>
      </c>
      <c r="H141" s="140">
        <v>219107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170034</v>
      </c>
      <c r="H142" s="140">
        <v>170034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106905</v>
      </c>
      <c r="H143" s="140">
        <v>106905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60879</v>
      </c>
      <c r="H144" s="140">
        <v>60879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51112</v>
      </c>
      <c r="H145" s="140">
        <v>51112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33951</v>
      </c>
      <c r="H146" s="140">
        <v>33951</v>
      </c>
      <c r="I146" s="46"/>
      <c r="J146" s="49"/>
    </row>
    <row r="147" spans="2:13" ht="17.25" customHeight="1">
      <c r="B147" s="137" t="s">
        <v>53</v>
      </c>
      <c r="C147" s="137" t="s">
        <v>53</v>
      </c>
      <c r="D147" s="137" t="s">
        <v>53</v>
      </c>
      <c r="E147" s="137" t="s">
        <v>53</v>
      </c>
      <c r="F147" s="138" t="s">
        <v>53</v>
      </c>
      <c r="G147" s="139">
        <v>22470</v>
      </c>
      <c r="H147" s="140">
        <v>22470</v>
      </c>
      <c r="I147" s="46"/>
      <c r="J147" s="49"/>
      <c r="L147"/>
    </row>
    <row r="148" spans="2:13" ht="18" customHeight="1" thickBot="1">
      <c r="B148" s="154" t="s">
        <v>41</v>
      </c>
      <c r="C148" s="154" t="s">
        <v>41</v>
      </c>
      <c r="D148" s="154" t="s">
        <v>41</v>
      </c>
      <c r="E148" s="154" t="s">
        <v>41</v>
      </c>
      <c r="F148" s="146" t="s">
        <v>41</v>
      </c>
      <c r="G148" s="155">
        <v>20143</v>
      </c>
      <c r="H148" s="156">
        <v>20143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16058</v>
      </c>
      <c r="H154" s="136">
        <v>16058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15188</v>
      </c>
      <c r="H155" s="140">
        <v>15188</v>
      </c>
      <c r="I155" s="52"/>
      <c r="J155" s="49"/>
      <c r="K155" s="48"/>
      <c r="L155"/>
      <c r="M155"/>
    </row>
    <row r="156" spans="2:13" ht="17.25" customHeight="1">
      <c r="B156" s="137" t="s">
        <v>37</v>
      </c>
      <c r="C156" s="137" t="s">
        <v>37</v>
      </c>
      <c r="D156" s="137" t="s">
        <v>37</v>
      </c>
      <c r="E156" s="137" t="s">
        <v>37</v>
      </c>
      <c r="F156" s="138" t="s">
        <v>37</v>
      </c>
      <c r="G156" s="139">
        <v>12891</v>
      </c>
      <c r="H156" s="140">
        <v>12891</v>
      </c>
      <c r="I156" s="52"/>
      <c r="J156" s="49"/>
      <c r="K156" s="48"/>
      <c r="L156"/>
      <c r="M156"/>
    </row>
    <row r="157" spans="2:13" ht="17.25">
      <c r="B157" s="137" t="s">
        <v>27</v>
      </c>
      <c r="C157" s="137" t="s">
        <v>27</v>
      </c>
      <c r="D157" s="137" t="s">
        <v>27</v>
      </c>
      <c r="E157" s="137" t="s">
        <v>27</v>
      </c>
      <c r="F157" s="138" t="s">
        <v>27</v>
      </c>
      <c r="G157" s="139">
        <v>12431</v>
      </c>
      <c r="H157" s="140">
        <v>12431</v>
      </c>
      <c r="I157" s="52"/>
      <c r="J157" s="49"/>
      <c r="K157" s="48"/>
      <c r="L157"/>
      <c r="M157"/>
    </row>
    <row r="158" spans="2:13" ht="17.25" customHeight="1">
      <c r="B158" s="137" t="s">
        <v>38</v>
      </c>
      <c r="C158" s="137" t="s">
        <v>38</v>
      </c>
      <c r="D158" s="137" t="s">
        <v>38</v>
      </c>
      <c r="E158" s="137" t="s">
        <v>38</v>
      </c>
      <c r="F158" s="138" t="s">
        <v>38</v>
      </c>
      <c r="G158" s="139">
        <v>10969</v>
      </c>
      <c r="H158" s="140">
        <v>10969</v>
      </c>
      <c r="I158" s="52"/>
      <c r="J158" s="49"/>
      <c r="K158" s="48"/>
      <c r="L158"/>
      <c r="M158"/>
    </row>
    <row r="159" spans="2:13" ht="17.25" customHeight="1">
      <c r="B159" s="137" t="s">
        <v>40</v>
      </c>
      <c r="C159" s="137" t="s">
        <v>40</v>
      </c>
      <c r="D159" s="137" t="s">
        <v>40</v>
      </c>
      <c r="E159" s="137" t="s">
        <v>40</v>
      </c>
      <c r="F159" s="138" t="s">
        <v>40</v>
      </c>
      <c r="G159" s="139">
        <v>4251</v>
      </c>
      <c r="H159" s="140">
        <v>4251</v>
      </c>
      <c r="I159" s="53"/>
      <c r="J159" s="49"/>
      <c r="K159" s="48"/>
      <c r="L159"/>
      <c r="M159"/>
    </row>
    <row r="160" spans="2:13" ht="17.25" customHeight="1">
      <c r="B160" s="137" t="s">
        <v>42</v>
      </c>
      <c r="C160" s="137" t="s">
        <v>42</v>
      </c>
      <c r="D160" s="137" t="s">
        <v>42</v>
      </c>
      <c r="E160" s="137" t="s">
        <v>42</v>
      </c>
      <c r="F160" s="138" t="s">
        <v>42</v>
      </c>
      <c r="G160" s="139">
        <v>2737</v>
      </c>
      <c r="H160" s="140">
        <v>2737</v>
      </c>
      <c r="I160" s="52"/>
      <c r="J160" s="49"/>
      <c r="K160" s="48"/>
      <c r="L160"/>
      <c r="M160"/>
    </row>
    <row r="161" spans="2:13" ht="17.25" customHeight="1">
      <c r="B161" s="137" t="s">
        <v>29</v>
      </c>
      <c r="C161" s="137" t="s">
        <v>29</v>
      </c>
      <c r="D161" s="137" t="s">
        <v>29</v>
      </c>
      <c r="E161" s="137" t="s">
        <v>29</v>
      </c>
      <c r="F161" s="138" t="s">
        <v>29</v>
      </c>
      <c r="G161" s="139">
        <v>2559</v>
      </c>
      <c r="H161" s="140">
        <v>2559</v>
      </c>
      <c r="I161" s="52"/>
      <c r="J161" s="49"/>
      <c r="K161" s="48"/>
      <c r="L161"/>
      <c r="M161"/>
    </row>
    <row r="162" spans="2:13" ht="17.25" customHeight="1">
      <c r="B162" s="137" t="s">
        <v>41</v>
      </c>
      <c r="C162" s="137" t="s">
        <v>41</v>
      </c>
      <c r="D162" s="137" t="s">
        <v>41</v>
      </c>
      <c r="E162" s="137" t="s">
        <v>41</v>
      </c>
      <c r="F162" s="138" t="s">
        <v>41</v>
      </c>
      <c r="G162" s="139">
        <v>2501</v>
      </c>
      <c r="H162" s="140">
        <v>2501</v>
      </c>
      <c r="I162" s="52"/>
      <c r="J162" s="49"/>
      <c r="K162" s="48"/>
      <c r="L162"/>
      <c r="M162"/>
    </row>
    <row r="163" spans="2:13" ht="18" customHeight="1" thickBot="1">
      <c r="B163" s="154" t="s">
        <v>50</v>
      </c>
      <c r="C163" s="154" t="s">
        <v>50</v>
      </c>
      <c r="D163" s="154" t="s">
        <v>50</v>
      </c>
      <c r="E163" s="154" t="s">
        <v>50</v>
      </c>
      <c r="F163" s="146" t="s">
        <v>50</v>
      </c>
      <c r="G163" s="155">
        <v>2386</v>
      </c>
      <c r="H163" s="156">
        <v>2386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37</v>
      </c>
      <c r="C169" s="133" t="s">
        <v>37</v>
      </c>
      <c r="D169" s="133" t="s">
        <v>37</v>
      </c>
      <c r="E169" s="133" t="s">
        <v>37</v>
      </c>
      <c r="F169" s="134" t="s">
        <v>37</v>
      </c>
      <c r="G169" s="135">
        <v>3046214486943.6699</v>
      </c>
      <c r="H169" s="136">
        <v>3046214486943.6699</v>
      </c>
      <c r="I169" s="54"/>
      <c r="J169" s="55"/>
    </row>
    <row r="170" spans="2:13" ht="17.25" customHeight="1">
      <c r="B170" s="137" t="s">
        <v>48</v>
      </c>
      <c r="C170" s="137" t="s">
        <v>48</v>
      </c>
      <c r="D170" s="137" t="s">
        <v>48</v>
      </c>
      <c r="E170" s="137" t="s">
        <v>48</v>
      </c>
      <c r="F170" s="138" t="s">
        <v>48</v>
      </c>
      <c r="G170" s="139">
        <v>2340972919799.5801</v>
      </c>
      <c r="H170" s="140">
        <v>2340972919799.5801</v>
      </c>
      <c r="I170" s="54"/>
      <c r="J170" s="55"/>
    </row>
    <row r="171" spans="2:13" ht="17.25" customHeight="1">
      <c r="B171" s="137" t="s">
        <v>28</v>
      </c>
      <c r="C171" s="137" t="s">
        <v>28</v>
      </c>
      <c r="D171" s="137" t="s">
        <v>28</v>
      </c>
      <c r="E171" s="137" t="s">
        <v>28</v>
      </c>
      <c r="F171" s="138" t="s">
        <v>28</v>
      </c>
      <c r="G171" s="139">
        <v>2278060729768.1602</v>
      </c>
      <c r="H171" s="140">
        <v>2278060729768.1602</v>
      </c>
      <c r="I171" s="54"/>
      <c r="J171" s="55"/>
    </row>
    <row r="172" spans="2:13" ht="17.25" customHeight="1">
      <c r="B172" s="137" t="s">
        <v>36</v>
      </c>
      <c r="C172" s="137" t="s">
        <v>36</v>
      </c>
      <c r="D172" s="137" t="s">
        <v>36</v>
      </c>
      <c r="E172" s="137" t="s">
        <v>36</v>
      </c>
      <c r="F172" s="138" t="s">
        <v>36</v>
      </c>
      <c r="G172" s="139">
        <v>1143251370454.6699</v>
      </c>
      <c r="H172" s="140">
        <v>1143251370454.6699</v>
      </c>
      <c r="I172" s="54"/>
      <c r="J172" s="55"/>
    </row>
    <row r="173" spans="2:13" ht="17.25" customHeight="1">
      <c r="B173" s="137" t="s">
        <v>52</v>
      </c>
      <c r="C173" s="137" t="s">
        <v>52</v>
      </c>
      <c r="D173" s="137" t="s">
        <v>52</v>
      </c>
      <c r="E173" s="137" t="s">
        <v>52</v>
      </c>
      <c r="F173" s="138" t="s">
        <v>52</v>
      </c>
      <c r="G173" s="139">
        <v>554880950069.62097</v>
      </c>
      <c r="H173" s="140">
        <v>554880950069.62097</v>
      </c>
      <c r="I173" s="56"/>
      <c r="J173" s="49"/>
    </row>
    <row r="174" spans="2:13" ht="17.25" customHeight="1">
      <c r="B174" s="137" t="s">
        <v>44</v>
      </c>
      <c r="C174" s="137" t="s">
        <v>44</v>
      </c>
      <c r="D174" s="137" t="s">
        <v>44</v>
      </c>
      <c r="E174" s="137" t="s">
        <v>44</v>
      </c>
      <c r="F174" s="138" t="s">
        <v>44</v>
      </c>
      <c r="G174" s="139">
        <v>503997096420.63</v>
      </c>
      <c r="H174" s="140">
        <v>503997096420.63</v>
      </c>
      <c r="I174" s="54"/>
      <c r="J174" s="55"/>
    </row>
    <row r="175" spans="2:13" ht="17.25" customHeight="1">
      <c r="B175" s="137" t="s">
        <v>39</v>
      </c>
      <c r="C175" s="137" t="s">
        <v>39</v>
      </c>
      <c r="D175" s="137" t="s">
        <v>39</v>
      </c>
      <c r="E175" s="137" t="s">
        <v>39</v>
      </c>
      <c r="F175" s="138" t="s">
        <v>39</v>
      </c>
      <c r="G175" s="139">
        <v>466796537770.19</v>
      </c>
      <c r="H175" s="140">
        <v>466796537770.19</v>
      </c>
      <c r="I175" s="54"/>
      <c r="J175" s="55"/>
    </row>
    <row r="176" spans="2:13" ht="17.25" customHeight="1">
      <c r="B176" s="137" t="s">
        <v>55</v>
      </c>
      <c r="C176" s="137" t="s">
        <v>55</v>
      </c>
      <c r="D176" s="137" t="s">
        <v>55</v>
      </c>
      <c r="E176" s="137" t="s">
        <v>55</v>
      </c>
      <c r="F176" s="138" t="s">
        <v>55</v>
      </c>
      <c r="G176" s="139">
        <v>466242879719.79999</v>
      </c>
      <c r="H176" s="140">
        <v>466242879719.79999</v>
      </c>
      <c r="I176" s="54"/>
      <c r="J176" s="55"/>
    </row>
    <row r="177" spans="2:10" ht="17.25" customHeight="1">
      <c r="B177" s="137" t="s">
        <v>29</v>
      </c>
      <c r="C177" s="137" t="s">
        <v>29</v>
      </c>
      <c r="D177" s="137" t="s">
        <v>29</v>
      </c>
      <c r="E177" s="137" t="s">
        <v>29</v>
      </c>
      <c r="F177" s="138" t="s">
        <v>29</v>
      </c>
      <c r="G177" s="139">
        <v>457536026995.95001</v>
      </c>
      <c r="H177" s="140">
        <v>457536026995.95001</v>
      </c>
      <c r="I177" s="54"/>
      <c r="J177" s="55"/>
    </row>
    <row r="178" spans="2:10" ht="18" customHeight="1" thickBot="1">
      <c r="B178" s="154" t="s">
        <v>27</v>
      </c>
      <c r="C178" s="154" t="s">
        <v>27</v>
      </c>
      <c r="D178" s="154" t="s">
        <v>27</v>
      </c>
      <c r="E178" s="154" t="s">
        <v>27</v>
      </c>
      <c r="F178" s="146" t="s">
        <v>27</v>
      </c>
      <c r="G178" s="155">
        <v>432816070249.84003</v>
      </c>
      <c r="H178" s="156">
        <v>432816070249.84003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588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5889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4">
    <pageSetUpPr fitToPage="1"/>
  </sheetPr>
  <dimension ref="B2:N180"/>
  <sheetViews>
    <sheetView topLeftCell="A10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42947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42947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42916</v>
      </c>
      <c r="F11" s="67">
        <f>B3</f>
        <v>42947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1710052</v>
      </c>
      <c r="F12" s="78">
        <v>1678796</v>
      </c>
      <c r="G12" s="11">
        <f>F12-E12</f>
        <v>-31256</v>
      </c>
      <c r="H12" s="58">
        <f t="shared" ref="H12:H18" si="0">F12/E12-1</f>
        <v>-1.8277806756753612E-2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31339</v>
      </c>
      <c r="F13" s="78">
        <v>30807</v>
      </c>
      <c r="G13" s="11">
        <f t="shared" ref="G13:G18" si="1">F13-E13</f>
        <v>-532</v>
      </c>
      <c r="H13" s="58">
        <f t="shared" si="0"/>
        <v>-1.6975653339289742E-2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14726</v>
      </c>
      <c r="F14" s="78">
        <v>14869</v>
      </c>
      <c r="G14" s="11">
        <f t="shared" si="1"/>
        <v>143</v>
      </c>
      <c r="H14" s="58">
        <f t="shared" si="0"/>
        <v>9.7107157408664602E-3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7237</v>
      </c>
      <c r="F15" s="78">
        <v>7322</v>
      </c>
      <c r="G15" s="11">
        <f t="shared" si="1"/>
        <v>85</v>
      </c>
      <c r="H15" s="58">
        <f t="shared" si="0"/>
        <v>1.1745198286582825E-2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7489</v>
      </c>
      <c r="F16" s="78">
        <v>7547</v>
      </c>
      <c r="G16" s="11">
        <f t="shared" si="1"/>
        <v>58</v>
      </c>
      <c r="H16" s="58">
        <f t="shared" si="0"/>
        <v>7.7446922152490938E-3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30609</v>
      </c>
      <c r="F17" s="78">
        <v>32267</v>
      </c>
      <c r="G17" s="11">
        <f t="shared" si="1"/>
        <v>1658</v>
      </c>
      <c r="H17" s="58">
        <f t="shared" si="0"/>
        <v>5.4167075043287882E-2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1786726</v>
      </c>
      <c r="F18" s="66">
        <v>1756739</v>
      </c>
      <c r="G18" s="66">
        <f t="shared" si="1"/>
        <v>-29987</v>
      </c>
      <c r="H18" s="63">
        <f t="shared" si="0"/>
        <v>-1.6783211303803669E-2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42916</v>
      </c>
      <c r="F22" s="67">
        <f>F11</f>
        <v>42947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1194087</v>
      </c>
      <c r="F23" s="78">
        <v>1207926</v>
      </c>
      <c r="G23" s="11">
        <f>F23-E23</f>
        <v>13839</v>
      </c>
      <c r="H23" s="58">
        <f>F23/E23-1</f>
        <v>1.1589607792396928E-2</v>
      </c>
      <c r="I23" s="80"/>
    </row>
    <row r="24" spans="2:10" s="70" customFormat="1" ht="17.25">
      <c r="B24" s="114" t="s">
        <v>1</v>
      </c>
      <c r="C24" s="114"/>
      <c r="D24" s="115"/>
      <c r="E24" s="78">
        <v>18588</v>
      </c>
      <c r="F24" s="78">
        <v>18578</v>
      </c>
      <c r="G24" s="11">
        <f t="shared" ref="G24:G29" si="2">F24-E24</f>
        <v>-10</v>
      </c>
      <c r="H24" s="58">
        <f t="shared" ref="H24:H29" si="3">F24/E24-1</f>
        <v>-5.3798149343664559E-4</v>
      </c>
      <c r="I24" s="80"/>
    </row>
    <row r="25" spans="2:10" s="70" customFormat="1" ht="17.25">
      <c r="B25" s="114" t="s">
        <v>45</v>
      </c>
      <c r="C25" s="114"/>
      <c r="D25" s="115"/>
      <c r="E25" s="78">
        <v>9805</v>
      </c>
      <c r="F25" s="78">
        <v>9901</v>
      </c>
      <c r="G25" s="11">
        <f t="shared" si="2"/>
        <v>96</v>
      </c>
      <c r="H25" s="58">
        <f t="shared" si="3"/>
        <v>9.7909229984700641E-3</v>
      </c>
      <c r="I25" s="80"/>
    </row>
    <row r="26" spans="2:10" s="70" customFormat="1" ht="17.25">
      <c r="B26" s="116" t="s">
        <v>46</v>
      </c>
      <c r="C26" s="116"/>
      <c r="D26" s="117"/>
      <c r="E26" s="78">
        <v>6516</v>
      </c>
      <c r="F26" s="78">
        <v>6597</v>
      </c>
      <c r="G26" s="11">
        <f t="shared" si="2"/>
        <v>81</v>
      </c>
      <c r="H26" s="58">
        <f t="shared" si="3"/>
        <v>1.2430939226519389E-2</v>
      </c>
      <c r="I26" s="80"/>
    </row>
    <row r="27" spans="2:10" s="70" customFormat="1" ht="17.25">
      <c r="B27" s="118" t="s">
        <v>47</v>
      </c>
      <c r="C27" s="118"/>
      <c r="D27" s="119"/>
      <c r="E27" s="78">
        <v>3289</v>
      </c>
      <c r="F27" s="78">
        <v>3304</v>
      </c>
      <c r="G27" s="11">
        <f t="shared" si="2"/>
        <v>15</v>
      </c>
      <c r="H27" s="58">
        <f t="shared" si="3"/>
        <v>4.5606567345697346E-3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15779</v>
      </c>
      <c r="F28" s="78">
        <v>16881</v>
      </c>
      <c r="G28" s="11">
        <f t="shared" si="2"/>
        <v>1102</v>
      </c>
      <c r="H28" s="58">
        <f t="shared" si="3"/>
        <v>6.9839660308004259E-2</v>
      </c>
      <c r="I28" s="80"/>
    </row>
    <row r="29" spans="2:10" s="64" customFormat="1" ht="18" thickBot="1">
      <c r="B29" s="59" t="s">
        <v>3</v>
      </c>
      <c r="C29" s="59"/>
      <c r="D29" s="60"/>
      <c r="E29" s="66">
        <v>1238259</v>
      </c>
      <c r="F29" s="66">
        <v>1253286</v>
      </c>
      <c r="G29" s="66">
        <f t="shared" si="2"/>
        <v>15027</v>
      </c>
      <c r="H29" s="63">
        <f t="shared" si="3"/>
        <v>1.2135587142916071E-2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42916</v>
      </c>
      <c r="F33" s="67">
        <f>F11</f>
        <v>42947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89203</v>
      </c>
      <c r="F34" s="72">
        <v>89443</v>
      </c>
      <c r="G34" s="11">
        <f t="shared" ref="G34:G40" si="4">F34-E34</f>
        <v>240</v>
      </c>
      <c r="H34" s="58">
        <f t="shared" ref="H34:H40" si="5">F34/E34-1</f>
        <v>2.6904924722261914E-3</v>
      </c>
      <c r="I34" s="57"/>
    </row>
    <row r="35" spans="2:9" ht="17.25">
      <c r="B35" s="114" t="s">
        <v>1</v>
      </c>
      <c r="C35" s="114"/>
      <c r="D35" s="115"/>
      <c r="E35" s="72">
        <v>1044</v>
      </c>
      <c r="F35" s="72">
        <v>1020</v>
      </c>
      <c r="G35" s="11">
        <f t="shared" si="4"/>
        <v>-24</v>
      </c>
      <c r="H35" s="58">
        <f t="shared" si="5"/>
        <v>-2.2988505747126409E-2</v>
      </c>
      <c r="I35" s="57"/>
    </row>
    <row r="36" spans="2:9" ht="17.25">
      <c r="B36" s="114" t="s">
        <v>45</v>
      </c>
      <c r="C36" s="114"/>
      <c r="D36" s="115"/>
      <c r="E36" s="72">
        <v>718</v>
      </c>
      <c r="F36" s="72">
        <v>716</v>
      </c>
      <c r="G36" s="11">
        <f t="shared" si="4"/>
        <v>-2</v>
      </c>
      <c r="H36" s="58">
        <f t="shared" si="5"/>
        <v>-2.7855153203342198E-3</v>
      </c>
      <c r="I36" s="57"/>
    </row>
    <row r="37" spans="2:9" ht="17.25">
      <c r="B37" s="116" t="s">
        <v>46</v>
      </c>
      <c r="C37" s="116"/>
      <c r="D37" s="117"/>
      <c r="E37" s="72">
        <v>440</v>
      </c>
      <c r="F37" s="72">
        <v>443</v>
      </c>
      <c r="G37" s="11">
        <f t="shared" si="4"/>
        <v>3</v>
      </c>
      <c r="H37" s="58">
        <f t="shared" si="5"/>
        <v>6.8181818181818343E-3</v>
      </c>
      <c r="I37" s="57"/>
    </row>
    <row r="38" spans="2:9" ht="17.25">
      <c r="B38" s="118" t="s">
        <v>47</v>
      </c>
      <c r="C38" s="118"/>
      <c r="D38" s="119"/>
      <c r="E38" s="72">
        <v>278</v>
      </c>
      <c r="F38" s="72">
        <v>273</v>
      </c>
      <c r="G38" s="11">
        <f t="shared" si="4"/>
        <v>-5</v>
      </c>
      <c r="H38" s="58">
        <f t="shared" si="5"/>
        <v>-1.7985611510791366E-2</v>
      </c>
      <c r="I38" s="57"/>
    </row>
    <row r="39" spans="2:9" ht="18" customHeight="1" thickBot="1">
      <c r="B39" s="120" t="s">
        <v>2</v>
      </c>
      <c r="C39" s="120"/>
      <c r="D39" s="121"/>
      <c r="E39" s="72">
        <v>2854</v>
      </c>
      <c r="F39" s="72">
        <v>4917</v>
      </c>
      <c r="G39" s="11">
        <f t="shared" si="4"/>
        <v>2063</v>
      </c>
      <c r="H39" s="58">
        <f t="shared" si="5"/>
        <v>0.72284512964260683</v>
      </c>
      <c r="I39" s="57"/>
    </row>
    <row r="40" spans="2:9" s="64" customFormat="1" ht="18" thickBot="1">
      <c r="B40" s="59" t="s">
        <v>3</v>
      </c>
      <c r="C40" s="59"/>
      <c r="D40" s="60"/>
      <c r="E40" s="66">
        <v>93819</v>
      </c>
      <c r="F40" s="66">
        <v>96096</v>
      </c>
      <c r="G40" s="66">
        <f t="shared" si="4"/>
        <v>2277</v>
      </c>
      <c r="H40" s="63">
        <f t="shared" si="5"/>
        <v>2.4270137179036144E-2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96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42794</v>
      </c>
      <c r="D83" s="67">
        <f>EDATE(E83,-1)</f>
        <v>42824</v>
      </c>
      <c r="E83" s="67">
        <f>EDATE(F83,-1)</f>
        <v>42855</v>
      </c>
      <c r="F83" s="67">
        <f>EDATE(G83,-1)</f>
        <v>42885</v>
      </c>
      <c r="G83" s="67">
        <f>EDATE(H83,-1)</f>
        <v>42916</v>
      </c>
      <c r="H83" s="67">
        <f>EDATE(E11,1)</f>
        <v>42946</v>
      </c>
      <c r="I83"/>
      <c r="J83"/>
    </row>
    <row r="84" spans="2:11" ht="16.5" customHeight="1">
      <c r="B84" s="24" t="s">
        <v>0</v>
      </c>
      <c r="C84" s="74">
        <v>1125369</v>
      </c>
      <c r="D84" s="74">
        <v>1143968</v>
      </c>
      <c r="E84" s="74">
        <v>1156796</v>
      </c>
      <c r="F84" s="74">
        <v>1178131</v>
      </c>
      <c r="G84" s="74">
        <v>1194087</v>
      </c>
      <c r="H84" s="74">
        <v>1207926</v>
      </c>
    </row>
    <row r="85" spans="2:11" ht="16.5" customHeight="1">
      <c r="B85" s="25" t="s">
        <v>1</v>
      </c>
      <c r="C85" s="75">
        <v>18472</v>
      </c>
      <c r="D85" s="75">
        <v>18496</v>
      </c>
      <c r="E85" s="75">
        <v>18504</v>
      </c>
      <c r="F85" s="75">
        <v>18473</v>
      </c>
      <c r="G85" s="75">
        <v>18588</v>
      </c>
      <c r="H85" s="75">
        <v>18578</v>
      </c>
    </row>
    <row r="86" spans="2:11" ht="16.5" customHeight="1">
      <c r="B86" s="26" t="s">
        <v>45</v>
      </c>
      <c r="C86" s="77">
        <v>9319</v>
      </c>
      <c r="D86" s="77">
        <v>9908</v>
      </c>
      <c r="E86" s="77">
        <v>9540</v>
      </c>
      <c r="F86" s="77">
        <v>9591</v>
      </c>
      <c r="G86" s="77">
        <v>9805</v>
      </c>
      <c r="H86" s="77">
        <v>9901</v>
      </c>
    </row>
    <row r="87" spans="2:11" ht="16.5" customHeight="1" thickBot="1">
      <c r="B87" s="27" t="s">
        <v>2</v>
      </c>
      <c r="C87" s="73">
        <v>13509</v>
      </c>
      <c r="D87" s="73">
        <v>14098</v>
      </c>
      <c r="E87" s="73">
        <v>14622</v>
      </c>
      <c r="F87" s="73">
        <v>15082</v>
      </c>
      <c r="G87" s="73">
        <v>15779</v>
      </c>
      <c r="H87" s="73">
        <v>16881</v>
      </c>
    </row>
    <row r="88" spans="2:11" s="65" customFormat="1" ht="18" thickBot="1">
      <c r="B88" s="97" t="s">
        <v>3</v>
      </c>
      <c r="C88" s="76">
        <v>1166669</v>
      </c>
      <c r="D88" s="76">
        <v>1186470</v>
      </c>
      <c r="E88" s="76">
        <v>1199462</v>
      </c>
      <c r="F88" s="76">
        <v>1221277</v>
      </c>
      <c r="G88" s="76">
        <v>1238259</v>
      </c>
      <c r="H88" s="76">
        <v>1253286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42947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329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42947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264869</v>
      </c>
      <c r="H139" s="136">
        <v>264869</v>
      </c>
      <c r="I139" s="46"/>
      <c r="J139" s="49"/>
    </row>
    <row r="140" spans="2:10" ht="13.5" customHeight="1">
      <c r="B140" s="137" t="s">
        <v>28</v>
      </c>
      <c r="C140" s="137" t="s">
        <v>28</v>
      </c>
      <c r="D140" s="137" t="s">
        <v>28</v>
      </c>
      <c r="E140" s="137" t="s">
        <v>28</v>
      </c>
      <c r="F140" s="138" t="s">
        <v>28</v>
      </c>
      <c r="G140" s="139">
        <v>229829</v>
      </c>
      <c r="H140" s="140">
        <v>229829</v>
      </c>
      <c r="I140" s="46"/>
      <c r="J140" s="49"/>
    </row>
    <row r="141" spans="2:10" ht="17.25" customHeight="1">
      <c r="B141" s="137" t="s">
        <v>27</v>
      </c>
      <c r="C141" s="137" t="s">
        <v>27</v>
      </c>
      <c r="D141" s="137" t="s">
        <v>27</v>
      </c>
      <c r="E141" s="137" t="s">
        <v>27</v>
      </c>
      <c r="F141" s="138" t="s">
        <v>27</v>
      </c>
      <c r="G141" s="139">
        <v>222165</v>
      </c>
      <c r="H141" s="140">
        <v>222165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171595</v>
      </c>
      <c r="H142" s="140">
        <v>171595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108611</v>
      </c>
      <c r="H143" s="140">
        <v>108611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61056</v>
      </c>
      <c r="H144" s="140">
        <v>61056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51327</v>
      </c>
      <c r="H145" s="140">
        <v>51327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34032</v>
      </c>
      <c r="H146" s="140">
        <v>34032</v>
      </c>
      <c r="I146" s="46"/>
      <c r="J146" s="49"/>
    </row>
    <row r="147" spans="2:13" ht="17.25" customHeight="1">
      <c r="B147" s="137" t="s">
        <v>53</v>
      </c>
      <c r="C147" s="137" t="s">
        <v>53</v>
      </c>
      <c r="D147" s="137" t="s">
        <v>53</v>
      </c>
      <c r="E147" s="137" t="s">
        <v>53</v>
      </c>
      <c r="F147" s="138" t="s">
        <v>53</v>
      </c>
      <c r="G147" s="139">
        <v>22557</v>
      </c>
      <c r="H147" s="140">
        <v>22557</v>
      </c>
      <c r="I147" s="46"/>
      <c r="J147" s="49"/>
      <c r="L147"/>
    </row>
    <row r="148" spans="2:13" ht="18" customHeight="1" thickBot="1">
      <c r="B148" s="154" t="s">
        <v>41</v>
      </c>
      <c r="C148" s="154" t="s">
        <v>41</v>
      </c>
      <c r="D148" s="154" t="s">
        <v>41</v>
      </c>
      <c r="E148" s="154" t="s">
        <v>41</v>
      </c>
      <c r="F148" s="146" t="s">
        <v>41</v>
      </c>
      <c r="G148" s="155">
        <v>20402</v>
      </c>
      <c r="H148" s="156">
        <v>20402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16340</v>
      </c>
      <c r="H154" s="136">
        <v>16340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15169</v>
      </c>
      <c r="H155" s="140">
        <v>15169</v>
      </c>
      <c r="I155" s="52"/>
      <c r="J155" s="49"/>
      <c r="K155" s="48"/>
      <c r="L155"/>
      <c r="M155"/>
    </row>
    <row r="156" spans="2:13" ht="17.25" customHeight="1">
      <c r="B156" s="137" t="s">
        <v>37</v>
      </c>
      <c r="C156" s="137" t="s">
        <v>37</v>
      </c>
      <c r="D156" s="137" t="s">
        <v>37</v>
      </c>
      <c r="E156" s="137" t="s">
        <v>37</v>
      </c>
      <c r="F156" s="138" t="s">
        <v>37</v>
      </c>
      <c r="G156" s="139">
        <v>13257</v>
      </c>
      <c r="H156" s="140">
        <v>13257</v>
      </c>
      <c r="I156" s="52"/>
      <c r="J156" s="49"/>
      <c r="K156" s="48"/>
      <c r="L156"/>
      <c r="M156"/>
    </row>
    <row r="157" spans="2:13" ht="17.25">
      <c r="B157" s="137" t="s">
        <v>27</v>
      </c>
      <c r="C157" s="137" t="s">
        <v>27</v>
      </c>
      <c r="D157" s="137" t="s">
        <v>27</v>
      </c>
      <c r="E157" s="137" t="s">
        <v>27</v>
      </c>
      <c r="F157" s="138" t="s">
        <v>27</v>
      </c>
      <c r="G157" s="139">
        <v>12835</v>
      </c>
      <c r="H157" s="140">
        <v>12835</v>
      </c>
      <c r="I157" s="52"/>
      <c r="J157" s="49"/>
      <c r="K157" s="48"/>
      <c r="L157"/>
      <c r="M157"/>
    </row>
    <row r="158" spans="2:13" ht="17.25" customHeight="1">
      <c r="B158" s="137" t="s">
        <v>38</v>
      </c>
      <c r="C158" s="137" t="s">
        <v>38</v>
      </c>
      <c r="D158" s="137" t="s">
        <v>38</v>
      </c>
      <c r="E158" s="137" t="s">
        <v>38</v>
      </c>
      <c r="F158" s="138" t="s">
        <v>38</v>
      </c>
      <c r="G158" s="139">
        <v>11053</v>
      </c>
      <c r="H158" s="140">
        <v>11053</v>
      </c>
      <c r="I158" s="52"/>
      <c r="J158" s="49"/>
      <c r="K158" s="48"/>
      <c r="L158"/>
      <c r="M158"/>
    </row>
    <row r="159" spans="2:13" ht="17.25" customHeight="1">
      <c r="B159" s="137" t="s">
        <v>50</v>
      </c>
      <c r="C159" s="137" t="s">
        <v>50</v>
      </c>
      <c r="D159" s="137" t="s">
        <v>50</v>
      </c>
      <c r="E159" s="137" t="s">
        <v>50</v>
      </c>
      <c r="F159" s="138" t="s">
        <v>50</v>
      </c>
      <c r="G159" s="139">
        <v>4475</v>
      </c>
      <c r="H159" s="140">
        <v>4475</v>
      </c>
      <c r="I159" s="53"/>
      <c r="J159" s="49"/>
      <c r="K159" s="48"/>
      <c r="L159"/>
      <c r="M159"/>
    </row>
    <row r="160" spans="2:13" ht="17.25" customHeight="1">
      <c r="B160" s="137" t="s">
        <v>40</v>
      </c>
      <c r="C160" s="137" t="s">
        <v>40</v>
      </c>
      <c r="D160" s="137" t="s">
        <v>40</v>
      </c>
      <c r="E160" s="137" t="s">
        <v>40</v>
      </c>
      <c r="F160" s="138" t="s">
        <v>40</v>
      </c>
      <c r="G160" s="139">
        <v>4229</v>
      </c>
      <c r="H160" s="140">
        <v>4229</v>
      </c>
      <c r="I160" s="52"/>
      <c r="J160" s="49"/>
      <c r="K160" s="48"/>
      <c r="L160"/>
      <c r="M160"/>
    </row>
    <row r="161" spans="2:13" ht="17.25" customHeight="1">
      <c r="B161" s="137" t="s">
        <v>42</v>
      </c>
      <c r="C161" s="137" t="s">
        <v>42</v>
      </c>
      <c r="D161" s="137" t="s">
        <v>42</v>
      </c>
      <c r="E161" s="137" t="s">
        <v>42</v>
      </c>
      <c r="F161" s="138" t="s">
        <v>42</v>
      </c>
      <c r="G161" s="139">
        <v>2934</v>
      </c>
      <c r="H161" s="140">
        <v>2934</v>
      </c>
      <c r="I161" s="52"/>
      <c r="J161" s="49"/>
      <c r="K161" s="48"/>
      <c r="L161"/>
      <c r="M161"/>
    </row>
    <row r="162" spans="2:13" ht="17.25" customHeight="1">
      <c r="B162" s="137" t="s">
        <v>29</v>
      </c>
      <c r="C162" s="137" t="s">
        <v>29</v>
      </c>
      <c r="D162" s="137" t="s">
        <v>29</v>
      </c>
      <c r="E162" s="137" t="s">
        <v>29</v>
      </c>
      <c r="F162" s="138" t="s">
        <v>29</v>
      </c>
      <c r="G162" s="139">
        <v>2534</v>
      </c>
      <c r="H162" s="140">
        <v>2534</v>
      </c>
      <c r="I162" s="52"/>
      <c r="J162" s="49"/>
      <c r="K162" s="48"/>
      <c r="L162"/>
      <c r="M162"/>
    </row>
    <row r="163" spans="2:13" ht="18" customHeight="1" thickBot="1">
      <c r="B163" s="154" t="s">
        <v>41</v>
      </c>
      <c r="C163" s="154" t="s">
        <v>41</v>
      </c>
      <c r="D163" s="154" t="s">
        <v>41</v>
      </c>
      <c r="E163" s="154" t="s">
        <v>41</v>
      </c>
      <c r="F163" s="146" t="s">
        <v>41</v>
      </c>
      <c r="G163" s="155">
        <v>2394</v>
      </c>
      <c r="H163" s="156">
        <v>2394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37</v>
      </c>
      <c r="C169" s="133" t="s">
        <v>37</v>
      </c>
      <c r="D169" s="133" t="s">
        <v>37</v>
      </c>
      <c r="E169" s="133" t="s">
        <v>37</v>
      </c>
      <c r="F169" s="134" t="s">
        <v>37</v>
      </c>
      <c r="G169" s="135">
        <v>2434983314221.7202</v>
      </c>
      <c r="H169" s="136">
        <v>2434983314221.7202</v>
      </c>
      <c r="I169" s="54"/>
      <c r="J169" s="55"/>
    </row>
    <row r="170" spans="2:13" ht="17.25" customHeight="1">
      <c r="B170" s="137" t="s">
        <v>48</v>
      </c>
      <c r="C170" s="137" t="s">
        <v>48</v>
      </c>
      <c r="D170" s="137" t="s">
        <v>48</v>
      </c>
      <c r="E170" s="137" t="s">
        <v>48</v>
      </c>
      <c r="F170" s="138" t="s">
        <v>48</v>
      </c>
      <c r="G170" s="139">
        <v>2197499384954.4199</v>
      </c>
      <c r="H170" s="140">
        <v>2197499384954.4199</v>
      </c>
      <c r="I170" s="54"/>
      <c r="J170" s="55"/>
    </row>
    <row r="171" spans="2:13" ht="17.25" customHeight="1">
      <c r="B171" s="137" t="s">
        <v>28</v>
      </c>
      <c r="C171" s="137" t="s">
        <v>28</v>
      </c>
      <c r="D171" s="137" t="s">
        <v>28</v>
      </c>
      <c r="E171" s="137" t="s">
        <v>28</v>
      </c>
      <c r="F171" s="138" t="s">
        <v>28</v>
      </c>
      <c r="G171" s="139">
        <v>2012438095988.6399</v>
      </c>
      <c r="H171" s="140">
        <v>2012438095988.6399</v>
      </c>
      <c r="I171" s="54"/>
      <c r="J171" s="55"/>
    </row>
    <row r="172" spans="2:13" ht="17.25" customHeight="1">
      <c r="B172" s="137" t="s">
        <v>36</v>
      </c>
      <c r="C172" s="137" t="s">
        <v>36</v>
      </c>
      <c r="D172" s="137" t="s">
        <v>36</v>
      </c>
      <c r="E172" s="137" t="s">
        <v>36</v>
      </c>
      <c r="F172" s="138" t="s">
        <v>36</v>
      </c>
      <c r="G172" s="139">
        <v>1228923015102.29</v>
      </c>
      <c r="H172" s="140">
        <v>1228923015102.29</v>
      </c>
      <c r="I172" s="54"/>
      <c r="J172" s="55"/>
    </row>
    <row r="173" spans="2:13" ht="17.25" customHeight="1">
      <c r="B173" s="137" t="s">
        <v>52</v>
      </c>
      <c r="C173" s="137" t="s">
        <v>52</v>
      </c>
      <c r="D173" s="137" t="s">
        <v>52</v>
      </c>
      <c r="E173" s="137" t="s">
        <v>52</v>
      </c>
      <c r="F173" s="138" t="s">
        <v>52</v>
      </c>
      <c r="G173" s="139">
        <v>891895065535.76001</v>
      </c>
      <c r="H173" s="140">
        <v>891895065535.76001</v>
      </c>
      <c r="I173" s="56"/>
      <c r="J173" s="49"/>
    </row>
    <row r="174" spans="2:13" ht="17.25" customHeight="1">
      <c r="B174" s="137" t="s">
        <v>29</v>
      </c>
      <c r="C174" s="137" t="s">
        <v>29</v>
      </c>
      <c r="D174" s="137" t="s">
        <v>29</v>
      </c>
      <c r="E174" s="137" t="s">
        <v>29</v>
      </c>
      <c r="F174" s="138" t="s">
        <v>29</v>
      </c>
      <c r="G174" s="139">
        <v>527936337250.97998</v>
      </c>
      <c r="H174" s="140">
        <v>527936337250.97998</v>
      </c>
      <c r="I174" s="54"/>
      <c r="J174" s="55"/>
    </row>
    <row r="175" spans="2:13" ht="17.25" customHeight="1">
      <c r="B175" s="137" t="s">
        <v>39</v>
      </c>
      <c r="C175" s="137" t="s">
        <v>39</v>
      </c>
      <c r="D175" s="137" t="s">
        <v>39</v>
      </c>
      <c r="E175" s="137" t="s">
        <v>39</v>
      </c>
      <c r="F175" s="138" t="s">
        <v>39</v>
      </c>
      <c r="G175" s="139">
        <v>484749341985.10999</v>
      </c>
      <c r="H175" s="140">
        <v>484749341985.10999</v>
      </c>
      <c r="I175" s="54"/>
      <c r="J175" s="55"/>
    </row>
    <row r="176" spans="2:13" ht="17.25" customHeight="1">
      <c r="B176" s="137" t="s">
        <v>55</v>
      </c>
      <c r="C176" s="137" t="s">
        <v>55</v>
      </c>
      <c r="D176" s="137" t="s">
        <v>55</v>
      </c>
      <c r="E176" s="137" t="s">
        <v>55</v>
      </c>
      <c r="F176" s="138" t="s">
        <v>55</v>
      </c>
      <c r="G176" s="139">
        <v>420491495777.52002</v>
      </c>
      <c r="H176" s="140">
        <v>420491495777.52002</v>
      </c>
      <c r="I176" s="54"/>
      <c r="J176" s="55"/>
    </row>
    <row r="177" spans="2:10" ht="17.25" customHeight="1">
      <c r="B177" s="137" t="s">
        <v>42</v>
      </c>
      <c r="C177" s="137" t="s">
        <v>42</v>
      </c>
      <c r="D177" s="137" t="s">
        <v>42</v>
      </c>
      <c r="E177" s="137" t="s">
        <v>42</v>
      </c>
      <c r="F177" s="138" t="s">
        <v>42</v>
      </c>
      <c r="G177" s="139">
        <v>420291224086.97998</v>
      </c>
      <c r="H177" s="140">
        <v>420291224086.97998</v>
      </c>
      <c r="I177" s="54"/>
      <c r="J177" s="55"/>
    </row>
    <row r="178" spans="2:10" ht="18" customHeight="1" thickBot="1">
      <c r="B178" s="154" t="s">
        <v>49</v>
      </c>
      <c r="C178" s="154" t="s">
        <v>49</v>
      </c>
      <c r="D178" s="154" t="s">
        <v>49</v>
      </c>
      <c r="E178" s="154" t="s">
        <v>49</v>
      </c>
      <c r="F178" s="146" t="s">
        <v>49</v>
      </c>
      <c r="G178" s="155">
        <v>420065312657.69</v>
      </c>
      <c r="H178" s="156">
        <v>420065312657.69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691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6913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5">
    <pageSetUpPr fitToPage="1"/>
  </sheetPr>
  <dimension ref="B2:N180"/>
  <sheetViews>
    <sheetView topLeftCell="A10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42978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42978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42947</v>
      </c>
      <c r="F11" s="67">
        <f>B3</f>
        <v>42978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1678796</v>
      </c>
      <c r="F12" s="78">
        <v>1726066</v>
      </c>
      <c r="G12" s="11">
        <f>F12-E12</f>
        <v>47270</v>
      </c>
      <c r="H12" s="58">
        <f t="shared" ref="H12:H18" si="0">F12/E12-1</f>
        <v>2.8157084005441924E-2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30807</v>
      </c>
      <c r="F13" s="78">
        <v>31113</v>
      </c>
      <c r="G13" s="11">
        <f t="shared" ref="G13:G18" si="1">F13-E13</f>
        <v>306</v>
      </c>
      <c r="H13" s="58">
        <f t="shared" si="0"/>
        <v>9.9328074788196385E-3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14869</v>
      </c>
      <c r="F14" s="78">
        <v>15652</v>
      </c>
      <c r="G14" s="11">
        <f t="shared" si="1"/>
        <v>783</v>
      </c>
      <c r="H14" s="58">
        <f t="shared" si="0"/>
        <v>5.2659896428811637E-2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7322</v>
      </c>
      <c r="F15" s="78">
        <v>7610</v>
      </c>
      <c r="G15" s="11">
        <f t="shared" si="1"/>
        <v>288</v>
      </c>
      <c r="H15" s="58">
        <f t="shared" si="0"/>
        <v>3.9333515432941724E-2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7547</v>
      </c>
      <c r="F16" s="78">
        <v>8042</v>
      </c>
      <c r="G16" s="11">
        <f t="shared" si="1"/>
        <v>495</v>
      </c>
      <c r="H16" s="58">
        <f t="shared" si="0"/>
        <v>6.5588975751954326E-2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32267</v>
      </c>
      <c r="F17" s="78">
        <v>41623</v>
      </c>
      <c r="G17" s="11">
        <f t="shared" si="1"/>
        <v>9356</v>
      </c>
      <c r="H17" s="58">
        <f t="shared" si="0"/>
        <v>0.28995568227600965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1756739</v>
      </c>
      <c r="F18" s="66">
        <v>1814454</v>
      </c>
      <c r="G18" s="66">
        <f t="shared" si="1"/>
        <v>57715</v>
      </c>
      <c r="H18" s="63">
        <f t="shared" si="0"/>
        <v>3.2853485919080772E-2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42947</v>
      </c>
      <c r="F22" s="67">
        <f>F11</f>
        <v>42978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1207926</v>
      </c>
      <c r="F23" s="78">
        <v>1224837</v>
      </c>
      <c r="G23" s="11">
        <f>F23-E23</f>
        <v>16911</v>
      </c>
      <c r="H23" s="58">
        <f>F23/E23-1</f>
        <v>1.4000029803150182E-2</v>
      </c>
      <c r="I23" s="80"/>
    </row>
    <row r="24" spans="2:10" s="70" customFormat="1" ht="17.25">
      <c r="B24" s="114" t="s">
        <v>1</v>
      </c>
      <c r="C24" s="114"/>
      <c r="D24" s="115"/>
      <c r="E24" s="78">
        <v>18578</v>
      </c>
      <c r="F24" s="78">
        <v>18539</v>
      </c>
      <c r="G24" s="11">
        <f t="shared" ref="G24:G29" si="2">F24-E24</f>
        <v>-39</v>
      </c>
      <c r="H24" s="58">
        <f t="shared" ref="H24:H29" si="3">F24/E24-1</f>
        <v>-2.0992571859188569E-3</v>
      </c>
      <c r="I24" s="80"/>
    </row>
    <row r="25" spans="2:10" s="70" customFormat="1" ht="17.25">
      <c r="B25" s="114" t="s">
        <v>45</v>
      </c>
      <c r="C25" s="114"/>
      <c r="D25" s="115"/>
      <c r="E25" s="78">
        <v>9901</v>
      </c>
      <c r="F25" s="78">
        <v>10116</v>
      </c>
      <c r="G25" s="11">
        <f t="shared" si="2"/>
        <v>215</v>
      </c>
      <c r="H25" s="58">
        <f t="shared" si="3"/>
        <v>2.1714978285021669E-2</v>
      </c>
      <c r="I25" s="80"/>
    </row>
    <row r="26" spans="2:10" s="70" customFormat="1" ht="17.25">
      <c r="B26" s="116" t="s">
        <v>46</v>
      </c>
      <c r="C26" s="116"/>
      <c r="D26" s="117"/>
      <c r="E26" s="78">
        <v>6597</v>
      </c>
      <c r="F26" s="78">
        <v>6814</v>
      </c>
      <c r="G26" s="11">
        <f t="shared" si="2"/>
        <v>217</v>
      </c>
      <c r="H26" s="58">
        <f t="shared" si="3"/>
        <v>3.2893739578596426E-2</v>
      </c>
      <c r="I26" s="80"/>
    </row>
    <row r="27" spans="2:10" s="70" customFormat="1" ht="17.25">
      <c r="B27" s="118" t="s">
        <v>47</v>
      </c>
      <c r="C27" s="118"/>
      <c r="D27" s="119"/>
      <c r="E27" s="78">
        <v>3304</v>
      </c>
      <c r="F27" s="78">
        <v>3302</v>
      </c>
      <c r="G27" s="11">
        <f t="shared" si="2"/>
        <v>-2</v>
      </c>
      <c r="H27" s="58">
        <f t="shared" si="3"/>
        <v>-6.05326876513268E-4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16881</v>
      </c>
      <c r="F28" s="78">
        <v>18110</v>
      </c>
      <c r="G28" s="11">
        <f t="shared" si="2"/>
        <v>1229</v>
      </c>
      <c r="H28" s="58">
        <f t="shared" si="3"/>
        <v>7.2803743854036984E-2</v>
      </c>
      <c r="I28" s="80"/>
    </row>
    <row r="29" spans="2:10" s="64" customFormat="1" ht="18" thickBot="1">
      <c r="B29" s="59" t="s">
        <v>3</v>
      </c>
      <c r="C29" s="59"/>
      <c r="D29" s="60"/>
      <c r="E29" s="66">
        <v>1253286</v>
      </c>
      <c r="F29" s="66">
        <v>1271602</v>
      </c>
      <c r="G29" s="66">
        <f t="shared" si="2"/>
        <v>18316</v>
      </c>
      <c r="H29" s="63">
        <f t="shared" si="3"/>
        <v>1.4614381713351943E-2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42947</v>
      </c>
      <c r="F33" s="67">
        <f>F11</f>
        <v>42978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89443</v>
      </c>
      <c r="F34" s="72">
        <v>98846</v>
      </c>
      <c r="G34" s="11">
        <f t="shared" ref="G34:G40" si="4">F34-E34</f>
        <v>9403</v>
      </c>
      <c r="H34" s="58">
        <f t="shared" ref="H34:H40" si="5">F34/E34-1</f>
        <v>0.10512840580034211</v>
      </c>
      <c r="I34" s="57"/>
    </row>
    <row r="35" spans="2:9" ht="17.25">
      <c r="B35" s="114" t="s">
        <v>1</v>
      </c>
      <c r="C35" s="114"/>
      <c r="D35" s="115"/>
      <c r="E35" s="72">
        <v>1020</v>
      </c>
      <c r="F35" s="72">
        <v>1092</v>
      </c>
      <c r="G35" s="11">
        <f t="shared" si="4"/>
        <v>72</v>
      </c>
      <c r="H35" s="58">
        <f t="shared" si="5"/>
        <v>7.0588235294117618E-2</v>
      </c>
      <c r="I35" s="57"/>
    </row>
    <row r="36" spans="2:9" ht="17.25">
      <c r="B36" s="114" t="s">
        <v>45</v>
      </c>
      <c r="C36" s="114"/>
      <c r="D36" s="115"/>
      <c r="E36" s="72">
        <v>716</v>
      </c>
      <c r="F36" s="72">
        <v>776</v>
      </c>
      <c r="G36" s="11">
        <f t="shared" si="4"/>
        <v>60</v>
      </c>
      <c r="H36" s="58">
        <f t="shared" si="5"/>
        <v>8.3798882681564324E-2</v>
      </c>
      <c r="I36" s="57"/>
    </row>
    <row r="37" spans="2:9" ht="17.25">
      <c r="B37" s="116" t="s">
        <v>46</v>
      </c>
      <c r="C37" s="116"/>
      <c r="D37" s="117"/>
      <c r="E37" s="72">
        <v>443</v>
      </c>
      <c r="F37" s="72">
        <v>494</v>
      </c>
      <c r="G37" s="11">
        <f t="shared" si="4"/>
        <v>51</v>
      </c>
      <c r="H37" s="58">
        <f t="shared" si="5"/>
        <v>0.1151241534988714</v>
      </c>
      <c r="I37" s="57"/>
    </row>
    <row r="38" spans="2:9" ht="17.25">
      <c r="B38" s="118" t="s">
        <v>47</v>
      </c>
      <c r="C38" s="118"/>
      <c r="D38" s="119"/>
      <c r="E38" s="72">
        <v>273</v>
      </c>
      <c r="F38" s="72">
        <v>282</v>
      </c>
      <c r="G38" s="11">
        <f t="shared" si="4"/>
        <v>9</v>
      </c>
      <c r="H38" s="58">
        <f t="shared" si="5"/>
        <v>3.2967032967033072E-2</v>
      </c>
      <c r="I38" s="57"/>
    </row>
    <row r="39" spans="2:9" ht="18" customHeight="1" thickBot="1">
      <c r="B39" s="120" t="s">
        <v>2</v>
      </c>
      <c r="C39" s="120"/>
      <c r="D39" s="121"/>
      <c r="E39" s="72">
        <v>4917</v>
      </c>
      <c r="F39" s="72">
        <v>3927</v>
      </c>
      <c r="G39" s="11">
        <f t="shared" si="4"/>
        <v>-990</v>
      </c>
      <c r="H39" s="58">
        <f t="shared" si="5"/>
        <v>-0.20134228187919467</v>
      </c>
      <c r="I39" s="57"/>
    </row>
    <row r="40" spans="2:9" s="64" customFormat="1" ht="18" thickBot="1">
      <c r="B40" s="59" t="s">
        <v>3</v>
      </c>
      <c r="C40" s="59"/>
      <c r="D40" s="60"/>
      <c r="E40" s="66">
        <v>96096</v>
      </c>
      <c r="F40" s="66">
        <v>104641</v>
      </c>
      <c r="G40" s="66">
        <f t="shared" si="4"/>
        <v>8545</v>
      </c>
      <c r="H40" s="63">
        <f t="shared" si="5"/>
        <v>8.8921495171495168E-2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98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42824</v>
      </c>
      <c r="D83" s="67">
        <f>EDATE(E83,-1)</f>
        <v>42855</v>
      </c>
      <c r="E83" s="67">
        <f>EDATE(F83,-1)</f>
        <v>42885</v>
      </c>
      <c r="F83" s="67">
        <f>EDATE(G83,-1)</f>
        <v>42916</v>
      </c>
      <c r="G83" s="67">
        <f>EDATE(H83,-1)</f>
        <v>42947</v>
      </c>
      <c r="H83" s="67">
        <f>EDATE(E11,1)</f>
        <v>42978</v>
      </c>
      <c r="I83"/>
      <c r="J83"/>
    </row>
    <row r="84" spans="2:11" ht="16.5" customHeight="1">
      <c r="B84" s="24" t="s">
        <v>0</v>
      </c>
      <c r="C84" s="74">
        <v>1143968</v>
      </c>
      <c r="D84" s="74">
        <v>1156796</v>
      </c>
      <c r="E84" s="74">
        <v>1178131</v>
      </c>
      <c r="F84" s="74">
        <v>1194087</v>
      </c>
      <c r="G84" s="74">
        <v>1207926</v>
      </c>
      <c r="H84" s="74">
        <v>1224837</v>
      </c>
    </row>
    <row r="85" spans="2:11" ht="16.5" customHeight="1">
      <c r="B85" s="25" t="s">
        <v>1</v>
      </c>
      <c r="C85" s="75">
        <v>18496</v>
      </c>
      <c r="D85" s="75">
        <v>18504</v>
      </c>
      <c r="E85" s="75">
        <v>18473</v>
      </c>
      <c r="F85" s="75">
        <v>18588</v>
      </c>
      <c r="G85" s="75">
        <v>18578</v>
      </c>
      <c r="H85" s="75">
        <v>18539</v>
      </c>
    </row>
    <row r="86" spans="2:11" ht="16.5" customHeight="1">
      <c r="B86" s="26" t="s">
        <v>45</v>
      </c>
      <c r="C86" s="77">
        <v>9908</v>
      </c>
      <c r="D86" s="77">
        <v>9540</v>
      </c>
      <c r="E86" s="77">
        <v>9591</v>
      </c>
      <c r="F86" s="77">
        <v>9805</v>
      </c>
      <c r="G86" s="77">
        <v>9901</v>
      </c>
      <c r="H86" s="77">
        <v>10116</v>
      </c>
    </row>
    <row r="87" spans="2:11" ht="16.5" customHeight="1" thickBot="1">
      <c r="B87" s="27" t="s">
        <v>2</v>
      </c>
      <c r="C87" s="73">
        <v>14098</v>
      </c>
      <c r="D87" s="73">
        <v>14622</v>
      </c>
      <c r="E87" s="73">
        <v>15082</v>
      </c>
      <c r="F87" s="73">
        <v>15779</v>
      </c>
      <c r="G87" s="73">
        <v>16881</v>
      </c>
      <c r="H87" s="73">
        <v>18110</v>
      </c>
    </row>
    <row r="88" spans="2:11" s="65" customFormat="1" ht="18" thickBot="1">
      <c r="B88" s="99" t="s">
        <v>3</v>
      </c>
      <c r="C88" s="76">
        <v>1186470</v>
      </c>
      <c r="D88" s="76">
        <v>1199462</v>
      </c>
      <c r="E88" s="76">
        <v>1221277</v>
      </c>
      <c r="F88" s="76">
        <v>1238259</v>
      </c>
      <c r="G88" s="76">
        <v>1253286</v>
      </c>
      <c r="H88" s="76">
        <v>1271602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42978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329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42978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266861</v>
      </c>
      <c r="H139" s="136">
        <v>266861</v>
      </c>
      <c r="I139" s="46"/>
      <c r="J139" s="49"/>
    </row>
    <row r="140" spans="2:10" ht="13.5" customHeight="1">
      <c r="B140" s="137" t="s">
        <v>28</v>
      </c>
      <c r="C140" s="137" t="s">
        <v>28</v>
      </c>
      <c r="D140" s="137" t="s">
        <v>28</v>
      </c>
      <c r="E140" s="137" t="s">
        <v>28</v>
      </c>
      <c r="F140" s="138" t="s">
        <v>28</v>
      </c>
      <c r="G140" s="139">
        <v>238365</v>
      </c>
      <c r="H140" s="140">
        <v>238365</v>
      </c>
      <c r="I140" s="46"/>
      <c r="J140" s="49"/>
    </row>
    <row r="141" spans="2:10" ht="17.25" customHeight="1">
      <c r="B141" s="137" t="s">
        <v>27</v>
      </c>
      <c r="C141" s="137" t="s">
        <v>27</v>
      </c>
      <c r="D141" s="137" t="s">
        <v>27</v>
      </c>
      <c r="E141" s="137" t="s">
        <v>27</v>
      </c>
      <c r="F141" s="138" t="s">
        <v>27</v>
      </c>
      <c r="G141" s="139">
        <v>225449</v>
      </c>
      <c r="H141" s="140">
        <v>225449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173579</v>
      </c>
      <c r="H142" s="140">
        <v>173579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110353</v>
      </c>
      <c r="H143" s="140">
        <v>110353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61379</v>
      </c>
      <c r="H144" s="140">
        <v>61379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51596</v>
      </c>
      <c r="H145" s="140">
        <v>51596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34103</v>
      </c>
      <c r="H146" s="140">
        <v>34103</v>
      </c>
      <c r="I146" s="46"/>
      <c r="J146" s="49"/>
    </row>
    <row r="147" spans="2:13" ht="17.25" customHeight="1">
      <c r="B147" s="137" t="s">
        <v>53</v>
      </c>
      <c r="C147" s="137" t="s">
        <v>53</v>
      </c>
      <c r="D147" s="137" t="s">
        <v>53</v>
      </c>
      <c r="E147" s="137" t="s">
        <v>53</v>
      </c>
      <c r="F147" s="138" t="s">
        <v>53</v>
      </c>
      <c r="G147" s="139">
        <v>22611</v>
      </c>
      <c r="H147" s="140">
        <v>22611</v>
      </c>
      <c r="I147" s="46"/>
      <c r="J147" s="49"/>
      <c r="L147"/>
    </row>
    <row r="148" spans="2:13" ht="18" customHeight="1" thickBot="1">
      <c r="B148" s="154" t="s">
        <v>41</v>
      </c>
      <c r="C148" s="154" t="s">
        <v>41</v>
      </c>
      <c r="D148" s="154" t="s">
        <v>41</v>
      </c>
      <c r="E148" s="154" t="s">
        <v>41</v>
      </c>
      <c r="F148" s="146" t="s">
        <v>41</v>
      </c>
      <c r="G148" s="155">
        <v>20543</v>
      </c>
      <c r="H148" s="156">
        <v>20543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17326</v>
      </c>
      <c r="H154" s="136">
        <v>17326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16740</v>
      </c>
      <c r="H155" s="140">
        <v>16740</v>
      </c>
      <c r="I155" s="52"/>
      <c r="J155" s="49"/>
      <c r="K155" s="48"/>
      <c r="L155"/>
      <c r="M155"/>
    </row>
    <row r="156" spans="2:13" ht="17.25" customHeight="1">
      <c r="B156" s="137" t="s">
        <v>27</v>
      </c>
      <c r="C156" s="137" t="s">
        <v>27</v>
      </c>
      <c r="D156" s="137" t="s">
        <v>27</v>
      </c>
      <c r="E156" s="137" t="s">
        <v>27</v>
      </c>
      <c r="F156" s="138" t="s">
        <v>27</v>
      </c>
      <c r="G156" s="139">
        <v>14514</v>
      </c>
      <c r="H156" s="140">
        <v>14514</v>
      </c>
      <c r="I156" s="52"/>
      <c r="J156" s="49"/>
      <c r="K156" s="48"/>
      <c r="L156"/>
      <c r="M156"/>
    </row>
    <row r="157" spans="2:13" ht="17.25">
      <c r="B157" s="137" t="s">
        <v>37</v>
      </c>
      <c r="C157" s="137" t="s">
        <v>37</v>
      </c>
      <c r="D157" s="137" t="s">
        <v>37</v>
      </c>
      <c r="E157" s="137" t="s">
        <v>37</v>
      </c>
      <c r="F157" s="138" t="s">
        <v>37</v>
      </c>
      <c r="G157" s="139">
        <v>14436</v>
      </c>
      <c r="H157" s="140">
        <v>14436</v>
      </c>
      <c r="I157" s="52"/>
      <c r="J157" s="49"/>
      <c r="K157" s="48"/>
      <c r="L157"/>
      <c r="M157"/>
    </row>
    <row r="158" spans="2:13" ht="17.25" customHeight="1">
      <c r="B158" s="137" t="s">
        <v>38</v>
      </c>
      <c r="C158" s="137" t="s">
        <v>38</v>
      </c>
      <c r="D158" s="137" t="s">
        <v>38</v>
      </c>
      <c r="E158" s="137" t="s">
        <v>38</v>
      </c>
      <c r="F158" s="138" t="s">
        <v>38</v>
      </c>
      <c r="G158" s="139">
        <v>11627</v>
      </c>
      <c r="H158" s="140">
        <v>11627</v>
      </c>
      <c r="I158" s="52"/>
      <c r="J158" s="49"/>
      <c r="K158" s="48"/>
      <c r="L158"/>
      <c r="M158"/>
    </row>
    <row r="159" spans="2:13" ht="17.25" customHeight="1">
      <c r="B159" s="137" t="s">
        <v>40</v>
      </c>
      <c r="C159" s="137" t="s">
        <v>40</v>
      </c>
      <c r="D159" s="137" t="s">
        <v>40</v>
      </c>
      <c r="E159" s="137" t="s">
        <v>40</v>
      </c>
      <c r="F159" s="138" t="s">
        <v>40</v>
      </c>
      <c r="G159" s="139">
        <v>4701</v>
      </c>
      <c r="H159" s="140">
        <v>4701</v>
      </c>
      <c r="I159" s="53"/>
      <c r="J159" s="49"/>
      <c r="K159" s="48"/>
      <c r="L159"/>
      <c r="M159"/>
    </row>
    <row r="160" spans="2:13" ht="17.25" customHeight="1">
      <c r="B160" s="137" t="s">
        <v>50</v>
      </c>
      <c r="C160" s="137" t="s">
        <v>50</v>
      </c>
      <c r="D160" s="137" t="s">
        <v>50</v>
      </c>
      <c r="E160" s="137" t="s">
        <v>50</v>
      </c>
      <c r="F160" s="138" t="s">
        <v>50</v>
      </c>
      <c r="G160" s="139">
        <v>3434</v>
      </c>
      <c r="H160" s="140">
        <v>3434</v>
      </c>
      <c r="I160" s="52"/>
      <c r="J160" s="49"/>
      <c r="K160" s="48"/>
      <c r="L160"/>
      <c r="M160"/>
    </row>
    <row r="161" spans="2:13" ht="17.25" customHeight="1">
      <c r="B161" s="137" t="s">
        <v>42</v>
      </c>
      <c r="C161" s="137" t="s">
        <v>42</v>
      </c>
      <c r="D161" s="137" t="s">
        <v>42</v>
      </c>
      <c r="E161" s="137" t="s">
        <v>42</v>
      </c>
      <c r="F161" s="138" t="s">
        <v>42</v>
      </c>
      <c r="G161" s="139">
        <v>3282</v>
      </c>
      <c r="H161" s="140">
        <v>3282</v>
      </c>
      <c r="I161" s="52"/>
      <c r="J161" s="49"/>
      <c r="K161" s="48"/>
      <c r="L161"/>
      <c r="M161"/>
    </row>
    <row r="162" spans="2:13" ht="17.25" customHeight="1">
      <c r="B162" s="137" t="s">
        <v>56</v>
      </c>
      <c r="C162" s="137" t="s">
        <v>56</v>
      </c>
      <c r="D162" s="137" t="s">
        <v>56</v>
      </c>
      <c r="E162" s="137" t="s">
        <v>56</v>
      </c>
      <c r="F162" s="138" t="s">
        <v>56</v>
      </c>
      <c r="G162" s="139">
        <v>3099</v>
      </c>
      <c r="H162" s="140">
        <v>3099</v>
      </c>
      <c r="I162" s="52"/>
      <c r="J162" s="49"/>
      <c r="K162" s="48"/>
      <c r="L162"/>
      <c r="M162"/>
    </row>
    <row r="163" spans="2:13" ht="18" customHeight="1" thickBot="1">
      <c r="B163" s="154" t="s">
        <v>29</v>
      </c>
      <c r="C163" s="154" t="s">
        <v>29</v>
      </c>
      <c r="D163" s="154" t="s">
        <v>29</v>
      </c>
      <c r="E163" s="154" t="s">
        <v>29</v>
      </c>
      <c r="F163" s="146" t="s">
        <v>29</v>
      </c>
      <c r="G163" s="155">
        <v>2843</v>
      </c>
      <c r="H163" s="156">
        <v>2843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37</v>
      </c>
      <c r="C169" s="133" t="s">
        <v>37</v>
      </c>
      <c r="D169" s="133" t="s">
        <v>37</v>
      </c>
      <c r="E169" s="133" t="s">
        <v>37</v>
      </c>
      <c r="F169" s="134" t="s">
        <v>37</v>
      </c>
      <c r="G169" s="135">
        <v>2667126765316.46</v>
      </c>
      <c r="H169" s="136">
        <v>2667126765316.46</v>
      </c>
      <c r="I169" s="54"/>
      <c r="J169" s="55"/>
    </row>
    <row r="170" spans="2:13" ht="17.25" customHeight="1">
      <c r="B170" s="137" t="s">
        <v>48</v>
      </c>
      <c r="C170" s="137" t="s">
        <v>48</v>
      </c>
      <c r="D170" s="137" t="s">
        <v>48</v>
      </c>
      <c r="E170" s="137" t="s">
        <v>48</v>
      </c>
      <c r="F170" s="138" t="s">
        <v>48</v>
      </c>
      <c r="G170" s="139">
        <v>2574656641697.4302</v>
      </c>
      <c r="H170" s="140">
        <v>2574656641697.4302</v>
      </c>
      <c r="I170" s="54"/>
      <c r="J170" s="55"/>
    </row>
    <row r="171" spans="2:13" ht="17.25" customHeight="1">
      <c r="B171" s="137" t="s">
        <v>28</v>
      </c>
      <c r="C171" s="137" t="s">
        <v>28</v>
      </c>
      <c r="D171" s="137" t="s">
        <v>28</v>
      </c>
      <c r="E171" s="137" t="s">
        <v>28</v>
      </c>
      <c r="F171" s="138" t="s">
        <v>28</v>
      </c>
      <c r="G171" s="139">
        <v>1766231503904.3999</v>
      </c>
      <c r="H171" s="140">
        <v>1766231503904.3999</v>
      </c>
      <c r="I171" s="54"/>
      <c r="J171" s="55"/>
    </row>
    <row r="172" spans="2:13" ht="17.25" customHeight="1">
      <c r="B172" s="137" t="s">
        <v>52</v>
      </c>
      <c r="C172" s="137" t="s">
        <v>52</v>
      </c>
      <c r="D172" s="137" t="s">
        <v>52</v>
      </c>
      <c r="E172" s="137" t="s">
        <v>52</v>
      </c>
      <c r="F172" s="138" t="s">
        <v>52</v>
      </c>
      <c r="G172" s="139">
        <v>1465701140177.0801</v>
      </c>
      <c r="H172" s="140">
        <v>1465701140177.0801</v>
      </c>
      <c r="I172" s="54"/>
      <c r="J172" s="55"/>
    </row>
    <row r="173" spans="2:13" ht="17.25" customHeight="1">
      <c r="B173" s="137" t="s">
        <v>36</v>
      </c>
      <c r="C173" s="137" t="s">
        <v>36</v>
      </c>
      <c r="D173" s="137" t="s">
        <v>36</v>
      </c>
      <c r="E173" s="137" t="s">
        <v>36</v>
      </c>
      <c r="F173" s="138" t="s">
        <v>36</v>
      </c>
      <c r="G173" s="139">
        <v>1272173153456.74</v>
      </c>
      <c r="H173" s="140">
        <v>1272173153456.74</v>
      </c>
      <c r="I173" s="56"/>
      <c r="J173" s="49"/>
    </row>
    <row r="174" spans="2:13" ht="17.25" customHeight="1">
      <c r="B174" s="137" t="s">
        <v>42</v>
      </c>
      <c r="C174" s="137" t="s">
        <v>42</v>
      </c>
      <c r="D174" s="137" t="s">
        <v>42</v>
      </c>
      <c r="E174" s="137" t="s">
        <v>42</v>
      </c>
      <c r="F174" s="138" t="s">
        <v>42</v>
      </c>
      <c r="G174" s="139">
        <v>610988612383.07996</v>
      </c>
      <c r="H174" s="140">
        <v>610988612383.07996</v>
      </c>
      <c r="I174" s="54"/>
      <c r="J174" s="55"/>
    </row>
    <row r="175" spans="2:13" ht="17.25" customHeight="1">
      <c r="B175" s="137" t="s">
        <v>39</v>
      </c>
      <c r="C175" s="137" t="s">
        <v>39</v>
      </c>
      <c r="D175" s="137" t="s">
        <v>39</v>
      </c>
      <c r="E175" s="137" t="s">
        <v>39</v>
      </c>
      <c r="F175" s="138" t="s">
        <v>39</v>
      </c>
      <c r="G175" s="139">
        <v>524477291247.84003</v>
      </c>
      <c r="H175" s="140">
        <v>524477291247.84003</v>
      </c>
      <c r="I175" s="54"/>
      <c r="J175" s="55"/>
    </row>
    <row r="176" spans="2:13" ht="17.25" customHeight="1">
      <c r="B176" s="137" t="s">
        <v>55</v>
      </c>
      <c r="C176" s="137" t="s">
        <v>55</v>
      </c>
      <c r="D176" s="137" t="s">
        <v>55</v>
      </c>
      <c r="E176" s="137" t="s">
        <v>55</v>
      </c>
      <c r="F176" s="138" t="s">
        <v>55</v>
      </c>
      <c r="G176" s="139">
        <v>521479979201.02002</v>
      </c>
      <c r="H176" s="140">
        <v>521479979201.02002</v>
      </c>
      <c r="I176" s="54"/>
      <c r="J176" s="55"/>
    </row>
    <row r="177" spans="2:10" ht="17.25" customHeight="1">
      <c r="B177" s="137" t="s">
        <v>27</v>
      </c>
      <c r="C177" s="137" t="s">
        <v>27</v>
      </c>
      <c r="D177" s="137" t="s">
        <v>27</v>
      </c>
      <c r="E177" s="137" t="s">
        <v>27</v>
      </c>
      <c r="F177" s="138" t="s">
        <v>27</v>
      </c>
      <c r="G177" s="139">
        <v>494324100285.29999</v>
      </c>
      <c r="H177" s="140">
        <v>494324100285.29999</v>
      </c>
      <c r="I177" s="54"/>
      <c r="J177" s="55"/>
    </row>
    <row r="178" spans="2:10" ht="18" customHeight="1" thickBot="1">
      <c r="B178" s="154" t="s">
        <v>49</v>
      </c>
      <c r="C178" s="154" t="s">
        <v>49</v>
      </c>
      <c r="D178" s="154" t="s">
        <v>49</v>
      </c>
      <c r="E178" s="154" t="s">
        <v>49</v>
      </c>
      <c r="F178" s="146" t="s">
        <v>49</v>
      </c>
      <c r="G178" s="155">
        <v>426099905132.78998</v>
      </c>
      <c r="H178" s="156">
        <v>426099905132.78998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7937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7937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6">
    <pageSetUpPr fitToPage="1"/>
  </sheetPr>
  <dimension ref="B2:N180"/>
  <sheetViews>
    <sheetView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43008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43008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42977</v>
      </c>
      <c r="F11" s="67">
        <f>B3</f>
        <v>43008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1726066</v>
      </c>
      <c r="F12" s="78">
        <v>1882001</v>
      </c>
      <c r="G12" s="11">
        <f>F12-E12</f>
        <v>155935</v>
      </c>
      <c r="H12" s="58">
        <f t="shared" ref="H12:H18" si="0">F12/E12-1</f>
        <v>9.0341273161049562E-2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31113</v>
      </c>
      <c r="F13" s="78">
        <v>34063</v>
      </c>
      <c r="G13" s="11">
        <f t="shared" ref="G13:G18" si="1">F13-E13</f>
        <v>2950</v>
      </c>
      <c r="H13" s="58">
        <f t="shared" si="0"/>
        <v>9.4815671905634336E-2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15652</v>
      </c>
      <c r="F14" s="78">
        <v>17841</v>
      </c>
      <c r="G14" s="11">
        <f t="shared" si="1"/>
        <v>2189</v>
      </c>
      <c r="H14" s="58">
        <f t="shared" si="0"/>
        <v>0.13985433171479689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7610</v>
      </c>
      <c r="F15" s="78">
        <v>8055.9999999999991</v>
      </c>
      <c r="G15" s="11">
        <f t="shared" si="1"/>
        <v>445.99999999999909</v>
      </c>
      <c r="H15" s="58">
        <f t="shared" si="0"/>
        <v>5.8607095926412445E-2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8042</v>
      </c>
      <c r="F16" s="78">
        <v>9785</v>
      </c>
      <c r="G16" s="11">
        <f t="shared" si="1"/>
        <v>1743</v>
      </c>
      <c r="H16" s="58">
        <f t="shared" si="0"/>
        <v>0.21673713006714745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41623</v>
      </c>
      <c r="F17" s="78">
        <v>35687</v>
      </c>
      <c r="G17" s="11">
        <f t="shared" si="1"/>
        <v>-5936</v>
      </c>
      <c r="H17" s="58">
        <f t="shared" si="0"/>
        <v>-0.14261345890493238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1814454</v>
      </c>
      <c r="F18" s="66">
        <v>1969592</v>
      </c>
      <c r="G18" s="66">
        <f t="shared" si="1"/>
        <v>155138</v>
      </c>
      <c r="H18" s="63">
        <f t="shared" si="0"/>
        <v>8.5501203116750357E-2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42977</v>
      </c>
      <c r="F22" s="67">
        <f>F11</f>
        <v>43008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1224837</v>
      </c>
      <c r="F23" s="78">
        <v>1253028</v>
      </c>
      <c r="G23" s="11">
        <f>F23-E23</f>
        <v>28191</v>
      </c>
      <c r="H23" s="58">
        <f>F23/E23-1</f>
        <v>2.3016123778102804E-2</v>
      </c>
      <c r="I23" s="80"/>
    </row>
    <row r="24" spans="2:10" s="70" customFormat="1" ht="17.25">
      <c r="B24" s="114" t="s">
        <v>1</v>
      </c>
      <c r="C24" s="114"/>
      <c r="D24" s="115"/>
      <c r="E24" s="78">
        <v>18539</v>
      </c>
      <c r="F24" s="78">
        <v>18550</v>
      </c>
      <c r="G24" s="11">
        <f t="shared" ref="G24:G29" si="2">F24-E24</f>
        <v>11</v>
      </c>
      <c r="H24" s="58">
        <f t="shared" ref="H24:H29" si="3">F24/E24-1</f>
        <v>5.933437617995363E-4</v>
      </c>
      <c r="I24" s="80"/>
    </row>
    <row r="25" spans="2:10" s="70" customFormat="1" ht="17.25">
      <c r="B25" s="114" t="s">
        <v>45</v>
      </c>
      <c r="C25" s="114"/>
      <c r="D25" s="115"/>
      <c r="E25" s="78">
        <v>10116</v>
      </c>
      <c r="F25" s="78">
        <v>10474</v>
      </c>
      <c r="G25" s="11">
        <f t="shared" si="2"/>
        <v>358</v>
      </c>
      <c r="H25" s="58">
        <f t="shared" si="3"/>
        <v>3.5389482008699069E-2</v>
      </c>
      <c r="I25" s="80"/>
    </row>
    <row r="26" spans="2:10" s="70" customFormat="1" ht="17.25">
      <c r="B26" s="116" t="s">
        <v>46</v>
      </c>
      <c r="C26" s="116"/>
      <c r="D26" s="117"/>
      <c r="E26" s="78">
        <v>6814</v>
      </c>
      <c r="F26" s="78">
        <v>7084</v>
      </c>
      <c r="G26" s="11">
        <f t="shared" si="2"/>
        <v>270</v>
      </c>
      <c r="H26" s="58">
        <f t="shared" si="3"/>
        <v>3.9624302905782116E-2</v>
      </c>
      <c r="I26" s="80"/>
    </row>
    <row r="27" spans="2:10" s="70" customFormat="1" ht="17.25">
      <c r="B27" s="118" t="s">
        <v>47</v>
      </c>
      <c r="C27" s="118"/>
      <c r="D27" s="119"/>
      <c r="E27" s="78">
        <v>3302</v>
      </c>
      <c r="F27" s="78">
        <v>3390</v>
      </c>
      <c r="G27" s="11">
        <f t="shared" si="2"/>
        <v>88</v>
      </c>
      <c r="H27" s="58">
        <f t="shared" si="3"/>
        <v>2.6650514839491324E-2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18110</v>
      </c>
      <c r="F28" s="78">
        <v>18940</v>
      </c>
      <c r="G28" s="11">
        <f t="shared" si="2"/>
        <v>830</v>
      </c>
      <c r="H28" s="58">
        <f t="shared" si="3"/>
        <v>4.5831032578685704E-2</v>
      </c>
      <c r="I28" s="80"/>
    </row>
    <row r="29" spans="2:10" s="64" customFormat="1" ht="18" thickBot="1">
      <c r="B29" s="59" t="s">
        <v>3</v>
      </c>
      <c r="C29" s="59"/>
      <c r="D29" s="60"/>
      <c r="E29" s="66">
        <v>1271602</v>
      </c>
      <c r="F29" s="66">
        <v>1300992</v>
      </c>
      <c r="G29" s="66">
        <f t="shared" si="2"/>
        <v>29390</v>
      </c>
      <c r="H29" s="63">
        <f t="shared" si="3"/>
        <v>2.311257767760666E-2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42977</v>
      </c>
      <c r="F33" s="67">
        <f>F11</f>
        <v>43008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98846</v>
      </c>
      <c r="F34" s="72">
        <v>92530</v>
      </c>
      <c r="G34" s="11">
        <f t="shared" ref="G34:G40" si="4">F34-E34</f>
        <v>-6316</v>
      </c>
      <c r="H34" s="58">
        <f t="shared" ref="H34:H40" si="5">F34/E34-1</f>
        <v>-6.3897375715759819E-2</v>
      </c>
      <c r="I34" s="57"/>
    </row>
    <row r="35" spans="2:9" ht="17.25">
      <c r="B35" s="114" t="s">
        <v>1</v>
      </c>
      <c r="C35" s="114"/>
      <c r="D35" s="115"/>
      <c r="E35" s="72">
        <v>1092</v>
      </c>
      <c r="F35" s="72">
        <v>1072</v>
      </c>
      <c r="G35" s="11">
        <f t="shared" si="4"/>
        <v>-20</v>
      </c>
      <c r="H35" s="58">
        <f t="shared" si="5"/>
        <v>-1.8315018315018361E-2</v>
      </c>
      <c r="I35" s="57"/>
    </row>
    <row r="36" spans="2:9" ht="17.25">
      <c r="B36" s="114" t="s">
        <v>45</v>
      </c>
      <c r="C36" s="114"/>
      <c r="D36" s="115"/>
      <c r="E36" s="72">
        <v>776</v>
      </c>
      <c r="F36" s="72">
        <v>773</v>
      </c>
      <c r="G36" s="11">
        <f t="shared" si="4"/>
        <v>-3</v>
      </c>
      <c r="H36" s="58">
        <f t="shared" si="5"/>
        <v>-3.8659793814432852E-3</v>
      </c>
      <c r="I36" s="57"/>
    </row>
    <row r="37" spans="2:9" ht="17.25">
      <c r="B37" s="116" t="s">
        <v>46</v>
      </c>
      <c r="C37" s="116"/>
      <c r="D37" s="117"/>
      <c r="E37" s="72">
        <v>494</v>
      </c>
      <c r="F37" s="72">
        <v>471</v>
      </c>
      <c r="G37" s="11">
        <f t="shared" si="4"/>
        <v>-23</v>
      </c>
      <c r="H37" s="58">
        <f t="shared" si="5"/>
        <v>-4.6558704453441346E-2</v>
      </c>
      <c r="I37" s="57"/>
    </row>
    <row r="38" spans="2:9" ht="17.25">
      <c r="B38" s="118" t="s">
        <v>47</v>
      </c>
      <c r="C38" s="118"/>
      <c r="D38" s="119"/>
      <c r="E38" s="72">
        <v>282</v>
      </c>
      <c r="F38" s="72">
        <v>302</v>
      </c>
      <c r="G38" s="11">
        <f t="shared" si="4"/>
        <v>20</v>
      </c>
      <c r="H38" s="58">
        <f t="shared" si="5"/>
        <v>7.0921985815602939E-2</v>
      </c>
      <c r="I38" s="57"/>
    </row>
    <row r="39" spans="2:9" ht="18" customHeight="1" thickBot="1">
      <c r="B39" s="120" t="s">
        <v>2</v>
      </c>
      <c r="C39" s="120"/>
      <c r="D39" s="121"/>
      <c r="E39" s="72">
        <v>3927</v>
      </c>
      <c r="F39" s="72">
        <v>8305</v>
      </c>
      <c r="G39" s="11">
        <f t="shared" si="4"/>
        <v>4378</v>
      </c>
      <c r="H39" s="58">
        <f t="shared" si="5"/>
        <v>1.1148459383753502</v>
      </c>
      <c r="I39" s="57"/>
    </row>
    <row r="40" spans="2:9" s="64" customFormat="1" ht="18" thickBot="1">
      <c r="B40" s="59" t="s">
        <v>3</v>
      </c>
      <c r="C40" s="59"/>
      <c r="D40" s="60"/>
      <c r="E40" s="66">
        <v>104641</v>
      </c>
      <c r="F40" s="66">
        <v>102680.00000000001</v>
      </c>
      <c r="G40" s="66">
        <f t="shared" si="4"/>
        <v>-1960.9999999999854</v>
      </c>
      <c r="H40" s="63">
        <f t="shared" si="5"/>
        <v>-1.874026433233611E-2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101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42855</v>
      </c>
      <c r="D83" s="67">
        <f>EDATE(E83,-1)</f>
        <v>42885</v>
      </c>
      <c r="E83" s="67">
        <f>EDATE(F83,-1)</f>
        <v>42916</v>
      </c>
      <c r="F83" s="67">
        <f>EDATE(G83,-1)</f>
        <v>42946</v>
      </c>
      <c r="G83" s="67">
        <f>EDATE(H83,-1)</f>
        <v>42977</v>
      </c>
      <c r="H83" s="67">
        <f>EDATE(E11,1)</f>
        <v>43008</v>
      </c>
      <c r="I83"/>
      <c r="J83"/>
    </row>
    <row r="84" spans="2:11" ht="16.5" customHeight="1">
      <c r="B84" s="24" t="s">
        <v>0</v>
      </c>
      <c r="C84" s="74">
        <v>1156796</v>
      </c>
      <c r="D84" s="74">
        <v>1178131</v>
      </c>
      <c r="E84" s="74">
        <v>1194087</v>
      </c>
      <c r="F84" s="74">
        <v>1207926</v>
      </c>
      <c r="G84" s="74">
        <v>1224837</v>
      </c>
      <c r="H84" s="74">
        <v>1253028</v>
      </c>
    </row>
    <row r="85" spans="2:11" ht="16.5" customHeight="1">
      <c r="B85" s="25" t="s">
        <v>1</v>
      </c>
      <c r="C85" s="75">
        <v>18504</v>
      </c>
      <c r="D85" s="75">
        <v>18473</v>
      </c>
      <c r="E85" s="75">
        <v>18588</v>
      </c>
      <c r="F85" s="75">
        <v>18578</v>
      </c>
      <c r="G85" s="75">
        <v>18539</v>
      </c>
      <c r="H85" s="75">
        <v>18550</v>
      </c>
    </row>
    <row r="86" spans="2:11" ht="16.5" customHeight="1">
      <c r="B86" s="26" t="s">
        <v>45</v>
      </c>
      <c r="C86" s="77">
        <v>9540</v>
      </c>
      <c r="D86" s="77">
        <v>9591</v>
      </c>
      <c r="E86" s="77">
        <v>9805</v>
      </c>
      <c r="F86" s="77">
        <v>9901</v>
      </c>
      <c r="G86" s="77">
        <v>10116</v>
      </c>
      <c r="H86" s="77">
        <v>10474</v>
      </c>
    </row>
    <row r="87" spans="2:11" ht="16.5" customHeight="1" thickBot="1">
      <c r="B87" s="27" t="s">
        <v>2</v>
      </c>
      <c r="C87" s="73">
        <v>14622</v>
      </c>
      <c r="D87" s="73">
        <v>15082</v>
      </c>
      <c r="E87" s="73">
        <v>15779</v>
      </c>
      <c r="F87" s="73">
        <v>16881</v>
      </c>
      <c r="G87" s="73">
        <v>18110</v>
      </c>
      <c r="H87" s="73">
        <v>18940</v>
      </c>
    </row>
    <row r="88" spans="2:11" s="65" customFormat="1" ht="18" thickBot="1">
      <c r="B88" s="100" t="s">
        <v>3</v>
      </c>
      <c r="C88" s="76">
        <v>1199462</v>
      </c>
      <c r="D88" s="76">
        <v>1221277</v>
      </c>
      <c r="E88" s="76">
        <v>1238259</v>
      </c>
      <c r="F88" s="76">
        <v>1253286</v>
      </c>
      <c r="G88" s="76">
        <v>1271602</v>
      </c>
      <c r="H88" s="76">
        <v>1300992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43008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321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43008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268483</v>
      </c>
      <c r="H139" s="136">
        <v>268483</v>
      </c>
      <c r="I139" s="46"/>
      <c r="J139" s="49"/>
    </row>
    <row r="140" spans="2:10" ht="13.5" customHeight="1">
      <c r="B140" s="137" t="s">
        <v>28</v>
      </c>
      <c r="C140" s="137" t="s">
        <v>28</v>
      </c>
      <c r="D140" s="137" t="s">
        <v>28</v>
      </c>
      <c r="E140" s="137" t="s">
        <v>28</v>
      </c>
      <c r="F140" s="138" t="s">
        <v>28</v>
      </c>
      <c r="G140" s="139">
        <v>245533</v>
      </c>
      <c r="H140" s="140">
        <v>245533</v>
      </c>
      <c r="I140" s="46"/>
      <c r="J140" s="49"/>
    </row>
    <row r="141" spans="2:10" ht="17.25" customHeight="1">
      <c r="B141" s="137" t="s">
        <v>27</v>
      </c>
      <c r="C141" s="137" t="s">
        <v>27</v>
      </c>
      <c r="D141" s="137" t="s">
        <v>27</v>
      </c>
      <c r="E141" s="137" t="s">
        <v>27</v>
      </c>
      <c r="F141" s="138" t="s">
        <v>27</v>
      </c>
      <c r="G141" s="139">
        <v>239676</v>
      </c>
      <c r="H141" s="140">
        <v>239676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175437</v>
      </c>
      <c r="H142" s="140">
        <v>175437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114379</v>
      </c>
      <c r="H143" s="140">
        <v>114379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61311</v>
      </c>
      <c r="H144" s="140">
        <v>61311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51850</v>
      </c>
      <c r="H145" s="140">
        <v>51850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34182</v>
      </c>
      <c r="H146" s="140">
        <v>34182</v>
      </c>
      <c r="I146" s="46"/>
      <c r="J146" s="49"/>
    </row>
    <row r="147" spans="2:13" ht="17.25" customHeight="1">
      <c r="B147" s="137" t="s">
        <v>53</v>
      </c>
      <c r="C147" s="137" t="s">
        <v>53</v>
      </c>
      <c r="D147" s="137" t="s">
        <v>53</v>
      </c>
      <c r="E147" s="137" t="s">
        <v>53</v>
      </c>
      <c r="F147" s="138" t="s">
        <v>53</v>
      </c>
      <c r="G147" s="139">
        <v>22711</v>
      </c>
      <c r="H147" s="140">
        <v>22711</v>
      </c>
      <c r="I147" s="46"/>
      <c r="J147" s="49"/>
      <c r="L147"/>
    </row>
    <row r="148" spans="2:13" ht="18" customHeight="1" thickBot="1">
      <c r="B148" s="154" t="s">
        <v>41</v>
      </c>
      <c r="C148" s="154" t="s">
        <v>41</v>
      </c>
      <c r="D148" s="154" t="s">
        <v>41</v>
      </c>
      <c r="E148" s="154" t="s">
        <v>41</v>
      </c>
      <c r="F148" s="146" t="s">
        <v>41</v>
      </c>
      <c r="G148" s="155">
        <v>20730</v>
      </c>
      <c r="H148" s="156">
        <v>20730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17308</v>
      </c>
      <c r="H154" s="136">
        <v>17308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16631</v>
      </c>
      <c r="H155" s="140">
        <v>16631</v>
      </c>
      <c r="I155" s="52"/>
      <c r="J155" s="49"/>
      <c r="K155" s="48"/>
      <c r="L155"/>
      <c r="M155"/>
    </row>
    <row r="156" spans="2:13" ht="17.25" customHeight="1">
      <c r="B156" s="137" t="s">
        <v>27</v>
      </c>
      <c r="C156" s="137" t="s">
        <v>27</v>
      </c>
      <c r="D156" s="137" t="s">
        <v>27</v>
      </c>
      <c r="E156" s="137" t="s">
        <v>27</v>
      </c>
      <c r="F156" s="138" t="s">
        <v>27</v>
      </c>
      <c r="G156" s="139">
        <v>13908</v>
      </c>
      <c r="H156" s="140">
        <v>13908</v>
      </c>
      <c r="I156" s="52"/>
      <c r="J156" s="49"/>
      <c r="K156" s="48"/>
      <c r="L156"/>
      <c r="M156"/>
    </row>
    <row r="157" spans="2:13" ht="17.25">
      <c r="B157" s="137" t="s">
        <v>37</v>
      </c>
      <c r="C157" s="137" t="s">
        <v>37</v>
      </c>
      <c r="D157" s="137" t="s">
        <v>37</v>
      </c>
      <c r="E157" s="137" t="s">
        <v>37</v>
      </c>
      <c r="F157" s="138" t="s">
        <v>37</v>
      </c>
      <c r="G157" s="139">
        <v>12972</v>
      </c>
      <c r="H157" s="140">
        <v>12972</v>
      </c>
      <c r="I157" s="52"/>
      <c r="J157" s="49"/>
      <c r="K157" s="48"/>
      <c r="L157"/>
      <c r="M157"/>
    </row>
    <row r="158" spans="2:13" ht="17.25" customHeight="1">
      <c r="B158" s="137" t="s">
        <v>38</v>
      </c>
      <c r="C158" s="137" t="s">
        <v>38</v>
      </c>
      <c r="D158" s="137" t="s">
        <v>38</v>
      </c>
      <c r="E158" s="137" t="s">
        <v>38</v>
      </c>
      <c r="F158" s="138" t="s">
        <v>38</v>
      </c>
      <c r="G158" s="139">
        <v>11030</v>
      </c>
      <c r="H158" s="140">
        <v>11030</v>
      </c>
      <c r="I158" s="52"/>
      <c r="J158" s="49"/>
      <c r="K158" s="48"/>
      <c r="L158"/>
      <c r="M158"/>
    </row>
    <row r="159" spans="2:13" ht="17.25" customHeight="1">
      <c r="B159" s="137" t="s">
        <v>50</v>
      </c>
      <c r="C159" s="137" t="s">
        <v>50</v>
      </c>
      <c r="D159" s="137" t="s">
        <v>50</v>
      </c>
      <c r="E159" s="137" t="s">
        <v>50</v>
      </c>
      <c r="F159" s="138" t="s">
        <v>50</v>
      </c>
      <c r="G159" s="139">
        <v>7837</v>
      </c>
      <c r="H159" s="140">
        <v>7837</v>
      </c>
      <c r="I159" s="53"/>
      <c r="J159" s="49"/>
      <c r="K159" s="48"/>
      <c r="L159"/>
      <c r="M159"/>
    </row>
    <row r="160" spans="2:13" ht="17.25" customHeight="1">
      <c r="B160" s="137" t="s">
        <v>40</v>
      </c>
      <c r="C160" s="137" t="s">
        <v>40</v>
      </c>
      <c r="D160" s="137" t="s">
        <v>40</v>
      </c>
      <c r="E160" s="137" t="s">
        <v>40</v>
      </c>
      <c r="F160" s="138" t="s">
        <v>40</v>
      </c>
      <c r="G160" s="139">
        <v>4528</v>
      </c>
      <c r="H160" s="140">
        <v>4528</v>
      </c>
      <c r="I160" s="52"/>
      <c r="J160" s="49"/>
      <c r="K160" s="48"/>
      <c r="L160"/>
      <c r="M160"/>
    </row>
    <row r="161" spans="2:13" ht="17.25" customHeight="1">
      <c r="B161" s="137" t="s">
        <v>42</v>
      </c>
      <c r="C161" s="137" t="s">
        <v>42</v>
      </c>
      <c r="D161" s="137" t="s">
        <v>42</v>
      </c>
      <c r="E161" s="137" t="s">
        <v>42</v>
      </c>
      <c r="F161" s="138" t="s">
        <v>42</v>
      </c>
      <c r="G161" s="139">
        <v>3081</v>
      </c>
      <c r="H161" s="140">
        <v>3081</v>
      </c>
      <c r="I161" s="52"/>
      <c r="J161" s="49"/>
      <c r="K161" s="48"/>
      <c r="L161"/>
      <c r="M161"/>
    </row>
    <row r="162" spans="2:13" ht="17.25" customHeight="1">
      <c r="B162" s="137" t="s">
        <v>29</v>
      </c>
      <c r="C162" s="137" t="s">
        <v>29</v>
      </c>
      <c r="D162" s="137" t="s">
        <v>29</v>
      </c>
      <c r="E162" s="137" t="s">
        <v>29</v>
      </c>
      <c r="F162" s="138" t="s">
        <v>29</v>
      </c>
      <c r="G162" s="139">
        <v>2755</v>
      </c>
      <c r="H162" s="140">
        <v>2755</v>
      </c>
      <c r="I162" s="52"/>
      <c r="J162" s="49"/>
      <c r="K162" s="48"/>
      <c r="L162"/>
      <c r="M162"/>
    </row>
    <row r="163" spans="2:13" ht="18" customHeight="1" thickBot="1">
      <c r="B163" s="154" t="s">
        <v>41</v>
      </c>
      <c r="C163" s="154" t="s">
        <v>41</v>
      </c>
      <c r="D163" s="154" t="s">
        <v>41</v>
      </c>
      <c r="E163" s="154" t="s">
        <v>41</v>
      </c>
      <c r="F163" s="146" t="s">
        <v>41</v>
      </c>
      <c r="G163" s="155">
        <v>2570</v>
      </c>
      <c r="H163" s="156">
        <v>2570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48</v>
      </c>
      <c r="C169" s="133" t="s">
        <v>48</v>
      </c>
      <c r="D169" s="133" t="s">
        <v>48</v>
      </c>
      <c r="E169" s="133" t="s">
        <v>48</v>
      </c>
      <c r="F169" s="134" t="s">
        <v>48</v>
      </c>
      <c r="G169" s="135">
        <v>3214113561933.4302</v>
      </c>
      <c r="H169" s="136">
        <v>3214113561933.4302</v>
      </c>
      <c r="I169" s="54"/>
      <c r="J169" s="55"/>
    </row>
    <row r="170" spans="2:13" ht="17.25" customHeight="1">
      <c r="B170" s="137" t="s">
        <v>37</v>
      </c>
      <c r="C170" s="137" t="s">
        <v>37</v>
      </c>
      <c r="D170" s="137" t="s">
        <v>37</v>
      </c>
      <c r="E170" s="137" t="s">
        <v>37</v>
      </c>
      <c r="F170" s="138" t="s">
        <v>37</v>
      </c>
      <c r="G170" s="139">
        <v>1979505936758.2</v>
      </c>
      <c r="H170" s="140">
        <v>1979505936758.2</v>
      </c>
      <c r="I170" s="54"/>
      <c r="J170" s="55"/>
    </row>
    <row r="171" spans="2:13" ht="17.25" customHeight="1">
      <c r="B171" s="137" t="s">
        <v>28</v>
      </c>
      <c r="C171" s="137" t="s">
        <v>28</v>
      </c>
      <c r="D171" s="137" t="s">
        <v>28</v>
      </c>
      <c r="E171" s="137" t="s">
        <v>28</v>
      </c>
      <c r="F171" s="138" t="s">
        <v>28</v>
      </c>
      <c r="G171" s="139">
        <v>1749642733391.79</v>
      </c>
      <c r="H171" s="140">
        <v>1749642733391.79</v>
      </c>
      <c r="I171" s="54"/>
      <c r="J171" s="55"/>
    </row>
    <row r="172" spans="2:13" ht="17.25" customHeight="1">
      <c r="B172" s="137" t="s">
        <v>52</v>
      </c>
      <c r="C172" s="137" t="s">
        <v>52</v>
      </c>
      <c r="D172" s="137" t="s">
        <v>52</v>
      </c>
      <c r="E172" s="137" t="s">
        <v>52</v>
      </c>
      <c r="F172" s="138" t="s">
        <v>52</v>
      </c>
      <c r="G172" s="139">
        <v>1487270312643.6001</v>
      </c>
      <c r="H172" s="140">
        <v>1487270312643.6001</v>
      </c>
      <c r="I172" s="54"/>
      <c r="J172" s="55"/>
    </row>
    <row r="173" spans="2:13" ht="17.25" customHeight="1">
      <c r="B173" s="137" t="s">
        <v>36</v>
      </c>
      <c r="C173" s="137" t="s">
        <v>36</v>
      </c>
      <c r="D173" s="137" t="s">
        <v>36</v>
      </c>
      <c r="E173" s="137" t="s">
        <v>36</v>
      </c>
      <c r="F173" s="138" t="s">
        <v>36</v>
      </c>
      <c r="G173" s="139">
        <v>1024016096444.9301</v>
      </c>
      <c r="H173" s="140">
        <v>1024016096444.9301</v>
      </c>
      <c r="I173" s="56"/>
      <c r="J173" s="49"/>
    </row>
    <row r="174" spans="2:13" ht="17.25" customHeight="1">
      <c r="B174" s="137" t="s">
        <v>42</v>
      </c>
      <c r="C174" s="137" t="s">
        <v>42</v>
      </c>
      <c r="D174" s="137" t="s">
        <v>42</v>
      </c>
      <c r="E174" s="137" t="s">
        <v>42</v>
      </c>
      <c r="F174" s="138" t="s">
        <v>42</v>
      </c>
      <c r="G174" s="139">
        <v>850447824750.30005</v>
      </c>
      <c r="H174" s="140">
        <v>850447824750.30005</v>
      </c>
      <c r="I174" s="54"/>
      <c r="J174" s="55"/>
    </row>
    <row r="175" spans="2:13" ht="17.25" customHeight="1">
      <c r="B175" s="137" t="s">
        <v>27</v>
      </c>
      <c r="C175" s="137" t="s">
        <v>27</v>
      </c>
      <c r="D175" s="137" t="s">
        <v>27</v>
      </c>
      <c r="E175" s="137" t="s">
        <v>27</v>
      </c>
      <c r="F175" s="138" t="s">
        <v>27</v>
      </c>
      <c r="G175" s="139">
        <v>619149984417.81995</v>
      </c>
      <c r="H175" s="140">
        <v>619149984417.81995</v>
      </c>
      <c r="I175" s="54"/>
      <c r="J175" s="55"/>
    </row>
    <row r="176" spans="2:13" ht="17.25" customHeight="1">
      <c r="B176" s="137" t="s">
        <v>31</v>
      </c>
      <c r="C176" s="137" t="s">
        <v>31</v>
      </c>
      <c r="D176" s="137" t="s">
        <v>31</v>
      </c>
      <c r="E176" s="137" t="s">
        <v>31</v>
      </c>
      <c r="F176" s="138" t="s">
        <v>31</v>
      </c>
      <c r="G176" s="139">
        <v>496253790030.94</v>
      </c>
      <c r="H176" s="140">
        <v>496253790030.94</v>
      </c>
      <c r="I176" s="54"/>
      <c r="J176" s="55"/>
    </row>
    <row r="177" spans="2:10" ht="17.25" customHeight="1">
      <c r="B177" s="137" t="s">
        <v>39</v>
      </c>
      <c r="C177" s="137" t="s">
        <v>39</v>
      </c>
      <c r="D177" s="137" t="s">
        <v>39</v>
      </c>
      <c r="E177" s="137" t="s">
        <v>39</v>
      </c>
      <c r="F177" s="138" t="s">
        <v>39</v>
      </c>
      <c r="G177" s="139">
        <v>484534196835.67999</v>
      </c>
      <c r="H177" s="140">
        <v>484534196835.67999</v>
      </c>
      <c r="I177" s="54"/>
      <c r="J177" s="55"/>
    </row>
    <row r="178" spans="2:10" ht="18" customHeight="1" thickBot="1">
      <c r="B178" s="154" t="s">
        <v>55</v>
      </c>
      <c r="C178" s="154" t="s">
        <v>55</v>
      </c>
      <c r="D178" s="154" t="s">
        <v>55</v>
      </c>
      <c r="E178" s="154" t="s">
        <v>55</v>
      </c>
      <c r="F178" s="146" t="s">
        <v>55</v>
      </c>
      <c r="G178" s="155">
        <v>434833421758.46002</v>
      </c>
      <c r="H178" s="156">
        <v>434833421758.46002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896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8961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7">
    <pageSetUpPr fitToPage="1"/>
  </sheetPr>
  <dimension ref="B2:N180"/>
  <sheetViews>
    <sheetView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43039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43039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43008</v>
      </c>
      <c r="F11" s="67">
        <f>B3</f>
        <v>43039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1882001</v>
      </c>
      <c r="F12" s="78">
        <v>1788146</v>
      </c>
      <c r="G12" s="11">
        <f>F12-E12</f>
        <v>-93855</v>
      </c>
      <c r="H12" s="58">
        <f t="shared" ref="H12:H18" si="0">F12/E12-1</f>
        <v>-4.9869792842830551E-2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34063</v>
      </c>
      <c r="F13" s="78">
        <v>29007</v>
      </c>
      <c r="G13" s="11">
        <f t="shared" ref="G13:G18" si="1">F13-E13</f>
        <v>-5056</v>
      </c>
      <c r="H13" s="58">
        <f t="shared" si="0"/>
        <v>-0.14843084872148671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17841</v>
      </c>
      <c r="F14" s="78">
        <v>15601</v>
      </c>
      <c r="G14" s="11">
        <f t="shared" si="1"/>
        <v>-2240</v>
      </c>
      <c r="H14" s="58">
        <f t="shared" si="0"/>
        <v>-0.12555350036432933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8055.9999999999991</v>
      </c>
      <c r="F15" s="78">
        <v>7891</v>
      </c>
      <c r="G15" s="11">
        <f t="shared" si="1"/>
        <v>-164.99999999999909</v>
      </c>
      <c r="H15" s="58">
        <f t="shared" si="0"/>
        <v>-2.0481628599801294E-2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9785</v>
      </c>
      <c r="F16" s="78">
        <v>7710</v>
      </c>
      <c r="G16" s="11">
        <f t="shared" si="1"/>
        <v>-2075</v>
      </c>
      <c r="H16" s="58">
        <f t="shared" si="0"/>
        <v>-0.21205927439959116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35687</v>
      </c>
      <c r="F17" s="78">
        <v>37053</v>
      </c>
      <c r="G17" s="11">
        <f t="shared" si="1"/>
        <v>1366</v>
      </c>
      <c r="H17" s="58">
        <f t="shared" si="0"/>
        <v>3.8277243814273998E-2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1969592</v>
      </c>
      <c r="F18" s="66">
        <v>1869807</v>
      </c>
      <c r="G18" s="66">
        <f t="shared" si="1"/>
        <v>-99785</v>
      </c>
      <c r="H18" s="63">
        <f t="shared" si="0"/>
        <v>-5.0662776859369818E-2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43008</v>
      </c>
      <c r="F22" s="67">
        <f>F11</f>
        <v>43039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1253028</v>
      </c>
      <c r="F23" s="78">
        <v>1265256</v>
      </c>
      <c r="G23" s="11">
        <f>F23-E23</f>
        <v>12228</v>
      </c>
      <c r="H23" s="58">
        <f>F23/E23-1</f>
        <v>9.7587603788582555E-3</v>
      </c>
      <c r="I23" s="80"/>
    </row>
    <row r="24" spans="2:10" s="70" customFormat="1" ht="17.25">
      <c r="B24" s="114" t="s">
        <v>1</v>
      </c>
      <c r="C24" s="114"/>
      <c r="D24" s="115"/>
      <c r="E24" s="78">
        <v>18550</v>
      </c>
      <c r="F24" s="78">
        <v>17992</v>
      </c>
      <c r="G24" s="11">
        <f t="shared" ref="G24:G29" si="2">F24-E24</f>
        <v>-558</v>
      </c>
      <c r="H24" s="58">
        <f t="shared" ref="H24:H29" si="3">F24/E24-1</f>
        <v>-3.0080862533692687E-2</v>
      </c>
      <c r="I24" s="80"/>
    </row>
    <row r="25" spans="2:10" s="70" customFormat="1" ht="17.25">
      <c r="B25" s="114" t="s">
        <v>45</v>
      </c>
      <c r="C25" s="114"/>
      <c r="D25" s="115"/>
      <c r="E25" s="78">
        <v>10474</v>
      </c>
      <c r="F25" s="78">
        <v>10117</v>
      </c>
      <c r="G25" s="11">
        <f t="shared" si="2"/>
        <v>-357</v>
      </c>
      <c r="H25" s="58">
        <f t="shared" si="3"/>
        <v>-3.4084399465342807E-2</v>
      </c>
      <c r="I25" s="80"/>
    </row>
    <row r="26" spans="2:10" s="70" customFormat="1" ht="17.25">
      <c r="B26" s="116" t="s">
        <v>46</v>
      </c>
      <c r="C26" s="116"/>
      <c r="D26" s="117"/>
      <c r="E26" s="78">
        <v>7084</v>
      </c>
      <c r="F26" s="78">
        <v>7006</v>
      </c>
      <c r="G26" s="11">
        <f t="shared" si="2"/>
        <v>-78</v>
      </c>
      <c r="H26" s="58">
        <f t="shared" si="3"/>
        <v>-1.1010728402032766E-2</v>
      </c>
      <c r="I26" s="80"/>
    </row>
    <row r="27" spans="2:10" s="70" customFormat="1" ht="17.25">
      <c r="B27" s="118" t="s">
        <v>47</v>
      </c>
      <c r="C27" s="118"/>
      <c r="D27" s="119"/>
      <c r="E27" s="78">
        <v>3390</v>
      </c>
      <c r="F27" s="78">
        <v>3111</v>
      </c>
      <c r="G27" s="11">
        <f t="shared" si="2"/>
        <v>-279</v>
      </c>
      <c r="H27" s="58">
        <f t="shared" si="3"/>
        <v>-8.2300884955752163E-2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18940</v>
      </c>
      <c r="F28" s="78">
        <v>20071</v>
      </c>
      <c r="G28" s="11">
        <f t="shared" si="2"/>
        <v>1131</v>
      </c>
      <c r="H28" s="58">
        <f t="shared" si="3"/>
        <v>5.9714889123547943E-2</v>
      </c>
      <c r="I28" s="80"/>
    </row>
    <row r="29" spans="2:10" s="64" customFormat="1" ht="18" thickBot="1">
      <c r="B29" s="59" t="s">
        <v>3</v>
      </c>
      <c r="C29" s="59"/>
      <c r="D29" s="60"/>
      <c r="E29" s="66">
        <v>1300992</v>
      </c>
      <c r="F29" s="66">
        <v>1313436</v>
      </c>
      <c r="G29" s="66">
        <f t="shared" si="2"/>
        <v>12444</v>
      </c>
      <c r="H29" s="63">
        <f t="shared" si="3"/>
        <v>9.5650088547816203E-3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43008</v>
      </c>
      <c r="F33" s="67">
        <f>F11</f>
        <v>43039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92530</v>
      </c>
      <c r="F34" s="72">
        <v>98731</v>
      </c>
      <c r="G34" s="11">
        <f t="shared" ref="G34:G40" si="4">F34-E34</f>
        <v>6201</v>
      </c>
      <c r="H34" s="58">
        <f t="shared" ref="H34:H40" si="5">F34/E34-1</f>
        <v>6.701610288555071E-2</v>
      </c>
      <c r="I34" s="57"/>
    </row>
    <row r="35" spans="2:9" ht="17.25">
      <c r="B35" s="114" t="s">
        <v>1</v>
      </c>
      <c r="C35" s="114"/>
      <c r="D35" s="115"/>
      <c r="E35" s="72">
        <v>1072</v>
      </c>
      <c r="F35" s="72">
        <v>1112</v>
      </c>
      <c r="G35" s="11">
        <f t="shared" si="4"/>
        <v>40</v>
      </c>
      <c r="H35" s="58">
        <f t="shared" si="5"/>
        <v>3.7313432835820892E-2</v>
      </c>
      <c r="I35" s="57"/>
    </row>
    <row r="36" spans="2:9" ht="17.25">
      <c r="B36" s="114" t="s">
        <v>45</v>
      </c>
      <c r="C36" s="114"/>
      <c r="D36" s="115"/>
      <c r="E36" s="72">
        <v>773</v>
      </c>
      <c r="F36" s="72">
        <v>753</v>
      </c>
      <c r="G36" s="11">
        <f t="shared" si="4"/>
        <v>-20</v>
      </c>
      <c r="H36" s="58">
        <f t="shared" si="5"/>
        <v>-2.5873221216041409E-2</v>
      </c>
      <c r="I36" s="57"/>
    </row>
    <row r="37" spans="2:9" ht="17.25">
      <c r="B37" s="116" t="s">
        <v>46</v>
      </c>
      <c r="C37" s="116"/>
      <c r="D37" s="117"/>
      <c r="E37" s="72">
        <v>471</v>
      </c>
      <c r="F37" s="72">
        <v>494</v>
      </c>
      <c r="G37" s="11">
        <f t="shared" si="4"/>
        <v>23</v>
      </c>
      <c r="H37" s="58">
        <f t="shared" si="5"/>
        <v>4.8832271762208057E-2</v>
      </c>
      <c r="I37" s="57"/>
    </row>
    <row r="38" spans="2:9" ht="17.25">
      <c r="B38" s="118" t="s">
        <v>47</v>
      </c>
      <c r="C38" s="118"/>
      <c r="D38" s="119"/>
      <c r="E38" s="72">
        <v>302</v>
      </c>
      <c r="F38" s="72">
        <v>259</v>
      </c>
      <c r="G38" s="11">
        <f t="shared" si="4"/>
        <v>-43</v>
      </c>
      <c r="H38" s="58">
        <f t="shared" si="5"/>
        <v>-0.14238410596026485</v>
      </c>
      <c r="I38" s="57"/>
    </row>
    <row r="39" spans="2:9" ht="18" customHeight="1" thickBot="1">
      <c r="B39" s="120" t="s">
        <v>2</v>
      </c>
      <c r="C39" s="120"/>
      <c r="D39" s="121"/>
      <c r="E39" s="72">
        <v>8305</v>
      </c>
      <c r="F39" s="72">
        <v>9694</v>
      </c>
      <c r="G39" s="11">
        <f t="shared" si="4"/>
        <v>1389</v>
      </c>
      <c r="H39" s="58">
        <f t="shared" si="5"/>
        <v>0.1672486453943407</v>
      </c>
      <c r="I39" s="57"/>
    </row>
    <row r="40" spans="2:9" s="64" customFormat="1" ht="18" thickBot="1">
      <c r="B40" s="59" t="s">
        <v>3</v>
      </c>
      <c r="C40" s="59"/>
      <c r="D40" s="60"/>
      <c r="E40" s="66">
        <v>102680.00000000001</v>
      </c>
      <c r="F40" s="66">
        <v>110290</v>
      </c>
      <c r="G40" s="66">
        <f t="shared" si="4"/>
        <v>7609.9999999999854</v>
      </c>
      <c r="H40" s="63">
        <f t="shared" si="5"/>
        <v>7.4113751460849198E-2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103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42885</v>
      </c>
      <c r="D83" s="67">
        <f>EDATE(E83,-1)</f>
        <v>42916</v>
      </c>
      <c r="E83" s="67">
        <f>EDATE(F83,-1)</f>
        <v>42946</v>
      </c>
      <c r="F83" s="67">
        <f>EDATE(G83,-1)</f>
        <v>42977</v>
      </c>
      <c r="G83" s="67">
        <f>EDATE(H83,-1)</f>
        <v>43008</v>
      </c>
      <c r="H83" s="67">
        <f>EDATE(E11,1)</f>
        <v>43038</v>
      </c>
      <c r="I83"/>
      <c r="J83"/>
    </row>
    <row r="84" spans="2:11" ht="16.5" customHeight="1">
      <c r="B84" s="24" t="s">
        <v>0</v>
      </c>
      <c r="C84" s="74">
        <v>1178131</v>
      </c>
      <c r="D84" s="74">
        <v>1194087</v>
      </c>
      <c r="E84" s="74">
        <v>1207926</v>
      </c>
      <c r="F84" s="74">
        <v>1224837</v>
      </c>
      <c r="G84" s="74">
        <v>1253028</v>
      </c>
      <c r="H84" s="74">
        <v>1265256</v>
      </c>
    </row>
    <row r="85" spans="2:11" ht="16.5" customHeight="1">
      <c r="B85" s="25" t="s">
        <v>1</v>
      </c>
      <c r="C85" s="75">
        <v>18473</v>
      </c>
      <c r="D85" s="75">
        <v>18588</v>
      </c>
      <c r="E85" s="75">
        <v>18578</v>
      </c>
      <c r="F85" s="75">
        <v>18539</v>
      </c>
      <c r="G85" s="75">
        <v>18550</v>
      </c>
      <c r="H85" s="75">
        <v>17992</v>
      </c>
    </row>
    <row r="86" spans="2:11" ht="16.5" customHeight="1">
      <c r="B86" s="26" t="s">
        <v>45</v>
      </c>
      <c r="C86" s="77">
        <v>9591</v>
      </c>
      <c r="D86" s="77">
        <v>9805</v>
      </c>
      <c r="E86" s="77">
        <v>9901</v>
      </c>
      <c r="F86" s="77">
        <v>10116</v>
      </c>
      <c r="G86" s="77">
        <v>10474</v>
      </c>
      <c r="H86" s="77">
        <v>10117</v>
      </c>
    </row>
    <row r="87" spans="2:11" ht="16.5" customHeight="1" thickBot="1">
      <c r="B87" s="27" t="s">
        <v>2</v>
      </c>
      <c r="C87" s="73">
        <v>15082</v>
      </c>
      <c r="D87" s="73">
        <v>15779</v>
      </c>
      <c r="E87" s="73">
        <v>16881</v>
      </c>
      <c r="F87" s="73">
        <v>18110</v>
      </c>
      <c r="G87" s="73">
        <v>18940</v>
      </c>
      <c r="H87" s="73">
        <v>20071</v>
      </c>
    </row>
    <row r="88" spans="2:11" s="65" customFormat="1" ht="18" thickBot="1">
      <c r="B88" s="102" t="s">
        <v>3</v>
      </c>
      <c r="C88" s="76">
        <v>1221277</v>
      </c>
      <c r="D88" s="76">
        <v>1238259</v>
      </c>
      <c r="E88" s="76">
        <v>1253286</v>
      </c>
      <c r="F88" s="76">
        <v>1271602</v>
      </c>
      <c r="G88" s="76">
        <v>1300992</v>
      </c>
      <c r="H88" s="76">
        <v>1313436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43039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320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43039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38</v>
      </c>
      <c r="C139" s="133" t="s">
        <v>38</v>
      </c>
      <c r="D139" s="133" t="s">
        <v>38</v>
      </c>
      <c r="E139" s="133" t="s">
        <v>38</v>
      </c>
      <c r="F139" s="134" t="s">
        <v>38</v>
      </c>
      <c r="G139" s="135">
        <v>270085</v>
      </c>
      <c r="H139" s="136">
        <v>270085</v>
      </c>
      <c r="I139" s="46"/>
      <c r="J139" s="49"/>
    </row>
    <row r="140" spans="2:10" ht="13.5" customHeight="1">
      <c r="B140" s="137" t="s">
        <v>28</v>
      </c>
      <c r="C140" s="137" t="s">
        <v>28</v>
      </c>
      <c r="D140" s="137" t="s">
        <v>28</v>
      </c>
      <c r="E140" s="137" t="s">
        <v>28</v>
      </c>
      <c r="F140" s="138" t="s">
        <v>28</v>
      </c>
      <c r="G140" s="139">
        <v>252734</v>
      </c>
      <c r="H140" s="140">
        <v>252734</v>
      </c>
      <c r="I140" s="46"/>
      <c r="J140" s="49"/>
    </row>
    <row r="141" spans="2:10" ht="17.25" customHeight="1">
      <c r="B141" s="137" t="s">
        <v>27</v>
      </c>
      <c r="C141" s="137" t="s">
        <v>27</v>
      </c>
      <c r="D141" s="137" t="s">
        <v>27</v>
      </c>
      <c r="E141" s="137" t="s">
        <v>27</v>
      </c>
      <c r="F141" s="138" t="s">
        <v>27</v>
      </c>
      <c r="G141" s="139">
        <v>246022</v>
      </c>
      <c r="H141" s="140">
        <v>246022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177535</v>
      </c>
      <c r="H142" s="140">
        <v>177535</v>
      </c>
      <c r="I142" s="46"/>
      <c r="J142" s="49"/>
    </row>
    <row r="143" spans="2:10" ht="17.25" customHeight="1">
      <c r="B143" s="137" t="s">
        <v>37</v>
      </c>
      <c r="C143" s="137" t="s">
        <v>37</v>
      </c>
      <c r="D143" s="137" t="s">
        <v>37</v>
      </c>
      <c r="E143" s="137" t="s">
        <v>37</v>
      </c>
      <c r="F143" s="138" t="s">
        <v>37</v>
      </c>
      <c r="G143" s="139">
        <v>115810</v>
      </c>
      <c r="H143" s="140">
        <v>115810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61646</v>
      </c>
      <c r="H144" s="140">
        <v>61646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52140</v>
      </c>
      <c r="H145" s="140">
        <v>52140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34257</v>
      </c>
      <c r="H146" s="140">
        <v>34257</v>
      </c>
      <c r="I146" s="46"/>
      <c r="J146" s="49"/>
    </row>
    <row r="147" spans="2:13" ht="17.25" customHeight="1">
      <c r="B147" s="137" t="s">
        <v>53</v>
      </c>
      <c r="C147" s="137" t="s">
        <v>53</v>
      </c>
      <c r="D147" s="137" t="s">
        <v>53</v>
      </c>
      <c r="E147" s="137" t="s">
        <v>53</v>
      </c>
      <c r="F147" s="138" t="s">
        <v>53</v>
      </c>
      <c r="G147" s="139">
        <v>22810</v>
      </c>
      <c r="H147" s="140">
        <v>22810</v>
      </c>
      <c r="I147" s="46"/>
      <c r="J147" s="49"/>
      <c r="L147"/>
    </row>
    <row r="148" spans="2:13" ht="18" customHeight="1" thickBot="1">
      <c r="B148" s="154" t="s">
        <v>41</v>
      </c>
      <c r="C148" s="154" t="s">
        <v>41</v>
      </c>
      <c r="D148" s="154" t="s">
        <v>41</v>
      </c>
      <c r="E148" s="154" t="s">
        <v>41</v>
      </c>
      <c r="F148" s="146" t="s">
        <v>41</v>
      </c>
      <c r="G148" s="155">
        <v>21084</v>
      </c>
      <c r="H148" s="156">
        <v>21084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18769</v>
      </c>
      <c r="H154" s="136">
        <v>18769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17009</v>
      </c>
      <c r="H155" s="140">
        <v>17009</v>
      </c>
      <c r="I155" s="52"/>
      <c r="J155" s="49"/>
      <c r="K155" s="48"/>
      <c r="L155"/>
      <c r="M155"/>
    </row>
    <row r="156" spans="2:13" ht="17.25" customHeight="1">
      <c r="B156" s="137" t="s">
        <v>27</v>
      </c>
      <c r="C156" s="137" t="s">
        <v>27</v>
      </c>
      <c r="D156" s="137" t="s">
        <v>27</v>
      </c>
      <c r="E156" s="137" t="s">
        <v>27</v>
      </c>
      <c r="F156" s="138" t="s">
        <v>27</v>
      </c>
      <c r="G156" s="139">
        <v>14761</v>
      </c>
      <c r="H156" s="140">
        <v>14761</v>
      </c>
      <c r="I156" s="52"/>
      <c r="J156" s="49"/>
      <c r="K156" s="48"/>
      <c r="L156"/>
      <c r="M156"/>
    </row>
    <row r="157" spans="2:13" ht="17.25">
      <c r="B157" s="137" t="s">
        <v>37</v>
      </c>
      <c r="C157" s="137" t="s">
        <v>37</v>
      </c>
      <c r="D157" s="137" t="s">
        <v>37</v>
      </c>
      <c r="E157" s="137" t="s">
        <v>37</v>
      </c>
      <c r="F157" s="138" t="s">
        <v>37</v>
      </c>
      <c r="G157" s="139">
        <v>13232</v>
      </c>
      <c r="H157" s="140">
        <v>13232</v>
      </c>
      <c r="I157" s="52"/>
      <c r="J157" s="49"/>
      <c r="K157" s="48"/>
      <c r="L157"/>
      <c r="M157"/>
    </row>
    <row r="158" spans="2:13" ht="17.25" customHeight="1">
      <c r="B158" s="137" t="s">
        <v>38</v>
      </c>
      <c r="C158" s="137" t="s">
        <v>38</v>
      </c>
      <c r="D158" s="137" t="s">
        <v>38</v>
      </c>
      <c r="E158" s="137" t="s">
        <v>38</v>
      </c>
      <c r="F158" s="138" t="s">
        <v>38</v>
      </c>
      <c r="G158" s="139">
        <v>12947</v>
      </c>
      <c r="H158" s="140">
        <v>12947</v>
      </c>
      <c r="I158" s="52"/>
      <c r="J158" s="49"/>
      <c r="K158" s="48"/>
      <c r="L158"/>
      <c r="M158"/>
    </row>
    <row r="159" spans="2:13" ht="17.25" customHeight="1">
      <c r="B159" s="137" t="s">
        <v>50</v>
      </c>
      <c r="C159" s="137" t="s">
        <v>50</v>
      </c>
      <c r="D159" s="137" t="s">
        <v>50</v>
      </c>
      <c r="E159" s="137" t="s">
        <v>50</v>
      </c>
      <c r="F159" s="138" t="s">
        <v>50</v>
      </c>
      <c r="G159" s="139">
        <v>9186</v>
      </c>
      <c r="H159" s="140">
        <v>9186</v>
      </c>
      <c r="I159" s="53"/>
      <c r="J159" s="49"/>
      <c r="K159" s="48"/>
      <c r="L159"/>
      <c r="M159"/>
    </row>
    <row r="160" spans="2:13" ht="17.25" customHeight="1">
      <c r="B160" s="137" t="s">
        <v>40</v>
      </c>
      <c r="C160" s="137" t="s">
        <v>40</v>
      </c>
      <c r="D160" s="137" t="s">
        <v>40</v>
      </c>
      <c r="E160" s="137" t="s">
        <v>40</v>
      </c>
      <c r="F160" s="138" t="s">
        <v>40</v>
      </c>
      <c r="G160" s="139">
        <v>4679</v>
      </c>
      <c r="H160" s="140">
        <v>4679</v>
      </c>
      <c r="I160" s="52"/>
      <c r="J160" s="49"/>
      <c r="K160" s="48"/>
      <c r="L160"/>
      <c r="M160"/>
    </row>
    <row r="161" spans="2:13" ht="17.25" customHeight="1">
      <c r="B161" s="137" t="s">
        <v>42</v>
      </c>
      <c r="C161" s="137" t="s">
        <v>42</v>
      </c>
      <c r="D161" s="137" t="s">
        <v>42</v>
      </c>
      <c r="E161" s="137" t="s">
        <v>42</v>
      </c>
      <c r="F161" s="138" t="s">
        <v>42</v>
      </c>
      <c r="G161" s="139">
        <v>3197</v>
      </c>
      <c r="H161" s="140">
        <v>3197</v>
      </c>
      <c r="I161" s="52"/>
      <c r="J161" s="49"/>
      <c r="K161" s="48"/>
      <c r="L161"/>
      <c r="M161"/>
    </row>
    <row r="162" spans="2:13" ht="17.25" customHeight="1">
      <c r="B162" s="137" t="s">
        <v>29</v>
      </c>
      <c r="C162" s="137" t="s">
        <v>29</v>
      </c>
      <c r="D162" s="137" t="s">
        <v>29</v>
      </c>
      <c r="E162" s="137" t="s">
        <v>29</v>
      </c>
      <c r="F162" s="138" t="s">
        <v>29</v>
      </c>
      <c r="G162" s="139">
        <v>2711</v>
      </c>
      <c r="H162" s="140">
        <v>2711</v>
      </c>
      <c r="I162" s="52"/>
      <c r="J162" s="49"/>
      <c r="K162" s="48"/>
      <c r="L162"/>
      <c r="M162"/>
    </row>
    <row r="163" spans="2:13" ht="18" customHeight="1" thickBot="1">
      <c r="B163" s="154" t="s">
        <v>41</v>
      </c>
      <c r="C163" s="154" t="s">
        <v>41</v>
      </c>
      <c r="D163" s="154" t="s">
        <v>41</v>
      </c>
      <c r="E163" s="154" t="s">
        <v>41</v>
      </c>
      <c r="F163" s="146" t="s">
        <v>41</v>
      </c>
      <c r="G163" s="155">
        <v>2550</v>
      </c>
      <c r="H163" s="156">
        <v>2550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48</v>
      </c>
      <c r="C169" s="133" t="s">
        <v>48</v>
      </c>
      <c r="D169" s="133" t="s">
        <v>48</v>
      </c>
      <c r="E169" s="133" t="s">
        <v>48</v>
      </c>
      <c r="F169" s="134" t="s">
        <v>48</v>
      </c>
      <c r="G169" s="135">
        <v>2973848855660.0898</v>
      </c>
      <c r="H169" s="136">
        <v>2973848855660.0898</v>
      </c>
      <c r="I169" s="54"/>
      <c r="J169" s="55"/>
    </row>
    <row r="170" spans="2:13" ht="17.25" customHeight="1">
      <c r="B170" s="137" t="s">
        <v>37</v>
      </c>
      <c r="C170" s="137" t="s">
        <v>37</v>
      </c>
      <c r="D170" s="137" t="s">
        <v>37</v>
      </c>
      <c r="E170" s="137" t="s">
        <v>37</v>
      </c>
      <c r="F170" s="138" t="s">
        <v>37</v>
      </c>
      <c r="G170" s="139">
        <v>2508462121734.3599</v>
      </c>
      <c r="H170" s="140">
        <v>2508462121734.3599</v>
      </c>
      <c r="I170" s="54"/>
      <c r="J170" s="55"/>
    </row>
    <row r="171" spans="2:13" ht="17.25" customHeight="1">
      <c r="B171" s="137" t="s">
        <v>52</v>
      </c>
      <c r="C171" s="137" t="s">
        <v>52</v>
      </c>
      <c r="D171" s="137" t="s">
        <v>52</v>
      </c>
      <c r="E171" s="137" t="s">
        <v>52</v>
      </c>
      <c r="F171" s="138" t="s">
        <v>52</v>
      </c>
      <c r="G171" s="139">
        <v>1727543483087.6001</v>
      </c>
      <c r="H171" s="140">
        <v>1727543483087.6001</v>
      </c>
      <c r="I171" s="54"/>
      <c r="J171" s="55"/>
    </row>
    <row r="172" spans="2:13" ht="17.25" customHeight="1">
      <c r="B172" s="137" t="s">
        <v>28</v>
      </c>
      <c r="C172" s="137" t="s">
        <v>28</v>
      </c>
      <c r="D172" s="137" t="s">
        <v>28</v>
      </c>
      <c r="E172" s="137" t="s">
        <v>28</v>
      </c>
      <c r="F172" s="138" t="s">
        <v>28</v>
      </c>
      <c r="G172" s="139">
        <v>1466849607238.5801</v>
      </c>
      <c r="H172" s="140">
        <v>1466849607238.5801</v>
      </c>
      <c r="I172" s="54"/>
      <c r="J172" s="55"/>
    </row>
    <row r="173" spans="2:13" ht="17.25" customHeight="1">
      <c r="B173" s="137" t="s">
        <v>36</v>
      </c>
      <c r="C173" s="137" t="s">
        <v>36</v>
      </c>
      <c r="D173" s="137" t="s">
        <v>36</v>
      </c>
      <c r="E173" s="137" t="s">
        <v>36</v>
      </c>
      <c r="F173" s="138" t="s">
        <v>36</v>
      </c>
      <c r="G173" s="139">
        <v>1125715043330.6001</v>
      </c>
      <c r="H173" s="140">
        <v>1125715043330.6001</v>
      </c>
      <c r="I173" s="56"/>
      <c r="J173" s="49"/>
    </row>
    <row r="174" spans="2:13" ht="17.25" customHeight="1">
      <c r="B174" s="137" t="s">
        <v>42</v>
      </c>
      <c r="C174" s="137" t="s">
        <v>42</v>
      </c>
      <c r="D174" s="137" t="s">
        <v>42</v>
      </c>
      <c r="E174" s="137" t="s">
        <v>42</v>
      </c>
      <c r="F174" s="138" t="s">
        <v>42</v>
      </c>
      <c r="G174" s="139">
        <v>769670321224.89001</v>
      </c>
      <c r="H174" s="140">
        <v>769670321224.89001</v>
      </c>
      <c r="I174" s="54"/>
      <c r="J174" s="55"/>
    </row>
    <row r="175" spans="2:13" ht="17.25" customHeight="1">
      <c r="B175" s="137" t="s">
        <v>39</v>
      </c>
      <c r="C175" s="137" t="s">
        <v>39</v>
      </c>
      <c r="D175" s="137" t="s">
        <v>39</v>
      </c>
      <c r="E175" s="137" t="s">
        <v>39</v>
      </c>
      <c r="F175" s="138" t="s">
        <v>39</v>
      </c>
      <c r="G175" s="139">
        <v>523210431890.03998</v>
      </c>
      <c r="H175" s="140">
        <v>523210431890.03998</v>
      </c>
      <c r="I175" s="54"/>
      <c r="J175" s="55"/>
    </row>
    <row r="176" spans="2:13" ht="17.25" customHeight="1">
      <c r="B176" s="137" t="s">
        <v>27</v>
      </c>
      <c r="C176" s="137" t="s">
        <v>27</v>
      </c>
      <c r="D176" s="137" t="s">
        <v>27</v>
      </c>
      <c r="E176" s="137" t="s">
        <v>27</v>
      </c>
      <c r="F176" s="138" t="s">
        <v>27</v>
      </c>
      <c r="G176" s="139">
        <v>504624154920.27002</v>
      </c>
      <c r="H176" s="140">
        <v>504624154920.27002</v>
      </c>
      <c r="I176" s="54"/>
      <c r="J176" s="55"/>
    </row>
    <row r="177" spans="2:10" ht="17.25" customHeight="1">
      <c r="B177" s="137" t="s">
        <v>31</v>
      </c>
      <c r="C177" s="137" t="s">
        <v>31</v>
      </c>
      <c r="D177" s="137" t="s">
        <v>31</v>
      </c>
      <c r="E177" s="137" t="s">
        <v>31</v>
      </c>
      <c r="F177" s="138" t="s">
        <v>31</v>
      </c>
      <c r="G177" s="139">
        <v>405390547289.07001</v>
      </c>
      <c r="H177" s="140">
        <v>405390547289.07001</v>
      </c>
      <c r="I177" s="54"/>
      <c r="J177" s="55"/>
    </row>
    <row r="178" spans="2:10" ht="18" customHeight="1" thickBot="1">
      <c r="B178" s="154" t="s">
        <v>55</v>
      </c>
      <c r="C178" s="154" t="s">
        <v>55</v>
      </c>
      <c r="D178" s="154" t="s">
        <v>55</v>
      </c>
      <c r="E178" s="154" t="s">
        <v>55</v>
      </c>
      <c r="F178" s="146" t="s">
        <v>55</v>
      </c>
      <c r="G178" s="155">
        <v>399345576658.81</v>
      </c>
      <c r="H178" s="156">
        <v>399345576658.81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998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9985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8">
    <pageSetUpPr fitToPage="1"/>
  </sheetPr>
  <dimension ref="B2:N180"/>
  <sheetViews>
    <sheetView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43069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43069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43038</v>
      </c>
      <c r="F11" s="67">
        <f>B3</f>
        <v>43069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1788146</v>
      </c>
      <c r="F12" s="78">
        <v>1803826</v>
      </c>
      <c r="G12" s="11">
        <f>F12-E12</f>
        <v>15680</v>
      </c>
      <c r="H12" s="58">
        <f t="shared" ref="H12:H18" si="0">F12/E12-1</f>
        <v>8.7688589186789567E-3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29007</v>
      </c>
      <c r="F13" s="78">
        <v>29541</v>
      </c>
      <c r="G13" s="11">
        <f t="shared" ref="G13:G18" si="1">F13-E13</f>
        <v>534</v>
      </c>
      <c r="H13" s="58">
        <f t="shared" si="0"/>
        <v>1.8409349467370051E-2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15601</v>
      </c>
      <c r="F14" s="78">
        <v>14946</v>
      </c>
      <c r="G14" s="11">
        <f t="shared" si="1"/>
        <v>-655</v>
      </c>
      <c r="H14" s="58">
        <f t="shared" si="0"/>
        <v>-4.1984488173835044E-2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7891</v>
      </c>
      <c r="F15" s="78">
        <v>7772</v>
      </c>
      <c r="G15" s="11">
        <f t="shared" si="1"/>
        <v>-119</v>
      </c>
      <c r="H15" s="58">
        <f t="shared" si="0"/>
        <v>-1.5080471423140285E-2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7710</v>
      </c>
      <c r="F16" s="78">
        <v>7174</v>
      </c>
      <c r="G16" s="11">
        <f t="shared" si="1"/>
        <v>-536</v>
      </c>
      <c r="H16" s="58">
        <f t="shared" si="0"/>
        <v>-6.9520103761348873E-2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37053</v>
      </c>
      <c r="F17" s="78">
        <v>47821.999999999993</v>
      </c>
      <c r="G17" s="11">
        <f t="shared" si="1"/>
        <v>10768.999999999993</v>
      </c>
      <c r="H17" s="58">
        <f t="shared" si="0"/>
        <v>0.29063773513615621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1869807</v>
      </c>
      <c r="F18" s="66">
        <v>1896135</v>
      </c>
      <c r="G18" s="66">
        <f t="shared" si="1"/>
        <v>26328</v>
      </c>
      <c r="H18" s="63">
        <f t="shared" si="0"/>
        <v>1.408059762317726E-2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43038</v>
      </c>
      <c r="F22" s="67">
        <f>F11</f>
        <v>43069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1265256</v>
      </c>
      <c r="F23" s="78">
        <v>1284771.0000000002</v>
      </c>
      <c r="G23" s="11">
        <f>F23-E23</f>
        <v>19515.000000000233</v>
      </c>
      <c r="H23" s="58">
        <f>F23/E23-1</f>
        <v>1.542375614104996E-2</v>
      </c>
      <c r="I23" s="80"/>
    </row>
    <row r="24" spans="2:10" s="70" customFormat="1" ht="17.25">
      <c r="B24" s="114" t="s">
        <v>1</v>
      </c>
      <c r="C24" s="114"/>
      <c r="D24" s="115"/>
      <c r="E24" s="78">
        <v>17992</v>
      </c>
      <c r="F24" s="78">
        <v>17818</v>
      </c>
      <c r="G24" s="11">
        <f t="shared" ref="G24:G29" si="2">F24-E24</f>
        <v>-174</v>
      </c>
      <c r="H24" s="58">
        <f t="shared" ref="H24:H29" si="3">F24/E24-1</f>
        <v>-9.6709648732770104E-3</v>
      </c>
      <c r="I24" s="80"/>
    </row>
    <row r="25" spans="2:10" s="70" customFormat="1" ht="17.25">
      <c r="B25" s="114" t="s">
        <v>45</v>
      </c>
      <c r="C25" s="114"/>
      <c r="D25" s="115"/>
      <c r="E25" s="78">
        <v>10117</v>
      </c>
      <c r="F25" s="78">
        <v>10090</v>
      </c>
      <c r="G25" s="11">
        <f t="shared" si="2"/>
        <v>-27</v>
      </c>
      <c r="H25" s="58">
        <f t="shared" si="3"/>
        <v>-2.6687753286547267E-3</v>
      </c>
      <c r="I25" s="80"/>
    </row>
    <row r="26" spans="2:10" s="70" customFormat="1" ht="17.25">
      <c r="B26" s="116" t="s">
        <v>46</v>
      </c>
      <c r="C26" s="116"/>
      <c r="D26" s="117"/>
      <c r="E26" s="78">
        <v>7006</v>
      </c>
      <c r="F26" s="78">
        <v>7068</v>
      </c>
      <c r="G26" s="11">
        <f t="shared" si="2"/>
        <v>62</v>
      </c>
      <c r="H26" s="58">
        <f t="shared" si="3"/>
        <v>8.8495575221239076E-3</v>
      </c>
      <c r="I26" s="80"/>
    </row>
    <row r="27" spans="2:10" s="70" customFormat="1" ht="17.25">
      <c r="B27" s="118" t="s">
        <v>47</v>
      </c>
      <c r="C27" s="118"/>
      <c r="D27" s="119"/>
      <c r="E27" s="78">
        <v>3111</v>
      </c>
      <c r="F27" s="78">
        <v>3022</v>
      </c>
      <c r="G27" s="11">
        <f t="shared" si="2"/>
        <v>-89</v>
      </c>
      <c r="H27" s="58">
        <f t="shared" si="3"/>
        <v>-2.8608164577306305E-2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20071</v>
      </c>
      <c r="F28" s="78">
        <v>20882.999999999996</v>
      </c>
      <c r="G28" s="11">
        <f t="shared" si="2"/>
        <v>811.99999999999636</v>
      </c>
      <c r="H28" s="58">
        <f t="shared" si="3"/>
        <v>4.0456379851526947E-2</v>
      </c>
      <c r="I28" s="80"/>
    </row>
    <row r="29" spans="2:10" s="64" customFormat="1" ht="18" thickBot="1">
      <c r="B29" s="59" t="s">
        <v>3</v>
      </c>
      <c r="C29" s="59"/>
      <c r="D29" s="60"/>
      <c r="E29" s="66">
        <v>1313436</v>
      </c>
      <c r="F29" s="66">
        <v>1333561.9999999998</v>
      </c>
      <c r="G29" s="66">
        <f t="shared" si="2"/>
        <v>20125.999999999767</v>
      </c>
      <c r="H29" s="63">
        <f t="shared" si="3"/>
        <v>1.5323167630550527E-2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43038</v>
      </c>
      <c r="F33" s="67">
        <f>F11</f>
        <v>43069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98731</v>
      </c>
      <c r="F34" s="72">
        <v>107680.00000000001</v>
      </c>
      <c r="G34" s="11">
        <f t="shared" ref="G34:G40" si="4">F34-E34</f>
        <v>8949.0000000000146</v>
      </c>
      <c r="H34" s="58">
        <f t="shared" ref="H34:H40" si="5">F34/E34-1</f>
        <v>9.0640224448248485E-2</v>
      </c>
      <c r="I34" s="57"/>
    </row>
    <row r="35" spans="2:9" ht="17.25">
      <c r="B35" s="114" t="s">
        <v>1</v>
      </c>
      <c r="C35" s="114"/>
      <c r="D35" s="115"/>
      <c r="E35" s="72">
        <v>1112</v>
      </c>
      <c r="F35" s="72">
        <v>1084</v>
      </c>
      <c r="G35" s="11">
        <f t="shared" si="4"/>
        <v>-28</v>
      </c>
      <c r="H35" s="58">
        <f t="shared" si="5"/>
        <v>-2.5179856115107868E-2</v>
      </c>
      <c r="I35" s="57"/>
    </row>
    <row r="36" spans="2:9" ht="17.25">
      <c r="B36" s="114" t="s">
        <v>45</v>
      </c>
      <c r="C36" s="114"/>
      <c r="D36" s="115"/>
      <c r="E36" s="72">
        <v>753</v>
      </c>
      <c r="F36" s="72">
        <v>835</v>
      </c>
      <c r="G36" s="11">
        <f t="shared" si="4"/>
        <v>82</v>
      </c>
      <c r="H36" s="58">
        <f t="shared" si="5"/>
        <v>0.10889774236387773</v>
      </c>
      <c r="I36" s="57"/>
    </row>
    <row r="37" spans="2:9" ht="17.25">
      <c r="B37" s="116" t="s">
        <v>46</v>
      </c>
      <c r="C37" s="116"/>
      <c r="D37" s="117"/>
      <c r="E37" s="72">
        <v>494</v>
      </c>
      <c r="F37" s="72">
        <v>570</v>
      </c>
      <c r="G37" s="11">
        <f t="shared" si="4"/>
        <v>76</v>
      </c>
      <c r="H37" s="58">
        <f t="shared" si="5"/>
        <v>0.15384615384615374</v>
      </c>
      <c r="I37" s="57"/>
    </row>
    <row r="38" spans="2:9" ht="17.25">
      <c r="B38" s="118" t="s">
        <v>47</v>
      </c>
      <c r="C38" s="118"/>
      <c r="D38" s="119"/>
      <c r="E38" s="72">
        <v>259</v>
      </c>
      <c r="F38" s="72">
        <v>265</v>
      </c>
      <c r="G38" s="11">
        <f t="shared" si="4"/>
        <v>6</v>
      </c>
      <c r="H38" s="58">
        <f t="shared" si="5"/>
        <v>2.316602316602312E-2</v>
      </c>
      <c r="I38" s="57"/>
    </row>
    <row r="39" spans="2:9" ht="18" customHeight="1" thickBot="1">
      <c r="B39" s="120" t="s">
        <v>2</v>
      </c>
      <c r="C39" s="120"/>
      <c r="D39" s="121"/>
      <c r="E39" s="72">
        <v>9694</v>
      </c>
      <c r="F39" s="72">
        <v>6301</v>
      </c>
      <c r="G39" s="11">
        <f t="shared" si="4"/>
        <v>-3393</v>
      </c>
      <c r="H39" s="58">
        <f t="shared" si="5"/>
        <v>-0.35001031565917062</v>
      </c>
      <c r="I39" s="57"/>
    </row>
    <row r="40" spans="2:9" s="64" customFormat="1" ht="18" thickBot="1">
      <c r="B40" s="59" t="s">
        <v>3</v>
      </c>
      <c r="C40" s="59"/>
      <c r="D40" s="60"/>
      <c r="E40" s="66">
        <v>110290</v>
      </c>
      <c r="F40" s="66">
        <v>115900</v>
      </c>
      <c r="G40" s="66">
        <f t="shared" si="4"/>
        <v>5610</v>
      </c>
      <c r="H40" s="63">
        <f t="shared" si="5"/>
        <v>5.086589899356242E-2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5" t="s">
        <v>0</v>
      </c>
      <c r="C50" s="125"/>
      <c r="D50" s="126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27" t="s">
        <v>1</v>
      </c>
      <c r="C51" s="127"/>
      <c r="D51" s="128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29" t="s">
        <v>45</v>
      </c>
      <c r="C52" s="129"/>
      <c r="D52" s="130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1" t="s">
        <v>2</v>
      </c>
      <c r="C53" s="131"/>
      <c r="D53" s="132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41" t="s">
        <v>3</v>
      </c>
      <c r="C54" s="141"/>
      <c r="D54" s="142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105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42916</v>
      </c>
      <c r="D83" s="67">
        <f>EDATE(E83,-1)</f>
        <v>42946</v>
      </c>
      <c r="E83" s="67">
        <f>EDATE(F83,-1)</f>
        <v>42977</v>
      </c>
      <c r="F83" s="67">
        <f>EDATE(G83,-1)</f>
        <v>43008</v>
      </c>
      <c r="G83" s="67">
        <f>EDATE(H83,-1)</f>
        <v>43038</v>
      </c>
      <c r="H83" s="67">
        <f>EDATE(E11,1)</f>
        <v>43069</v>
      </c>
      <c r="I83"/>
      <c r="J83"/>
    </row>
    <row r="84" spans="2:11" ht="16.5" customHeight="1">
      <c r="B84" s="24" t="s">
        <v>0</v>
      </c>
      <c r="C84" s="74">
        <v>1194087</v>
      </c>
      <c r="D84" s="74">
        <v>1207926</v>
      </c>
      <c r="E84" s="74">
        <v>1224837</v>
      </c>
      <c r="F84" s="74">
        <v>1253028</v>
      </c>
      <c r="G84" s="74">
        <v>1265256</v>
      </c>
      <c r="H84" s="74">
        <v>1284771.0000000002</v>
      </c>
    </row>
    <row r="85" spans="2:11" ht="16.5" customHeight="1">
      <c r="B85" s="25" t="s">
        <v>1</v>
      </c>
      <c r="C85" s="75">
        <v>18588</v>
      </c>
      <c r="D85" s="75">
        <v>18578</v>
      </c>
      <c r="E85" s="75">
        <v>18539</v>
      </c>
      <c r="F85" s="75">
        <v>18550</v>
      </c>
      <c r="G85" s="75">
        <v>17992</v>
      </c>
      <c r="H85" s="75">
        <v>17818</v>
      </c>
    </row>
    <row r="86" spans="2:11" ht="16.5" customHeight="1">
      <c r="B86" s="26" t="s">
        <v>45</v>
      </c>
      <c r="C86" s="77">
        <v>9805</v>
      </c>
      <c r="D86" s="77">
        <v>9901</v>
      </c>
      <c r="E86" s="77">
        <v>10116</v>
      </c>
      <c r="F86" s="77">
        <v>10474</v>
      </c>
      <c r="G86" s="77">
        <v>10117</v>
      </c>
      <c r="H86" s="77">
        <v>10090</v>
      </c>
    </row>
    <row r="87" spans="2:11" ht="16.5" customHeight="1" thickBot="1">
      <c r="B87" s="27" t="s">
        <v>2</v>
      </c>
      <c r="C87" s="73">
        <v>15779</v>
      </c>
      <c r="D87" s="73">
        <v>16881</v>
      </c>
      <c r="E87" s="73">
        <v>18110</v>
      </c>
      <c r="F87" s="73">
        <v>18940</v>
      </c>
      <c r="G87" s="73">
        <v>20071</v>
      </c>
      <c r="H87" s="73">
        <v>20882.999999999996</v>
      </c>
    </row>
    <row r="88" spans="2:11" s="65" customFormat="1" ht="18" thickBot="1">
      <c r="B88" s="104" t="s">
        <v>3</v>
      </c>
      <c r="C88" s="76">
        <v>1238259</v>
      </c>
      <c r="D88" s="76">
        <v>1253286</v>
      </c>
      <c r="E88" s="76">
        <v>1271602</v>
      </c>
      <c r="F88" s="76">
        <v>1300992</v>
      </c>
      <c r="G88" s="76">
        <v>1313436</v>
      </c>
      <c r="H88" s="76">
        <v>1333561.9999999998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43069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324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43069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57</v>
      </c>
      <c r="C139" s="133" t="s">
        <v>57</v>
      </c>
      <c r="D139" s="133" t="s">
        <v>57</v>
      </c>
      <c r="E139" s="133" t="s">
        <v>57</v>
      </c>
      <c r="F139" s="134" t="s">
        <v>57</v>
      </c>
      <c r="G139" s="135">
        <v>274517</v>
      </c>
      <c r="H139" s="136">
        <v>274517</v>
      </c>
      <c r="I139" s="46"/>
      <c r="J139" s="49"/>
    </row>
    <row r="140" spans="2:10" ht="13.5" customHeight="1">
      <c r="B140" s="137" t="s">
        <v>28</v>
      </c>
      <c r="C140" s="137" t="s">
        <v>28</v>
      </c>
      <c r="D140" s="137" t="s">
        <v>28</v>
      </c>
      <c r="E140" s="137" t="s">
        <v>28</v>
      </c>
      <c r="F140" s="138" t="s">
        <v>28</v>
      </c>
      <c r="G140" s="139">
        <v>260373</v>
      </c>
      <c r="H140" s="140">
        <v>260373</v>
      </c>
      <c r="I140" s="46"/>
      <c r="J140" s="49"/>
    </row>
    <row r="141" spans="2:10" ht="17.25" customHeight="1">
      <c r="B141" s="137" t="s">
        <v>27</v>
      </c>
      <c r="C141" s="137" t="s">
        <v>27</v>
      </c>
      <c r="D141" s="137" t="s">
        <v>27</v>
      </c>
      <c r="E141" s="137" t="s">
        <v>27</v>
      </c>
      <c r="F141" s="138" t="s">
        <v>27</v>
      </c>
      <c r="G141" s="139">
        <v>251644</v>
      </c>
      <c r="H141" s="140">
        <v>251644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179726</v>
      </c>
      <c r="H142" s="140">
        <v>179726</v>
      </c>
      <c r="I142" s="46"/>
      <c r="J142" s="49"/>
    </row>
    <row r="143" spans="2:10" ht="17.25" customHeight="1">
      <c r="B143" s="137" t="s">
        <v>58</v>
      </c>
      <c r="C143" s="137" t="s">
        <v>58</v>
      </c>
      <c r="D143" s="137" t="s">
        <v>58</v>
      </c>
      <c r="E143" s="137" t="s">
        <v>58</v>
      </c>
      <c r="F143" s="138" t="s">
        <v>58</v>
      </c>
      <c r="G143" s="139">
        <v>117279</v>
      </c>
      <c r="H143" s="140">
        <v>117279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62128</v>
      </c>
      <c r="H144" s="140">
        <v>62128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52468</v>
      </c>
      <c r="H145" s="140">
        <v>52468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34343</v>
      </c>
      <c r="H146" s="140">
        <v>34343</v>
      </c>
      <c r="I146" s="46"/>
      <c r="J146" s="49"/>
    </row>
    <row r="147" spans="2:13" ht="17.25" customHeight="1">
      <c r="B147" s="137" t="s">
        <v>53</v>
      </c>
      <c r="C147" s="137" t="s">
        <v>53</v>
      </c>
      <c r="D147" s="137" t="s">
        <v>53</v>
      </c>
      <c r="E147" s="137" t="s">
        <v>53</v>
      </c>
      <c r="F147" s="138" t="s">
        <v>53</v>
      </c>
      <c r="G147" s="139">
        <v>22896</v>
      </c>
      <c r="H147" s="140">
        <v>22896</v>
      </c>
      <c r="I147" s="46"/>
      <c r="J147" s="49"/>
      <c r="L147"/>
    </row>
    <row r="148" spans="2:13" ht="18" customHeight="1" thickBot="1">
      <c r="B148" s="154" t="s">
        <v>41</v>
      </c>
      <c r="C148" s="154" t="s">
        <v>41</v>
      </c>
      <c r="D148" s="154" t="s">
        <v>41</v>
      </c>
      <c r="E148" s="154" t="s">
        <v>41</v>
      </c>
      <c r="F148" s="146" t="s">
        <v>41</v>
      </c>
      <c r="G148" s="155">
        <v>21390</v>
      </c>
      <c r="H148" s="156">
        <v>21390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19697</v>
      </c>
      <c r="H154" s="136">
        <v>19697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18866</v>
      </c>
      <c r="H155" s="140">
        <v>18866</v>
      </c>
      <c r="I155" s="52"/>
      <c r="J155" s="49"/>
      <c r="K155" s="48"/>
      <c r="L155"/>
      <c r="M155"/>
    </row>
    <row r="156" spans="2:13" ht="17.25" customHeight="1">
      <c r="B156" s="137" t="s">
        <v>27</v>
      </c>
      <c r="C156" s="137" t="s">
        <v>27</v>
      </c>
      <c r="D156" s="137" t="s">
        <v>27</v>
      </c>
      <c r="E156" s="137" t="s">
        <v>27</v>
      </c>
      <c r="F156" s="138" t="s">
        <v>27</v>
      </c>
      <c r="G156" s="139">
        <v>16705</v>
      </c>
      <c r="H156" s="140">
        <v>16705</v>
      </c>
      <c r="I156" s="52"/>
      <c r="J156" s="49"/>
      <c r="K156" s="48"/>
      <c r="L156"/>
      <c r="M156"/>
    </row>
    <row r="157" spans="2:13" ht="17.25">
      <c r="B157" s="137" t="s">
        <v>57</v>
      </c>
      <c r="C157" s="137" t="s">
        <v>57</v>
      </c>
      <c r="D157" s="137" t="s">
        <v>57</v>
      </c>
      <c r="E157" s="137" t="s">
        <v>57</v>
      </c>
      <c r="F157" s="138" t="s">
        <v>57</v>
      </c>
      <c r="G157" s="139">
        <v>14997</v>
      </c>
      <c r="H157" s="140">
        <v>14997</v>
      </c>
      <c r="I157" s="52"/>
      <c r="J157" s="49"/>
      <c r="K157" s="48"/>
      <c r="L157"/>
      <c r="M157"/>
    </row>
    <row r="158" spans="2:13" ht="17.25" customHeight="1">
      <c r="B158" s="137" t="s">
        <v>58</v>
      </c>
      <c r="C158" s="137" t="s">
        <v>58</v>
      </c>
      <c r="D158" s="137" t="s">
        <v>58</v>
      </c>
      <c r="E158" s="137" t="s">
        <v>58</v>
      </c>
      <c r="F158" s="138" t="s">
        <v>58</v>
      </c>
      <c r="G158" s="139">
        <v>14207</v>
      </c>
      <c r="H158" s="140">
        <v>14207</v>
      </c>
      <c r="I158" s="52"/>
      <c r="J158" s="49"/>
      <c r="K158" s="48"/>
      <c r="L158"/>
      <c r="M158"/>
    </row>
    <row r="159" spans="2:13" ht="17.25" customHeight="1">
      <c r="B159" s="137" t="s">
        <v>50</v>
      </c>
      <c r="C159" s="137" t="s">
        <v>50</v>
      </c>
      <c r="D159" s="137" t="s">
        <v>50</v>
      </c>
      <c r="E159" s="137" t="s">
        <v>50</v>
      </c>
      <c r="F159" s="138" t="s">
        <v>50</v>
      </c>
      <c r="G159" s="139">
        <v>5839</v>
      </c>
      <c r="H159" s="140">
        <v>5839</v>
      </c>
      <c r="I159" s="53"/>
      <c r="J159" s="49"/>
      <c r="K159" s="48"/>
      <c r="L159"/>
      <c r="M159"/>
    </row>
    <row r="160" spans="2:13" ht="17.25" customHeight="1">
      <c r="B160" s="137" t="s">
        <v>40</v>
      </c>
      <c r="C160" s="137" t="s">
        <v>40</v>
      </c>
      <c r="D160" s="137" t="s">
        <v>40</v>
      </c>
      <c r="E160" s="137" t="s">
        <v>40</v>
      </c>
      <c r="F160" s="138" t="s">
        <v>40</v>
      </c>
      <c r="G160" s="139">
        <v>5018</v>
      </c>
      <c r="H160" s="140">
        <v>5018</v>
      </c>
      <c r="I160" s="52"/>
      <c r="J160" s="49"/>
      <c r="K160" s="48"/>
      <c r="L160"/>
      <c r="M160"/>
    </row>
    <row r="161" spans="2:13" ht="17.25" customHeight="1">
      <c r="B161" s="137" t="s">
        <v>42</v>
      </c>
      <c r="C161" s="137" t="s">
        <v>42</v>
      </c>
      <c r="D161" s="137" t="s">
        <v>42</v>
      </c>
      <c r="E161" s="137" t="s">
        <v>42</v>
      </c>
      <c r="F161" s="138" t="s">
        <v>42</v>
      </c>
      <c r="G161" s="139">
        <v>3481</v>
      </c>
      <c r="H161" s="140">
        <v>3481</v>
      </c>
      <c r="I161" s="52"/>
      <c r="J161" s="49"/>
      <c r="K161" s="48"/>
      <c r="L161"/>
      <c r="M161"/>
    </row>
    <row r="162" spans="2:13" ht="17.25" customHeight="1">
      <c r="B162" s="137" t="s">
        <v>29</v>
      </c>
      <c r="C162" s="137" t="s">
        <v>29</v>
      </c>
      <c r="D162" s="137" t="s">
        <v>29</v>
      </c>
      <c r="E162" s="137" t="s">
        <v>29</v>
      </c>
      <c r="F162" s="138" t="s">
        <v>29</v>
      </c>
      <c r="G162" s="139">
        <v>3054</v>
      </c>
      <c r="H162" s="140">
        <v>3054</v>
      </c>
      <c r="I162" s="52"/>
      <c r="J162" s="49"/>
      <c r="K162" s="48"/>
      <c r="L162"/>
      <c r="M162"/>
    </row>
    <row r="163" spans="2:13" ht="18" customHeight="1" thickBot="1">
      <c r="B163" s="154" t="s">
        <v>41</v>
      </c>
      <c r="C163" s="154" t="s">
        <v>41</v>
      </c>
      <c r="D163" s="154" t="s">
        <v>41</v>
      </c>
      <c r="E163" s="154" t="s">
        <v>41</v>
      </c>
      <c r="F163" s="146" t="s">
        <v>41</v>
      </c>
      <c r="G163" s="155">
        <v>2756</v>
      </c>
      <c r="H163" s="156">
        <v>2756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48</v>
      </c>
      <c r="C169" s="133" t="s">
        <v>48</v>
      </c>
      <c r="D169" s="133" t="s">
        <v>48</v>
      </c>
      <c r="E169" s="133" t="s">
        <v>48</v>
      </c>
      <c r="F169" s="134" t="s">
        <v>48</v>
      </c>
      <c r="G169" s="135">
        <v>2860478294122.5601</v>
      </c>
      <c r="H169" s="136">
        <v>2860478294122.5601</v>
      </c>
      <c r="I169" s="54"/>
      <c r="J169" s="55"/>
    </row>
    <row r="170" spans="2:13" ht="17.25" customHeight="1">
      <c r="B170" s="137" t="s">
        <v>58</v>
      </c>
      <c r="C170" s="137" t="s">
        <v>58</v>
      </c>
      <c r="D170" s="137" t="s">
        <v>58</v>
      </c>
      <c r="E170" s="137" t="s">
        <v>58</v>
      </c>
      <c r="F170" s="138" t="s">
        <v>58</v>
      </c>
      <c r="G170" s="139">
        <v>2341565127725.8398</v>
      </c>
      <c r="H170" s="140">
        <v>2341565127725.8398</v>
      </c>
      <c r="I170" s="54"/>
      <c r="J170" s="55"/>
    </row>
    <row r="171" spans="2:13" ht="17.25" customHeight="1">
      <c r="B171" s="137" t="s">
        <v>52</v>
      </c>
      <c r="C171" s="137" t="s">
        <v>52</v>
      </c>
      <c r="D171" s="137" t="s">
        <v>52</v>
      </c>
      <c r="E171" s="137" t="s">
        <v>52</v>
      </c>
      <c r="F171" s="138" t="s">
        <v>52</v>
      </c>
      <c r="G171" s="139">
        <v>1630985954496.25</v>
      </c>
      <c r="H171" s="140">
        <v>1630985954496.25</v>
      </c>
      <c r="I171" s="54"/>
      <c r="J171" s="55"/>
    </row>
    <row r="172" spans="2:13" ht="17.25" customHeight="1">
      <c r="B172" s="137" t="s">
        <v>28</v>
      </c>
      <c r="C172" s="137" t="s">
        <v>28</v>
      </c>
      <c r="D172" s="137" t="s">
        <v>28</v>
      </c>
      <c r="E172" s="137" t="s">
        <v>28</v>
      </c>
      <c r="F172" s="138" t="s">
        <v>28</v>
      </c>
      <c r="G172" s="139">
        <v>1591075821929.1299</v>
      </c>
      <c r="H172" s="140">
        <v>1591075821929.1299</v>
      </c>
      <c r="I172" s="54"/>
      <c r="J172" s="55"/>
    </row>
    <row r="173" spans="2:13" ht="17.25" customHeight="1">
      <c r="B173" s="137" t="s">
        <v>36</v>
      </c>
      <c r="C173" s="137" t="s">
        <v>36</v>
      </c>
      <c r="D173" s="137" t="s">
        <v>36</v>
      </c>
      <c r="E173" s="137" t="s">
        <v>36</v>
      </c>
      <c r="F173" s="138" t="s">
        <v>36</v>
      </c>
      <c r="G173" s="139">
        <v>1114918858290.52</v>
      </c>
      <c r="H173" s="140">
        <v>1114918858290.52</v>
      </c>
      <c r="I173" s="56"/>
      <c r="J173" s="49"/>
    </row>
    <row r="174" spans="2:13" ht="17.25" customHeight="1">
      <c r="B174" s="137" t="s">
        <v>42</v>
      </c>
      <c r="C174" s="137" t="s">
        <v>42</v>
      </c>
      <c r="D174" s="137" t="s">
        <v>42</v>
      </c>
      <c r="E174" s="137" t="s">
        <v>42</v>
      </c>
      <c r="F174" s="138" t="s">
        <v>42</v>
      </c>
      <c r="G174" s="139">
        <v>595454865196.93005</v>
      </c>
      <c r="H174" s="140">
        <v>595454865196.93005</v>
      </c>
      <c r="I174" s="54"/>
      <c r="J174" s="55"/>
    </row>
    <row r="175" spans="2:13" ht="17.25" customHeight="1">
      <c r="B175" s="137" t="s">
        <v>39</v>
      </c>
      <c r="C175" s="137" t="s">
        <v>39</v>
      </c>
      <c r="D175" s="137" t="s">
        <v>39</v>
      </c>
      <c r="E175" s="137" t="s">
        <v>39</v>
      </c>
      <c r="F175" s="138" t="s">
        <v>39</v>
      </c>
      <c r="G175" s="139">
        <v>548698023725.46002</v>
      </c>
      <c r="H175" s="140">
        <v>548698023725.46002</v>
      </c>
      <c r="I175" s="54"/>
      <c r="J175" s="55"/>
    </row>
    <row r="176" spans="2:13" ht="17.25" customHeight="1">
      <c r="B176" s="137" t="s">
        <v>27</v>
      </c>
      <c r="C176" s="137" t="s">
        <v>27</v>
      </c>
      <c r="D176" s="137" t="s">
        <v>27</v>
      </c>
      <c r="E176" s="137" t="s">
        <v>27</v>
      </c>
      <c r="F176" s="138" t="s">
        <v>27</v>
      </c>
      <c r="G176" s="139">
        <v>429415301966.32001</v>
      </c>
      <c r="H176" s="140">
        <v>429415301966.32001</v>
      </c>
      <c r="I176" s="54"/>
      <c r="J176" s="55"/>
    </row>
    <row r="177" spans="2:10" ht="17.25" customHeight="1">
      <c r="B177" s="137" t="s">
        <v>43</v>
      </c>
      <c r="C177" s="137" t="s">
        <v>43</v>
      </c>
      <c r="D177" s="137" t="s">
        <v>43</v>
      </c>
      <c r="E177" s="137" t="s">
        <v>43</v>
      </c>
      <c r="F177" s="138" t="s">
        <v>43</v>
      </c>
      <c r="G177" s="139">
        <v>397988605782.21997</v>
      </c>
      <c r="H177" s="140">
        <v>397988605782.21997</v>
      </c>
      <c r="I177" s="54"/>
      <c r="J177" s="55"/>
    </row>
    <row r="178" spans="2:10" ht="18" customHeight="1" thickBot="1">
      <c r="B178" s="154" t="s">
        <v>31</v>
      </c>
      <c r="C178" s="154" t="s">
        <v>31</v>
      </c>
      <c r="D178" s="154" t="s">
        <v>31</v>
      </c>
      <c r="E178" s="154" t="s">
        <v>31</v>
      </c>
      <c r="F178" s="146" t="s">
        <v>31</v>
      </c>
      <c r="G178" s="155">
        <v>394766245908.54999</v>
      </c>
      <c r="H178" s="156">
        <v>394766245908.54999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7100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71009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9">
    <pageSetUpPr fitToPage="1"/>
  </sheetPr>
  <dimension ref="B2:N180"/>
  <sheetViews>
    <sheetView tabSelected="1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08" t="s">
        <v>54</v>
      </c>
      <c r="C2" s="108"/>
      <c r="D2" s="108"/>
      <c r="E2" s="108"/>
      <c r="F2" s="108"/>
      <c r="G2" s="108"/>
      <c r="H2" s="108"/>
    </row>
    <row r="3" spans="2:14" s="1" customFormat="1" ht="21" thickBot="1">
      <c r="B3" s="109">
        <v>43100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18</v>
      </c>
      <c r="C6" s="62">
        <f>B3</f>
        <v>43100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32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10" t="s">
        <v>16</v>
      </c>
      <c r="C11" s="110"/>
      <c r="D11" s="111"/>
      <c r="E11" s="67">
        <f>EDATE(B3,-1)</f>
        <v>43069</v>
      </c>
      <c r="F11" s="67">
        <f>B3</f>
        <v>43100</v>
      </c>
      <c r="G11" s="44" t="s">
        <v>9</v>
      </c>
      <c r="H11" s="44" t="s">
        <v>10</v>
      </c>
      <c r="J11" s="71"/>
    </row>
    <row r="12" spans="2:14" s="70" customFormat="1" ht="17.25">
      <c r="B12" s="112" t="s">
        <v>0</v>
      </c>
      <c r="C12" s="112"/>
      <c r="D12" s="113"/>
      <c r="E12" s="78">
        <v>1803826</v>
      </c>
      <c r="F12" s="78">
        <v>1893678</v>
      </c>
      <c r="G12" s="11">
        <f>F12-E12</f>
        <v>89852</v>
      </c>
      <c r="H12" s="58">
        <f t="shared" ref="H12:H18" si="0">F12/E12-1</f>
        <v>4.9811899817388205E-2</v>
      </c>
      <c r="I12" s="79"/>
      <c r="J12" s="80"/>
    </row>
    <row r="13" spans="2:14" s="70" customFormat="1" ht="17.25">
      <c r="B13" s="114" t="s">
        <v>1</v>
      </c>
      <c r="C13" s="114"/>
      <c r="D13" s="115"/>
      <c r="E13" s="78">
        <v>29541</v>
      </c>
      <c r="F13" s="78">
        <v>28217</v>
      </c>
      <c r="G13" s="11">
        <f t="shared" ref="G13:G18" si="1">F13-E13</f>
        <v>-1324</v>
      </c>
      <c r="H13" s="58">
        <f t="shared" si="0"/>
        <v>-4.4819065028265825E-2</v>
      </c>
      <c r="I13" s="79"/>
      <c r="J13" s="80"/>
    </row>
    <row r="14" spans="2:14" s="70" customFormat="1" ht="17.25">
      <c r="B14" s="114" t="s">
        <v>45</v>
      </c>
      <c r="C14" s="114"/>
      <c r="D14" s="115"/>
      <c r="E14" s="78">
        <v>14946</v>
      </c>
      <c r="F14" s="78">
        <v>15155</v>
      </c>
      <c r="G14" s="11">
        <f t="shared" si="1"/>
        <v>209</v>
      </c>
      <c r="H14" s="58">
        <f t="shared" si="0"/>
        <v>1.3983674561755643E-2</v>
      </c>
      <c r="I14" s="79"/>
      <c r="J14" s="80"/>
    </row>
    <row r="15" spans="2:14" s="70" customFormat="1" ht="17.25">
      <c r="B15" s="116" t="s">
        <v>46</v>
      </c>
      <c r="C15" s="116"/>
      <c r="D15" s="117"/>
      <c r="E15" s="78">
        <v>7772</v>
      </c>
      <c r="F15" s="78">
        <v>8025</v>
      </c>
      <c r="G15" s="11">
        <f t="shared" si="1"/>
        <v>253</v>
      </c>
      <c r="H15" s="58">
        <f t="shared" si="0"/>
        <v>3.2552753474009322E-2</v>
      </c>
      <c r="I15" s="79"/>
      <c r="J15" s="80"/>
    </row>
    <row r="16" spans="2:14" s="70" customFormat="1" ht="17.25">
      <c r="B16" s="118" t="s">
        <v>47</v>
      </c>
      <c r="C16" s="118"/>
      <c r="D16" s="119"/>
      <c r="E16" s="78">
        <v>7174</v>
      </c>
      <c r="F16" s="78">
        <v>7130</v>
      </c>
      <c r="G16" s="11">
        <f t="shared" si="1"/>
        <v>-44</v>
      </c>
      <c r="H16" s="58">
        <f t="shared" si="0"/>
        <v>-6.1332589908000834E-3</v>
      </c>
      <c r="I16" s="79"/>
      <c r="J16" s="80"/>
    </row>
    <row r="17" spans="2:10" s="70" customFormat="1" ht="18" customHeight="1" thickBot="1">
      <c r="B17" s="120" t="s">
        <v>2</v>
      </c>
      <c r="C17" s="120"/>
      <c r="D17" s="121"/>
      <c r="E17" s="78">
        <v>47821.999999999993</v>
      </c>
      <c r="F17" s="78">
        <v>36616</v>
      </c>
      <c r="G17" s="11">
        <f t="shared" si="1"/>
        <v>-11205.999999999993</v>
      </c>
      <c r="H17" s="58">
        <f t="shared" si="0"/>
        <v>-0.23432729705993049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1896135</v>
      </c>
      <c r="F18" s="66">
        <v>1973666</v>
      </c>
      <c r="G18" s="66">
        <f t="shared" si="1"/>
        <v>77531</v>
      </c>
      <c r="H18" s="63">
        <f t="shared" si="0"/>
        <v>4.0888966239218227E-2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33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10" t="s">
        <v>16</v>
      </c>
      <c r="C22" s="110"/>
      <c r="D22" s="111"/>
      <c r="E22" s="67">
        <f>EDATE(B3,-1)</f>
        <v>43069</v>
      </c>
      <c r="F22" s="67">
        <f>F11</f>
        <v>43100</v>
      </c>
      <c r="G22" s="44" t="s">
        <v>9</v>
      </c>
      <c r="H22" s="44" t="s">
        <v>10</v>
      </c>
      <c r="J22" s="71"/>
    </row>
    <row r="23" spans="2:10" s="70" customFormat="1" ht="17.25">
      <c r="B23" s="112" t="s">
        <v>0</v>
      </c>
      <c r="C23" s="112"/>
      <c r="D23" s="113"/>
      <c r="E23" s="78">
        <v>1284771.0000000002</v>
      </c>
      <c r="F23" s="78">
        <v>1310295.9999999998</v>
      </c>
      <c r="G23" s="11">
        <f>F23-E23</f>
        <v>25524.999999999534</v>
      </c>
      <c r="H23" s="58">
        <f>F23/E23-1</f>
        <v>1.9867353793010301E-2</v>
      </c>
      <c r="I23" s="80"/>
    </row>
    <row r="24" spans="2:10" s="70" customFormat="1" ht="17.25">
      <c r="B24" s="114" t="s">
        <v>1</v>
      </c>
      <c r="C24" s="114"/>
      <c r="D24" s="115"/>
      <c r="E24" s="78">
        <v>17818</v>
      </c>
      <c r="F24" s="78">
        <v>17766</v>
      </c>
      <c r="G24" s="11">
        <f t="shared" ref="G24:G29" si="2">F24-E24</f>
        <v>-52</v>
      </c>
      <c r="H24" s="58">
        <f t="shared" ref="H24:H29" si="3">F24/E24-1</f>
        <v>-2.9183971265013264E-3</v>
      </c>
      <c r="I24" s="80"/>
    </row>
    <row r="25" spans="2:10" s="70" customFormat="1" ht="17.25">
      <c r="B25" s="114" t="s">
        <v>45</v>
      </c>
      <c r="C25" s="114"/>
      <c r="D25" s="115"/>
      <c r="E25" s="78">
        <v>10090</v>
      </c>
      <c r="F25" s="78">
        <v>10211</v>
      </c>
      <c r="G25" s="11">
        <f t="shared" si="2"/>
        <v>121</v>
      </c>
      <c r="H25" s="58">
        <f t="shared" si="3"/>
        <v>1.199207135777991E-2</v>
      </c>
      <c r="I25" s="80"/>
    </row>
    <row r="26" spans="2:10" s="70" customFormat="1" ht="17.25">
      <c r="B26" s="116" t="s">
        <v>46</v>
      </c>
      <c r="C26" s="116"/>
      <c r="D26" s="117"/>
      <c r="E26" s="78">
        <v>7068</v>
      </c>
      <c r="F26" s="78">
        <v>7221</v>
      </c>
      <c r="G26" s="11">
        <f t="shared" si="2"/>
        <v>153</v>
      </c>
      <c r="H26" s="58">
        <f t="shared" si="3"/>
        <v>2.164685908319175E-2</v>
      </c>
      <c r="I26" s="80"/>
    </row>
    <row r="27" spans="2:10" s="70" customFormat="1" ht="17.25">
      <c r="B27" s="118" t="s">
        <v>47</v>
      </c>
      <c r="C27" s="118"/>
      <c r="D27" s="119"/>
      <c r="E27" s="78">
        <v>3022</v>
      </c>
      <c r="F27" s="78">
        <v>2990</v>
      </c>
      <c r="G27" s="11">
        <f t="shared" si="2"/>
        <v>-32</v>
      </c>
      <c r="H27" s="58">
        <f t="shared" si="3"/>
        <v>-1.0589013898080757E-2</v>
      </c>
      <c r="I27" s="80"/>
    </row>
    <row r="28" spans="2:10" s="70" customFormat="1" ht="18" customHeight="1" thickBot="1">
      <c r="B28" s="120" t="s">
        <v>2</v>
      </c>
      <c r="C28" s="120"/>
      <c r="D28" s="121"/>
      <c r="E28" s="78">
        <v>20882.999999999996</v>
      </c>
      <c r="F28" s="78">
        <v>22564.000000000004</v>
      </c>
      <c r="G28" s="11">
        <f t="shared" si="2"/>
        <v>1681.0000000000073</v>
      </c>
      <c r="H28" s="58">
        <f t="shared" si="3"/>
        <v>8.0496097304027625E-2</v>
      </c>
      <c r="I28" s="80"/>
    </row>
    <row r="29" spans="2:10" s="64" customFormat="1" ht="18" thickBot="1">
      <c r="B29" s="59" t="s">
        <v>3</v>
      </c>
      <c r="C29" s="59"/>
      <c r="D29" s="60"/>
      <c r="E29" s="66">
        <v>1333561.9999999998</v>
      </c>
      <c r="F29" s="66">
        <v>1360837</v>
      </c>
      <c r="G29" s="66">
        <f t="shared" si="2"/>
        <v>27275.000000000233</v>
      </c>
      <c r="H29" s="63">
        <f t="shared" si="3"/>
        <v>2.0452742354686304E-2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14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2" t="s">
        <v>16</v>
      </c>
      <c r="C33" s="122"/>
      <c r="D33" s="123"/>
      <c r="E33" s="67">
        <f>EDATE(B3,-1)</f>
        <v>43069</v>
      </c>
      <c r="F33" s="67">
        <f>F11</f>
        <v>43100</v>
      </c>
      <c r="G33" s="16" t="s">
        <v>9</v>
      </c>
      <c r="H33" s="16" t="s">
        <v>10</v>
      </c>
    </row>
    <row r="34" spans="2:9" ht="17.25">
      <c r="B34" s="112" t="s">
        <v>0</v>
      </c>
      <c r="C34" s="112"/>
      <c r="D34" s="113"/>
      <c r="E34" s="72">
        <v>107680.00000000001</v>
      </c>
      <c r="F34" s="72">
        <v>109537.99999999999</v>
      </c>
      <c r="G34" s="11">
        <f t="shared" ref="G34:G40" si="4">F34-E34</f>
        <v>1857.9999999999709</v>
      </c>
      <c r="H34" s="58">
        <f t="shared" ref="H34:H40" si="5">F34/E34-1</f>
        <v>1.7254829123328097E-2</v>
      </c>
      <c r="I34" s="57"/>
    </row>
    <row r="35" spans="2:9" ht="17.25">
      <c r="B35" s="114" t="s">
        <v>1</v>
      </c>
      <c r="C35" s="114"/>
      <c r="D35" s="115"/>
      <c r="E35" s="72">
        <v>1084</v>
      </c>
      <c r="F35" s="72">
        <v>1159</v>
      </c>
      <c r="G35" s="11">
        <f t="shared" si="4"/>
        <v>75</v>
      </c>
      <c r="H35" s="58">
        <f t="shared" si="5"/>
        <v>6.9188191881918826E-2</v>
      </c>
      <c r="I35" s="57"/>
    </row>
    <row r="36" spans="2:9" ht="17.25">
      <c r="B36" s="114" t="s">
        <v>45</v>
      </c>
      <c r="C36" s="114"/>
      <c r="D36" s="115"/>
      <c r="E36" s="72">
        <v>835</v>
      </c>
      <c r="F36" s="72">
        <v>807</v>
      </c>
      <c r="G36" s="11">
        <f t="shared" si="4"/>
        <v>-28</v>
      </c>
      <c r="H36" s="58">
        <f t="shared" si="5"/>
        <v>-3.3532934131736525E-2</v>
      </c>
      <c r="I36" s="57"/>
    </row>
    <row r="37" spans="2:9" ht="17.25">
      <c r="B37" s="116" t="s">
        <v>46</v>
      </c>
      <c r="C37" s="116"/>
      <c r="D37" s="117"/>
      <c r="E37" s="72">
        <v>570</v>
      </c>
      <c r="F37" s="72">
        <v>543</v>
      </c>
      <c r="G37" s="11">
        <f t="shared" si="4"/>
        <v>-27</v>
      </c>
      <c r="H37" s="58">
        <f t="shared" si="5"/>
        <v>-4.7368421052631615E-2</v>
      </c>
      <c r="I37" s="57"/>
    </row>
    <row r="38" spans="2:9" ht="17.25">
      <c r="B38" s="118" t="s">
        <v>47</v>
      </c>
      <c r="C38" s="118"/>
      <c r="D38" s="119"/>
      <c r="E38" s="72">
        <v>265</v>
      </c>
      <c r="F38" s="72">
        <v>264</v>
      </c>
      <c r="G38" s="11">
        <f t="shared" si="4"/>
        <v>-1</v>
      </c>
      <c r="H38" s="58">
        <f t="shared" si="5"/>
        <v>-3.7735849056603765E-3</v>
      </c>
      <c r="I38" s="57"/>
    </row>
    <row r="39" spans="2:9" ht="18" customHeight="1" thickBot="1">
      <c r="B39" s="120" t="s">
        <v>2</v>
      </c>
      <c r="C39" s="120"/>
      <c r="D39" s="121"/>
      <c r="E39" s="72">
        <v>6301</v>
      </c>
      <c r="F39" s="72">
        <v>8096</v>
      </c>
      <c r="G39" s="11">
        <f t="shared" si="4"/>
        <v>1795</v>
      </c>
      <c r="H39" s="58">
        <f t="shared" si="5"/>
        <v>0.28487541660053961</v>
      </c>
      <c r="I39" s="57"/>
    </row>
    <row r="40" spans="2:9" s="64" customFormat="1" ht="18" thickBot="1">
      <c r="B40" s="59" t="s">
        <v>3</v>
      </c>
      <c r="C40" s="59"/>
      <c r="D40" s="60"/>
      <c r="E40" s="66">
        <v>115900</v>
      </c>
      <c r="F40" s="66">
        <v>119600</v>
      </c>
      <c r="G40" s="66">
        <f t="shared" si="4"/>
        <v>3700</v>
      </c>
      <c r="H40" s="63">
        <f t="shared" si="5"/>
        <v>3.1924072476272602E-2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15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34</v>
      </c>
      <c r="C48" s="23"/>
      <c r="D48" s="23"/>
      <c r="E48" s="23"/>
      <c r="F48" s="23"/>
      <c r="G48" s="23"/>
      <c r="H48" s="124" t="s">
        <v>12</v>
      </c>
      <c r="I48" s="124"/>
    </row>
    <row r="49" spans="2:9" ht="15.75" thickBot="1">
      <c r="B49" s="122" t="s">
        <v>16</v>
      </c>
      <c r="C49" s="122"/>
      <c r="D49" s="123"/>
      <c r="E49" s="67">
        <v>41639</v>
      </c>
      <c r="F49" s="67">
        <f>EDATE(E49,12)</f>
        <v>42004</v>
      </c>
      <c r="G49" s="67">
        <f t="shared" ref="G49:I49" si="6">EDATE(F49,12)</f>
        <v>42369</v>
      </c>
      <c r="H49" s="67">
        <f t="shared" si="6"/>
        <v>42735</v>
      </c>
      <c r="I49" s="67">
        <f t="shared" si="6"/>
        <v>43100</v>
      </c>
    </row>
    <row r="50" spans="2:9" ht="17.25">
      <c r="B50" s="125" t="s">
        <v>0</v>
      </c>
      <c r="C50" s="125"/>
      <c r="D50" s="126"/>
      <c r="E50" s="74">
        <v>881844</v>
      </c>
      <c r="F50" s="74">
        <v>944559</v>
      </c>
      <c r="G50" s="74">
        <v>1006751</v>
      </c>
      <c r="H50" s="74">
        <v>1102966</v>
      </c>
      <c r="I50" s="74">
        <v>1310295.9999999998</v>
      </c>
    </row>
    <row r="51" spans="2:9" ht="17.25">
      <c r="B51" s="127" t="s">
        <v>1</v>
      </c>
      <c r="C51" s="127"/>
      <c r="D51" s="128"/>
      <c r="E51" s="75">
        <v>19539</v>
      </c>
      <c r="F51" s="75">
        <v>20178</v>
      </c>
      <c r="G51" s="75">
        <v>20753</v>
      </c>
      <c r="H51" s="75">
        <v>18622</v>
      </c>
      <c r="I51" s="75">
        <v>17766</v>
      </c>
    </row>
    <row r="52" spans="2:9" ht="17.25">
      <c r="B52" s="129" t="s">
        <v>45</v>
      </c>
      <c r="C52" s="129"/>
      <c r="D52" s="130"/>
      <c r="E52" s="77">
        <v>6957</v>
      </c>
      <c r="F52" s="77">
        <v>7486</v>
      </c>
      <c r="G52" s="77">
        <v>8729</v>
      </c>
      <c r="H52" s="77">
        <v>9215</v>
      </c>
      <c r="I52" s="77">
        <v>10211</v>
      </c>
    </row>
    <row r="53" spans="2:9" ht="18" thickBot="1">
      <c r="B53" s="131" t="s">
        <v>2</v>
      </c>
      <c r="C53" s="131"/>
      <c r="D53" s="132"/>
      <c r="E53" s="73">
        <v>5182</v>
      </c>
      <c r="F53" s="73">
        <v>5142</v>
      </c>
      <c r="G53" s="73">
        <v>3836</v>
      </c>
      <c r="H53" s="73">
        <v>10694</v>
      </c>
      <c r="I53" s="73">
        <v>22564.000000000004</v>
      </c>
    </row>
    <row r="54" spans="2:9" s="65" customFormat="1" ht="18" thickBot="1">
      <c r="B54" s="141" t="s">
        <v>3</v>
      </c>
      <c r="C54" s="141"/>
      <c r="D54" s="142"/>
      <c r="E54" s="76">
        <v>913522</v>
      </c>
      <c r="F54" s="76">
        <v>977365</v>
      </c>
      <c r="G54" s="76">
        <v>1040069</v>
      </c>
      <c r="H54" s="76">
        <v>1141497</v>
      </c>
      <c r="I54" s="76">
        <v>1360837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35</v>
      </c>
      <c r="C82" s="23"/>
      <c r="D82" s="23"/>
      <c r="E82" s="23"/>
      <c r="F82" s="23"/>
      <c r="G82" s="23"/>
      <c r="H82" s="106" t="s">
        <v>11</v>
      </c>
      <c r="I82"/>
      <c r="J82"/>
      <c r="K82"/>
    </row>
    <row r="83" spans="2:11" ht="15.75" thickBot="1">
      <c r="B83" s="31" t="s">
        <v>16</v>
      </c>
      <c r="C83" s="67">
        <f>EDATE(D83,-1)</f>
        <v>42946</v>
      </c>
      <c r="D83" s="67">
        <f>EDATE(E83,-1)</f>
        <v>42977</v>
      </c>
      <c r="E83" s="67">
        <f>EDATE(F83,-1)</f>
        <v>43008</v>
      </c>
      <c r="F83" s="67">
        <f>EDATE(G83,-1)</f>
        <v>43038</v>
      </c>
      <c r="G83" s="67">
        <f>EDATE(H83,-1)</f>
        <v>43069</v>
      </c>
      <c r="H83" s="67">
        <f>EDATE(E11,1)</f>
        <v>43099</v>
      </c>
      <c r="I83"/>
      <c r="J83"/>
    </row>
    <row r="84" spans="2:11" ht="16.5" customHeight="1">
      <c r="B84" s="24" t="s">
        <v>0</v>
      </c>
      <c r="C84" s="74">
        <v>1207926</v>
      </c>
      <c r="D84" s="74">
        <v>1224837</v>
      </c>
      <c r="E84" s="74">
        <v>1253028</v>
      </c>
      <c r="F84" s="74">
        <v>1265256</v>
      </c>
      <c r="G84" s="74">
        <v>1284771.0000000002</v>
      </c>
      <c r="H84" s="74">
        <v>1310295.9999999998</v>
      </c>
    </row>
    <row r="85" spans="2:11" ht="16.5" customHeight="1">
      <c r="B85" s="25" t="s">
        <v>1</v>
      </c>
      <c r="C85" s="75">
        <v>18578</v>
      </c>
      <c r="D85" s="75">
        <v>18539</v>
      </c>
      <c r="E85" s="75">
        <v>18550</v>
      </c>
      <c r="F85" s="75">
        <v>17992</v>
      </c>
      <c r="G85" s="75">
        <v>17818</v>
      </c>
      <c r="H85" s="75">
        <v>17766</v>
      </c>
    </row>
    <row r="86" spans="2:11" ht="16.5" customHeight="1">
      <c r="B86" s="26" t="s">
        <v>45</v>
      </c>
      <c r="C86" s="77">
        <v>9901</v>
      </c>
      <c r="D86" s="77">
        <v>10116</v>
      </c>
      <c r="E86" s="77">
        <v>10474</v>
      </c>
      <c r="F86" s="77">
        <v>10117</v>
      </c>
      <c r="G86" s="77">
        <v>10090</v>
      </c>
      <c r="H86" s="77">
        <v>10211</v>
      </c>
    </row>
    <row r="87" spans="2:11" ht="16.5" customHeight="1" thickBot="1">
      <c r="B87" s="27" t="s">
        <v>2</v>
      </c>
      <c r="C87" s="73">
        <v>16881</v>
      </c>
      <c r="D87" s="73">
        <v>18110</v>
      </c>
      <c r="E87" s="73">
        <v>18940</v>
      </c>
      <c r="F87" s="73">
        <v>20071</v>
      </c>
      <c r="G87" s="73">
        <v>20882.999999999996</v>
      </c>
      <c r="H87" s="73">
        <v>22564.000000000004</v>
      </c>
    </row>
    <row r="88" spans="2:11" s="65" customFormat="1" ht="18" thickBot="1">
      <c r="B88" s="107" t="s">
        <v>3</v>
      </c>
      <c r="C88" s="76">
        <v>1253286</v>
      </c>
      <c r="D88" s="76">
        <v>1271602</v>
      </c>
      <c r="E88" s="76">
        <v>1300992</v>
      </c>
      <c r="F88" s="76">
        <v>1313436</v>
      </c>
      <c r="G88" s="76">
        <v>1333561.9999999998</v>
      </c>
      <c r="H88" s="76">
        <v>1360837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21</v>
      </c>
      <c r="C124" s="83">
        <f>B3</f>
        <v>43100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3" t="s">
        <v>22</v>
      </c>
      <c r="C128" s="143"/>
      <c r="D128" s="143"/>
      <c r="E128" s="143"/>
      <c r="F128" s="143"/>
      <c r="G128" s="144" t="s">
        <v>4</v>
      </c>
      <c r="H128" s="145"/>
    </row>
    <row r="129" spans="2:10" ht="18" customHeight="1" thickBot="1">
      <c r="B129" s="146" t="s">
        <v>20</v>
      </c>
      <c r="C129" s="147"/>
      <c r="D129" s="147"/>
      <c r="E129" s="147"/>
      <c r="F129" s="147"/>
      <c r="G129" s="148">
        <v>322</v>
      </c>
      <c r="H129" s="149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19</v>
      </c>
      <c r="C133" s="32"/>
      <c r="D133" s="32"/>
      <c r="E133" s="33"/>
      <c r="F133" s="85">
        <f>C6</f>
        <v>43100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23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24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50" t="s">
        <v>17</v>
      </c>
      <c r="C138" s="150"/>
      <c r="D138" s="150"/>
      <c r="E138" s="150"/>
      <c r="F138" s="151"/>
      <c r="G138" s="152" t="s">
        <v>5</v>
      </c>
      <c r="H138" s="153"/>
      <c r="I138"/>
    </row>
    <row r="139" spans="2:10" ht="17.25" customHeight="1">
      <c r="B139" s="133" t="s">
        <v>57</v>
      </c>
      <c r="C139" s="133" t="s">
        <v>57</v>
      </c>
      <c r="D139" s="133" t="s">
        <v>57</v>
      </c>
      <c r="E139" s="133" t="s">
        <v>57</v>
      </c>
      <c r="F139" s="134" t="s">
        <v>57</v>
      </c>
      <c r="G139" s="135">
        <v>273416</v>
      </c>
      <c r="H139" s="136">
        <v>273416</v>
      </c>
      <c r="I139" s="46"/>
      <c r="J139" s="49"/>
    </row>
    <row r="140" spans="2:10" ht="13.5" customHeight="1">
      <c r="B140" s="137" t="s">
        <v>28</v>
      </c>
      <c r="C140" s="137" t="s">
        <v>28</v>
      </c>
      <c r="D140" s="137" t="s">
        <v>28</v>
      </c>
      <c r="E140" s="137" t="s">
        <v>28</v>
      </c>
      <c r="F140" s="138" t="s">
        <v>28</v>
      </c>
      <c r="G140" s="139">
        <v>268341</v>
      </c>
      <c r="H140" s="140">
        <v>268341</v>
      </c>
      <c r="I140" s="46"/>
      <c r="J140" s="49"/>
    </row>
    <row r="141" spans="2:10" ht="17.25" customHeight="1">
      <c r="B141" s="137" t="s">
        <v>27</v>
      </c>
      <c r="C141" s="137" t="s">
        <v>27</v>
      </c>
      <c r="D141" s="137" t="s">
        <v>27</v>
      </c>
      <c r="E141" s="137" t="s">
        <v>27</v>
      </c>
      <c r="F141" s="138" t="s">
        <v>27</v>
      </c>
      <c r="G141" s="139">
        <v>259882</v>
      </c>
      <c r="H141" s="140">
        <v>259882</v>
      </c>
      <c r="I141" s="46"/>
      <c r="J141" s="49"/>
    </row>
    <row r="142" spans="2:10" ht="17.25" customHeight="1">
      <c r="B142" s="137" t="s">
        <v>39</v>
      </c>
      <c r="C142" s="137" t="s">
        <v>39</v>
      </c>
      <c r="D142" s="137" t="s">
        <v>39</v>
      </c>
      <c r="E142" s="137" t="s">
        <v>39</v>
      </c>
      <c r="F142" s="138" t="s">
        <v>39</v>
      </c>
      <c r="G142" s="139">
        <v>182492</v>
      </c>
      <c r="H142" s="140">
        <v>182492</v>
      </c>
      <c r="I142" s="46"/>
      <c r="J142" s="49"/>
    </row>
    <row r="143" spans="2:10" ht="17.25" customHeight="1">
      <c r="B143" s="137" t="s">
        <v>58</v>
      </c>
      <c r="C143" s="137" t="s">
        <v>58</v>
      </c>
      <c r="D143" s="137" t="s">
        <v>58</v>
      </c>
      <c r="E143" s="137" t="s">
        <v>58</v>
      </c>
      <c r="F143" s="138" t="s">
        <v>58</v>
      </c>
      <c r="G143" s="139">
        <v>119560</v>
      </c>
      <c r="H143" s="140">
        <v>119560</v>
      </c>
      <c r="I143" s="46"/>
      <c r="J143" s="49"/>
    </row>
    <row r="144" spans="2:10" ht="13.5" customHeight="1">
      <c r="B144" s="137" t="s">
        <v>40</v>
      </c>
      <c r="C144" s="137" t="s">
        <v>40</v>
      </c>
      <c r="D144" s="137" t="s">
        <v>40</v>
      </c>
      <c r="E144" s="137" t="s">
        <v>40</v>
      </c>
      <c r="F144" s="138" t="s">
        <v>40</v>
      </c>
      <c r="G144" s="139">
        <v>62804</v>
      </c>
      <c r="H144" s="140">
        <v>62804</v>
      </c>
      <c r="I144" s="50"/>
      <c r="J144" s="49"/>
    </row>
    <row r="145" spans="2:13" ht="17.25" customHeight="1">
      <c r="B145" s="137" t="s">
        <v>29</v>
      </c>
      <c r="C145" s="137" t="s">
        <v>29</v>
      </c>
      <c r="D145" s="137" t="s">
        <v>29</v>
      </c>
      <c r="E145" s="137" t="s">
        <v>29</v>
      </c>
      <c r="F145" s="138" t="s">
        <v>29</v>
      </c>
      <c r="G145" s="139">
        <v>52880</v>
      </c>
      <c r="H145" s="140">
        <v>52880</v>
      </c>
      <c r="I145" s="46"/>
      <c r="J145" s="49"/>
    </row>
    <row r="146" spans="2:13" ht="17.25" customHeight="1">
      <c r="B146" s="137" t="s">
        <v>43</v>
      </c>
      <c r="C146" s="137" t="s">
        <v>43</v>
      </c>
      <c r="D146" s="137" t="s">
        <v>43</v>
      </c>
      <c r="E146" s="137" t="s">
        <v>43</v>
      </c>
      <c r="F146" s="138" t="s">
        <v>43</v>
      </c>
      <c r="G146" s="139">
        <v>34646</v>
      </c>
      <c r="H146" s="140">
        <v>34646</v>
      </c>
      <c r="I146" s="46"/>
      <c r="J146" s="49"/>
    </row>
    <row r="147" spans="2:13" ht="17.25" customHeight="1">
      <c r="B147" s="137" t="s">
        <v>53</v>
      </c>
      <c r="C147" s="137" t="s">
        <v>53</v>
      </c>
      <c r="D147" s="137" t="s">
        <v>53</v>
      </c>
      <c r="E147" s="137" t="s">
        <v>53</v>
      </c>
      <c r="F147" s="138" t="s">
        <v>53</v>
      </c>
      <c r="G147" s="139">
        <v>22998</v>
      </c>
      <c r="H147" s="140">
        <v>22998</v>
      </c>
      <c r="I147" s="46"/>
      <c r="J147" s="49"/>
      <c r="L147"/>
    </row>
    <row r="148" spans="2:13" ht="18" customHeight="1" thickBot="1">
      <c r="B148" s="154" t="s">
        <v>41</v>
      </c>
      <c r="C148" s="154" t="s">
        <v>41</v>
      </c>
      <c r="D148" s="154" t="s">
        <v>41</v>
      </c>
      <c r="E148" s="154" t="s">
        <v>41</v>
      </c>
      <c r="F148" s="146" t="s">
        <v>41</v>
      </c>
      <c r="G148" s="155">
        <v>21829</v>
      </c>
      <c r="H148" s="156">
        <v>21829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25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2" t="s">
        <v>17</v>
      </c>
      <c r="C153" s="122"/>
      <c r="D153" s="122"/>
      <c r="E153" s="122"/>
      <c r="F153" s="123"/>
      <c r="G153" s="153" t="s">
        <v>5</v>
      </c>
      <c r="H153" s="153"/>
      <c r="I153" s="51"/>
      <c r="J153" s="51"/>
      <c r="K153"/>
      <c r="L153"/>
      <c r="M153"/>
    </row>
    <row r="154" spans="2:13" ht="17.25" customHeight="1">
      <c r="B154" s="133" t="s">
        <v>39</v>
      </c>
      <c r="C154" s="133" t="s">
        <v>39</v>
      </c>
      <c r="D154" s="133" t="s">
        <v>39</v>
      </c>
      <c r="E154" s="133" t="s">
        <v>39</v>
      </c>
      <c r="F154" s="134" t="s">
        <v>39</v>
      </c>
      <c r="G154" s="135">
        <v>19649</v>
      </c>
      <c r="H154" s="136">
        <v>19649</v>
      </c>
      <c r="I154" s="52"/>
      <c r="J154" s="49"/>
      <c r="K154" s="48"/>
      <c r="L154"/>
      <c r="M154"/>
    </row>
    <row r="155" spans="2:13" ht="17.25" customHeight="1">
      <c r="B155" s="137" t="s">
        <v>28</v>
      </c>
      <c r="C155" s="137" t="s">
        <v>28</v>
      </c>
      <c r="D155" s="137" t="s">
        <v>28</v>
      </c>
      <c r="E155" s="137" t="s">
        <v>28</v>
      </c>
      <c r="F155" s="138" t="s">
        <v>28</v>
      </c>
      <c r="G155" s="139">
        <v>18985</v>
      </c>
      <c r="H155" s="140">
        <v>18985</v>
      </c>
      <c r="I155" s="52"/>
      <c r="J155" s="49"/>
      <c r="K155" s="48"/>
      <c r="L155"/>
      <c r="M155"/>
    </row>
    <row r="156" spans="2:13" ht="17.25" customHeight="1">
      <c r="B156" s="137" t="s">
        <v>27</v>
      </c>
      <c r="C156" s="137" t="s">
        <v>27</v>
      </c>
      <c r="D156" s="137" t="s">
        <v>27</v>
      </c>
      <c r="E156" s="137" t="s">
        <v>27</v>
      </c>
      <c r="F156" s="138" t="s">
        <v>27</v>
      </c>
      <c r="G156" s="139">
        <v>17061</v>
      </c>
      <c r="H156" s="140">
        <v>17061</v>
      </c>
      <c r="I156" s="52"/>
      <c r="J156" s="49"/>
      <c r="K156" s="48"/>
      <c r="L156"/>
      <c r="M156"/>
    </row>
    <row r="157" spans="2:13" ht="17.25">
      <c r="B157" s="137" t="s">
        <v>58</v>
      </c>
      <c r="C157" s="137" t="s">
        <v>58</v>
      </c>
      <c r="D157" s="137" t="s">
        <v>58</v>
      </c>
      <c r="E157" s="137" t="s">
        <v>58</v>
      </c>
      <c r="F157" s="138" t="s">
        <v>58</v>
      </c>
      <c r="G157" s="139">
        <v>14831</v>
      </c>
      <c r="H157" s="140">
        <v>14831</v>
      </c>
      <c r="I157" s="52"/>
      <c r="J157" s="49"/>
      <c r="K157" s="48"/>
      <c r="L157"/>
      <c r="M157"/>
    </row>
    <row r="158" spans="2:13" ht="17.25" customHeight="1">
      <c r="B158" s="137" t="s">
        <v>57</v>
      </c>
      <c r="C158" s="137" t="s">
        <v>57</v>
      </c>
      <c r="D158" s="137" t="s">
        <v>57</v>
      </c>
      <c r="E158" s="137" t="s">
        <v>57</v>
      </c>
      <c r="F158" s="138" t="s">
        <v>57</v>
      </c>
      <c r="G158" s="139">
        <v>13469</v>
      </c>
      <c r="H158" s="140">
        <v>13469</v>
      </c>
      <c r="I158" s="52"/>
      <c r="J158" s="49"/>
      <c r="K158" s="48"/>
      <c r="L158"/>
      <c r="M158"/>
    </row>
    <row r="159" spans="2:13" ht="17.25" customHeight="1">
      <c r="B159" s="137" t="s">
        <v>50</v>
      </c>
      <c r="C159" s="137" t="s">
        <v>50</v>
      </c>
      <c r="D159" s="137" t="s">
        <v>50</v>
      </c>
      <c r="E159" s="137" t="s">
        <v>50</v>
      </c>
      <c r="F159" s="138" t="s">
        <v>50</v>
      </c>
      <c r="G159" s="139">
        <v>7438</v>
      </c>
      <c r="H159" s="140">
        <v>7438</v>
      </c>
      <c r="I159" s="53"/>
      <c r="J159" s="49"/>
      <c r="K159" s="48"/>
      <c r="L159"/>
      <c r="M159"/>
    </row>
    <row r="160" spans="2:13" ht="17.25" customHeight="1">
      <c r="B160" s="137" t="s">
        <v>40</v>
      </c>
      <c r="C160" s="137" t="s">
        <v>40</v>
      </c>
      <c r="D160" s="137" t="s">
        <v>40</v>
      </c>
      <c r="E160" s="137" t="s">
        <v>40</v>
      </c>
      <c r="F160" s="138" t="s">
        <v>40</v>
      </c>
      <c r="G160" s="139">
        <v>4988</v>
      </c>
      <c r="H160" s="140">
        <v>4988</v>
      </c>
      <c r="I160" s="52"/>
      <c r="J160" s="49"/>
      <c r="K160" s="48"/>
      <c r="L160"/>
      <c r="M160"/>
    </row>
    <row r="161" spans="2:13" ht="17.25" customHeight="1">
      <c r="B161" s="137" t="s">
        <v>42</v>
      </c>
      <c r="C161" s="137" t="s">
        <v>42</v>
      </c>
      <c r="D161" s="137" t="s">
        <v>42</v>
      </c>
      <c r="E161" s="137" t="s">
        <v>42</v>
      </c>
      <c r="F161" s="138" t="s">
        <v>42</v>
      </c>
      <c r="G161" s="139">
        <v>3596</v>
      </c>
      <c r="H161" s="140">
        <v>3596</v>
      </c>
      <c r="I161" s="52"/>
      <c r="J161" s="49"/>
      <c r="K161" s="48"/>
      <c r="L161"/>
      <c r="M161"/>
    </row>
    <row r="162" spans="2:13" ht="17.25" customHeight="1">
      <c r="B162" s="137" t="s">
        <v>41</v>
      </c>
      <c r="C162" s="137" t="s">
        <v>41</v>
      </c>
      <c r="D162" s="137" t="s">
        <v>41</v>
      </c>
      <c r="E162" s="137" t="s">
        <v>41</v>
      </c>
      <c r="F162" s="138" t="s">
        <v>41</v>
      </c>
      <c r="G162" s="139">
        <v>3038</v>
      </c>
      <c r="H162" s="140">
        <v>3038</v>
      </c>
      <c r="I162" s="52"/>
      <c r="J162" s="49"/>
      <c r="K162" s="48"/>
      <c r="L162"/>
      <c r="M162"/>
    </row>
    <row r="163" spans="2:13" ht="18" customHeight="1" thickBot="1">
      <c r="B163" s="154" t="s">
        <v>29</v>
      </c>
      <c r="C163" s="154" t="s">
        <v>29</v>
      </c>
      <c r="D163" s="154" t="s">
        <v>29</v>
      </c>
      <c r="E163" s="154" t="s">
        <v>29</v>
      </c>
      <c r="F163" s="146" t="s">
        <v>29</v>
      </c>
      <c r="G163" s="155">
        <v>2820</v>
      </c>
      <c r="H163" s="156">
        <v>2820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26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50" t="s">
        <v>17</v>
      </c>
      <c r="C168" s="150"/>
      <c r="D168" s="150"/>
      <c r="E168" s="150"/>
      <c r="F168" s="151"/>
      <c r="G168" s="152" t="s">
        <v>8</v>
      </c>
      <c r="H168" s="153"/>
      <c r="I168" s="2"/>
      <c r="J168" s="2"/>
    </row>
    <row r="169" spans="2:13" ht="17.25" customHeight="1">
      <c r="B169" s="133" t="s">
        <v>48</v>
      </c>
      <c r="C169" s="133" t="s">
        <v>48</v>
      </c>
      <c r="D169" s="133" t="s">
        <v>48</v>
      </c>
      <c r="E169" s="133" t="s">
        <v>48</v>
      </c>
      <c r="F169" s="134" t="s">
        <v>48</v>
      </c>
      <c r="G169" s="135">
        <v>2633334556666.6899</v>
      </c>
      <c r="H169" s="136">
        <v>2633334556666.6899</v>
      </c>
      <c r="I169" s="54"/>
      <c r="J169" s="55"/>
    </row>
    <row r="170" spans="2:13" ht="17.25" customHeight="1">
      <c r="B170" s="137" t="s">
        <v>58</v>
      </c>
      <c r="C170" s="137" t="s">
        <v>58</v>
      </c>
      <c r="D170" s="137" t="s">
        <v>58</v>
      </c>
      <c r="E170" s="137" t="s">
        <v>58</v>
      </c>
      <c r="F170" s="138" t="s">
        <v>58</v>
      </c>
      <c r="G170" s="139">
        <v>2291079538140.6602</v>
      </c>
      <c r="H170" s="140">
        <v>2291079538140.6602</v>
      </c>
      <c r="I170" s="54"/>
      <c r="J170" s="55"/>
    </row>
    <row r="171" spans="2:13" ht="17.25" customHeight="1">
      <c r="B171" s="137" t="s">
        <v>52</v>
      </c>
      <c r="C171" s="137" t="s">
        <v>52</v>
      </c>
      <c r="D171" s="137" t="s">
        <v>52</v>
      </c>
      <c r="E171" s="137" t="s">
        <v>52</v>
      </c>
      <c r="F171" s="138" t="s">
        <v>52</v>
      </c>
      <c r="G171" s="139">
        <v>1459902469457.28</v>
      </c>
      <c r="H171" s="140">
        <v>1459902469457.28</v>
      </c>
      <c r="I171" s="54"/>
      <c r="J171" s="55"/>
    </row>
    <row r="172" spans="2:13" ht="17.25" customHeight="1">
      <c r="B172" s="137" t="s">
        <v>28</v>
      </c>
      <c r="C172" s="137" t="s">
        <v>28</v>
      </c>
      <c r="D172" s="137" t="s">
        <v>28</v>
      </c>
      <c r="E172" s="137" t="s">
        <v>28</v>
      </c>
      <c r="F172" s="138" t="s">
        <v>28</v>
      </c>
      <c r="G172" s="139">
        <v>1351092919934.8899</v>
      </c>
      <c r="H172" s="140">
        <v>1351092919934.8899</v>
      </c>
      <c r="I172" s="54"/>
      <c r="J172" s="55"/>
    </row>
    <row r="173" spans="2:13" ht="17.25" customHeight="1">
      <c r="B173" s="137" t="s">
        <v>36</v>
      </c>
      <c r="C173" s="137" t="s">
        <v>36</v>
      </c>
      <c r="D173" s="137" t="s">
        <v>36</v>
      </c>
      <c r="E173" s="137" t="s">
        <v>36</v>
      </c>
      <c r="F173" s="138" t="s">
        <v>36</v>
      </c>
      <c r="G173" s="139">
        <v>892605760781.59998</v>
      </c>
      <c r="H173" s="140">
        <v>892605760781.59998</v>
      </c>
      <c r="I173" s="56"/>
      <c r="J173" s="49"/>
    </row>
    <row r="174" spans="2:13" ht="17.25" customHeight="1">
      <c r="B174" s="137" t="s">
        <v>27</v>
      </c>
      <c r="C174" s="137" t="s">
        <v>27</v>
      </c>
      <c r="D174" s="137" t="s">
        <v>27</v>
      </c>
      <c r="E174" s="137" t="s">
        <v>27</v>
      </c>
      <c r="F174" s="138" t="s">
        <v>27</v>
      </c>
      <c r="G174" s="139">
        <v>831679821216.23999</v>
      </c>
      <c r="H174" s="140">
        <v>831679821216.23999</v>
      </c>
      <c r="I174" s="54"/>
      <c r="J174" s="55"/>
    </row>
    <row r="175" spans="2:13" ht="17.25" customHeight="1">
      <c r="B175" s="137" t="s">
        <v>43</v>
      </c>
      <c r="C175" s="137" t="s">
        <v>43</v>
      </c>
      <c r="D175" s="137" t="s">
        <v>43</v>
      </c>
      <c r="E175" s="137" t="s">
        <v>43</v>
      </c>
      <c r="F175" s="138" t="s">
        <v>43</v>
      </c>
      <c r="G175" s="139">
        <v>544565548834.13</v>
      </c>
      <c r="H175" s="140">
        <v>544565548834.13</v>
      </c>
      <c r="I175" s="54"/>
      <c r="J175" s="55"/>
    </row>
    <row r="176" spans="2:13" ht="17.25" customHeight="1">
      <c r="B176" s="137" t="s">
        <v>39</v>
      </c>
      <c r="C176" s="137" t="s">
        <v>39</v>
      </c>
      <c r="D176" s="137" t="s">
        <v>39</v>
      </c>
      <c r="E176" s="137" t="s">
        <v>39</v>
      </c>
      <c r="F176" s="138" t="s">
        <v>39</v>
      </c>
      <c r="G176" s="139">
        <v>526729298841.01001</v>
      </c>
      <c r="H176" s="140">
        <v>526729298841.01001</v>
      </c>
      <c r="I176" s="54"/>
      <c r="J176" s="55"/>
    </row>
    <row r="177" spans="2:10" ht="17.25" customHeight="1">
      <c r="B177" s="137" t="s">
        <v>49</v>
      </c>
      <c r="C177" s="137" t="s">
        <v>49</v>
      </c>
      <c r="D177" s="137" t="s">
        <v>49</v>
      </c>
      <c r="E177" s="137" t="s">
        <v>49</v>
      </c>
      <c r="F177" s="138" t="s">
        <v>49</v>
      </c>
      <c r="G177" s="139">
        <v>418510021914.07001</v>
      </c>
      <c r="H177" s="140">
        <v>418510021914.07001</v>
      </c>
      <c r="I177" s="54"/>
      <c r="J177" s="55"/>
    </row>
    <row r="178" spans="2:10" ht="18" customHeight="1" thickBot="1">
      <c r="B178" s="154" t="s">
        <v>59</v>
      </c>
      <c r="C178" s="154" t="s">
        <v>59</v>
      </c>
      <c r="D178" s="154" t="s">
        <v>59</v>
      </c>
      <c r="E178" s="154" t="s">
        <v>59</v>
      </c>
      <c r="F178" s="146" t="s">
        <v>59</v>
      </c>
      <c r="G178" s="155">
        <v>407710395839.51001</v>
      </c>
      <c r="H178" s="156">
        <v>407710395839.51001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7203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7203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Company>MICEX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Zakharova_ia</dc:creator>
  <cp:lastModifiedBy>Захарова Ирина Алексеевна</cp:lastModifiedBy>
  <cp:lastPrinted>2017-10-03T07:02:17Z</cp:lastPrinted>
  <dcterms:created xsi:type="dcterms:W3CDTF">2007-06-25T14:16:27Z</dcterms:created>
  <dcterms:modified xsi:type="dcterms:W3CDTF">2018-01-11T07:32:19Z</dcterms:modified>
</cp:coreProperties>
</file>