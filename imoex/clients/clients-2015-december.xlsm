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10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11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2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always" codeName="ЭтаКнига1" defaultThemeVersion="124226"/>
  <bookViews>
    <workbookView xWindow="-3165" yWindow="435" windowWidth="15480" windowHeight="6195" tabRatio="773" activeTab="11"/>
  </bookViews>
  <sheets>
    <sheet name="Январь2015" sheetId="272" r:id="rId1"/>
    <sheet name="Февраль2015" sheetId="273" r:id="rId2"/>
    <sheet name="Март2015" sheetId="274" r:id="rId3"/>
    <sheet name="Апрель2015" sheetId="275" r:id="rId4"/>
    <sheet name="Май2015" sheetId="276" r:id="rId5"/>
    <sheet name="Июнь2015" sheetId="277" r:id="rId6"/>
    <sheet name="Июль2015" sheetId="278" r:id="rId7"/>
    <sheet name="Август2015" sheetId="279" r:id="rId8"/>
    <sheet name="Сентябрь2015" sheetId="280" r:id="rId9"/>
    <sheet name="Октябрь2015" sheetId="281" r:id="rId10"/>
    <sheet name="Ноябрь2015" sheetId="282" r:id="rId11"/>
    <sheet name="Декабрь2015" sheetId="283" r:id="rId12"/>
  </sheets>
  <externalReferences>
    <externalReference r:id="rId13"/>
  </externalReferences>
  <calcPr calcId="145621" concurrentCalc="0"/>
</workbook>
</file>

<file path=xl/calcChain.xml><?xml version="1.0" encoding="utf-8"?>
<calcChain xmlns="http://schemas.openxmlformats.org/spreadsheetml/2006/main">
  <c r="E35" i="283" l="1"/>
  <c r="E36" i="283"/>
  <c r="E37" i="283"/>
  <c r="E38" i="283"/>
  <c r="E39" i="283"/>
  <c r="E40" i="283"/>
  <c r="E34" i="283"/>
  <c r="E24" i="283"/>
  <c r="E25" i="283"/>
  <c r="E26" i="283"/>
  <c r="E27" i="283"/>
  <c r="E28" i="283"/>
  <c r="E29" i="283"/>
  <c r="E23" i="283"/>
  <c r="E13" i="283"/>
  <c r="E14" i="283"/>
  <c r="E15" i="283"/>
  <c r="E16" i="283"/>
  <c r="E17" i="283"/>
  <c r="E18" i="283"/>
  <c r="E12" i="283"/>
  <c r="E34" i="282"/>
  <c r="E35" i="282"/>
  <c r="E36" i="282"/>
  <c r="E37" i="282"/>
  <c r="E38" i="282"/>
  <c r="E39" i="282"/>
  <c r="E40" i="282"/>
  <c r="E29" i="282"/>
  <c r="E24" i="282"/>
  <c r="E25" i="282"/>
  <c r="E26" i="282"/>
  <c r="E27" i="282"/>
  <c r="E28" i="282"/>
  <c r="E23" i="282"/>
  <c r="E13" i="282"/>
  <c r="E14" i="282"/>
  <c r="E15" i="282"/>
  <c r="E16" i="282"/>
  <c r="E17" i="282"/>
  <c r="E18" i="282"/>
  <c r="E12" i="282"/>
  <c r="E35" i="281"/>
  <c r="E36" i="281"/>
  <c r="E37" i="281"/>
  <c r="E38" i="281"/>
  <c r="E39" i="281"/>
  <c r="E40" i="281"/>
  <c r="E34" i="281"/>
  <c r="E24" i="281"/>
  <c r="E25" i="281"/>
  <c r="E26" i="281"/>
  <c r="E27" i="281"/>
  <c r="E28" i="281"/>
  <c r="E29" i="281"/>
  <c r="E23" i="281"/>
  <c r="E13" i="281"/>
  <c r="E14" i="281"/>
  <c r="E15" i="281"/>
  <c r="E16" i="281"/>
  <c r="E17" i="281"/>
  <c r="E18" i="281"/>
  <c r="E12" i="281"/>
  <c r="E35" i="280"/>
  <c r="E36" i="280"/>
  <c r="E37" i="280"/>
  <c r="E38" i="280"/>
  <c r="E39" i="280"/>
  <c r="E40" i="280"/>
  <c r="E34" i="280"/>
  <c r="E24" i="280"/>
  <c r="E25" i="280"/>
  <c r="E26" i="280"/>
  <c r="E27" i="280"/>
  <c r="E28" i="280"/>
  <c r="E29" i="280"/>
  <c r="E23" i="280"/>
  <c r="E13" i="280"/>
  <c r="E14" i="280"/>
  <c r="E15" i="280"/>
  <c r="E16" i="280"/>
  <c r="E17" i="280"/>
  <c r="E18" i="280"/>
  <c r="E12" i="280"/>
  <c r="E35" i="279"/>
  <c r="E36" i="279"/>
  <c r="E37" i="279"/>
  <c r="E38" i="279"/>
  <c r="E39" i="279"/>
  <c r="E40" i="279"/>
  <c r="E34" i="279"/>
  <c r="E24" i="279"/>
  <c r="E25" i="279"/>
  <c r="E26" i="279"/>
  <c r="E27" i="279"/>
  <c r="E28" i="279"/>
  <c r="E29" i="279"/>
  <c r="E23" i="279"/>
  <c r="E13" i="279"/>
  <c r="E14" i="279"/>
  <c r="E15" i="279"/>
  <c r="E16" i="279"/>
  <c r="E17" i="279"/>
  <c r="E18" i="279"/>
  <c r="E12" i="279"/>
  <c r="E35" i="278"/>
  <c r="E36" i="278"/>
  <c r="E37" i="278"/>
  <c r="E38" i="278"/>
  <c r="E39" i="278"/>
  <c r="E40" i="278"/>
  <c r="E34" i="278"/>
  <c r="E24" i="278"/>
  <c r="E25" i="278"/>
  <c r="E26" i="278"/>
  <c r="E27" i="278"/>
  <c r="E28" i="278"/>
  <c r="E29" i="278"/>
  <c r="E23" i="278"/>
  <c r="E13" i="278"/>
  <c r="E14" i="278"/>
  <c r="E15" i="278"/>
  <c r="E16" i="278"/>
  <c r="E17" i="278"/>
  <c r="E18" i="278"/>
  <c r="E12" i="278"/>
  <c r="E35" i="277"/>
  <c r="E36" i="277"/>
  <c r="E37" i="277"/>
  <c r="E38" i="277"/>
  <c r="E39" i="277"/>
  <c r="E40" i="277"/>
  <c r="E34" i="277"/>
  <c r="E24" i="277"/>
  <c r="E25" i="277"/>
  <c r="E26" i="277"/>
  <c r="E27" i="277"/>
  <c r="E28" i="277"/>
  <c r="E29" i="277"/>
  <c r="E23" i="277"/>
  <c r="E13" i="277"/>
  <c r="E14" i="277"/>
  <c r="E15" i="277"/>
  <c r="E16" i="277"/>
  <c r="E17" i="277"/>
  <c r="E18" i="277"/>
  <c r="E12" i="277"/>
  <c r="E35" i="276"/>
  <c r="E36" i="276"/>
  <c r="E37" i="276"/>
  <c r="E38" i="276"/>
  <c r="E39" i="276"/>
  <c r="E34" i="276"/>
  <c r="E24" i="276"/>
  <c r="E25" i="276"/>
  <c r="E26" i="276"/>
  <c r="E27" i="276"/>
  <c r="E28" i="276"/>
  <c r="E29" i="276"/>
  <c r="E23" i="276"/>
  <c r="E13" i="276"/>
  <c r="E14" i="276"/>
  <c r="E15" i="276"/>
  <c r="E16" i="276"/>
  <c r="E17" i="276"/>
  <c r="E18" i="276"/>
  <c r="E12" i="276"/>
  <c r="E35" i="275"/>
  <c r="E36" i="275"/>
  <c r="E37" i="275"/>
  <c r="E38" i="275"/>
  <c r="E39" i="275"/>
  <c r="E40" i="275"/>
  <c r="E34" i="275"/>
  <c r="E24" i="275"/>
  <c r="E25" i="275"/>
  <c r="E26" i="275"/>
  <c r="E27" i="275"/>
  <c r="E28" i="275"/>
  <c r="E29" i="275"/>
  <c r="E23" i="275"/>
  <c r="E13" i="275"/>
  <c r="E14" i="275"/>
  <c r="E15" i="275"/>
  <c r="E16" i="275"/>
  <c r="E17" i="275"/>
  <c r="E18" i="275"/>
  <c r="E12" i="275"/>
  <c r="E35" i="274"/>
  <c r="E36" i="274"/>
  <c r="E37" i="274"/>
  <c r="E38" i="274"/>
  <c r="E39" i="274"/>
  <c r="E40" i="274"/>
  <c r="E34" i="274"/>
  <c r="E24" i="274"/>
  <c r="E25" i="274"/>
  <c r="E26" i="274"/>
  <c r="E27" i="274"/>
  <c r="E28" i="274"/>
  <c r="E29" i="274"/>
  <c r="E23" i="274"/>
  <c r="E13" i="274"/>
  <c r="E14" i="274"/>
  <c r="E15" i="274"/>
  <c r="E16" i="274"/>
  <c r="E17" i="274"/>
  <c r="E18" i="274"/>
  <c r="E12" i="274"/>
  <c r="E35" i="273"/>
  <c r="E36" i="273"/>
  <c r="E37" i="273"/>
  <c r="E38" i="273"/>
  <c r="E39" i="273"/>
  <c r="E40" i="273"/>
  <c r="E34" i="273"/>
  <c r="E24" i="273"/>
  <c r="E25" i="273"/>
  <c r="E26" i="273"/>
  <c r="E27" i="273"/>
  <c r="E28" i="273"/>
  <c r="E29" i="273"/>
  <c r="E23" i="273"/>
  <c r="E13" i="273"/>
  <c r="E14" i="273"/>
  <c r="E15" i="273"/>
  <c r="E16" i="273"/>
  <c r="E17" i="273"/>
  <c r="E18" i="273"/>
  <c r="E12" i="273"/>
  <c r="C6" i="283"/>
  <c r="F133" i="283"/>
  <c r="C124" i="283"/>
  <c r="E11" i="283"/>
  <c r="H83" i="283"/>
  <c r="G83" i="283"/>
  <c r="F83" i="283"/>
  <c r="E83" i="283"/>
  <c r="D83" i="283"/>
  <c r="C83" i="283"/>
  <c r="H40" i="283"/>
  <c r="G40" i="283"/>
  <c r="H39" i="283"/>
  <c r="G39" i="283"/>
  <c r="H38" i="283"/>
  <c r="G38" i="283"/>
  <c r="H37" i="283"/>
  <c r="G37" i="283"/>
  <c r="H36" i="283"/>
  <c r="G36" i="283"/>
  <c r="H35" i="283"/>
  <c r="G35" i="283"/>
  <c r="H34" i="283"/>
  <c r="G34" i="283"/>
  <c r="F11" i="283"/>
  <c r="F33" i="283"/>
  <c r="E33" i="283"/>
  <c r="H29" i="283"/>
  <c r="G29" i="283"/>
  <c r="H28" i="283"/>
  <c r="G28" i="283"/>
  <c r="H27" i="283"/>
  <c r="G27" i="283"/>
  <c r="H26" i="283"/>
  <c r="G26" i="283"/>
  <c r="H25" i="283"/>
  <c r="G25" i="283"/>
  <c r="H24" i="283"/>
  <c r="G24" i="283"/>
  <c r="H23" i="283"/>
  <c r="G23" i="283"/>
  <c r="F22" i="283"/>
  <c r="E22" i="283"/>
  <c r="H18" i="283"/>
  <c r="G18" i="283"/>
  <c r="H17" i="283"/>
  <c r="G17" i="283"/>
  <c r="H16" i="283"/>
  <c r="G16" i="283"/>
  <c r="H15" i="283"/>
  <c r="G15" i="283"/>
  <c r="H14" i="283"/>
  <c r="G14" i="283"/>
  <c r="H13" i="283"/>
  <c r="G13" i="283"/>
  <c r="H12" i="283"/>
  <c r="G12" i="283"/>
  <c r="H83" i="282"/>
  <c r="C83" i="282"/>
  <c r="E22" i="282"/>
  <c r="F22" i="282"/>
  <c r="E11" i="282"/>
  <c r="E33" i="282"/>
  <c r="G83" i="282"/>
  <c r="F11" i="282"/>
  <c r="F33" i="282"/>
  <c r="C6" i="282"/>
  <c r="F133" i="282"/>
  <c r="C124" i="282"/>
  <c r="H40" i="282"/>
  <c r="G40" i="282"/>
  <c r="H39" i="282"/>
  <c r="G39" i="282"/>
  <c r="H38" i="282"/>
  <c r="G38" i="282"/>
  <c r="H37" i="282"/>
  <c r="G37" i="282"/>
  <c r="H36" i="282"/>
  <c r="G36" i="282"/>
  <c r="H35" i="282"/>
  <c r="G35" i="282"/>
  <c r="H34" i="282"/>
  <c r="G34" i="282"/>
  <c r="H29" i="282"/>
  <c r="G29" i="282"/>
  <c r="H28" i="282"/>
  <c r="G28" i="282"/>
  <c r="H27" i="282"/>
  <c r="G27" i="282"/>
  <c r="H26" i="282"/>
  <c r="G26" i="282"/>
  <c r="H25" i="282"/>
  <c r="G25" i="282"/>
  <c r="H24" i="282"/>
  <c r="G24" i="282"/>
  <c r="H23" i="282"/>
  <c r="G23" i="282"/>
  <c r="H18" i="282"/>
  <c r="G18" i="282"/>
  <c r="H17" i="282"/>
  <c r="G17" i="282"/>
  <c r="H16" i="282"/>
  <c r="G16" i="282"/>
  <c r="H15" i="282"/>
  <c r="G15" i="282"/>
  <c r="H14" i="282"/>
  <c r="G14" i="282"/>
  <c r="H13" i="282"/>
  <c r="G13" i="282"/>
  <c r="H12" i="282"/>
  <c r="G12" i="282"/>
  <c r="F83" i="282"/>
  <c r="E83" i="282"/>
  <c r="D83" i="282"/>
  <c r="C6" i="281"/>
  <c r="F133" i="281"/>
  <c r="C124" i="281"/>
  <c r="H83" i="281"/>
  <c r="G83" i="281"/>
  <c r="F83" i="281"/>
  <c r="E83" i="281"/>
  <c r="D83" i="281"/>
  <c r="C83" i="281"/>
  <c r="H40" i="281"/>
  <c r="G40" i="281"/>
  <c r="H39" i="281"/>
  <c r="G39" i="281"/>
  <c r="H38" i="281"/>
  <c r="G38" i="281"/>
  <c r="H37" i="281"/>
  <c r="G37" i="281"/>
  <c r="H36" i="281"/>
  <c r="G36" i="281"/>
  <c r="H35" i="281"/>
  <c r="G35" i="281"/>
  <c r="H34" i="281"/>
  <c r="G34" i="281"/>
  <c r="F11" i="281"/>
  <c r="F33" i="281"/>
  <c r="E33" i="281"/>
  <c r="H29" i="281"/>
  <c r="G29" i="281"/>
  <c r="H28" i="281"/>
  <c r="G28" i="281"/>
  <c r="H27" i="281"/>
  <c r="G27" i="281"/>
  <c r="H26" i="281"/>
  <c r="G26" i="281"/>
  <c r="H25" i="281"/>
  <c r="G25" i="281"/>
  <c r="H24" i="281"/>
  <c r="G24" i="281"/>
  <c r="H23" i="281"/>
  <c r="G23" i="281"/>
  <c r="F22" i="281"/>
  <c r="E22" i="281"/>
  <c r="H18" i="281"/>
  <c r="G18" i="281"/>
  <c r="H17" i="281"/>
  <c r="G17" i="281"/>
  <c r="H16" i="281"/>
  <c r="G16" i="281"/>
  <c r="H15" i="281"/>
  <c r="G15" i="281"/>
  <c r="H14" i="281"/>
  <c r="G14" i="281"/>
  <c r="H13" i="281"/>
  <c r="G13" i="281"/>
  <c r="H12" i="281"/>
  <c r="G12" i="281"/>
  <c r="C124" i="280"/>
  <c r="H83" i="280"/>
  <c r="G83" i="280"/>
  <c r="F83" i="280"/>
  <c r="E83" i="280"/>
  <c r="D83" i="280"/>
  <c r="C83" i="280"/>
  <c r="H40" i="280"/>
  <c r="G40" i="280"/>
  <c r="H39" i="280"/>
  <c r="G39" i="280"/>
  <c r="H38" i="280"/>
  <c r="G38" i="280"/>
  <c r="H37" i="280"/>
  <c r="G37" i="280"/>
  <c r="H36" i="280"/>
  <c r="G36" i="280"/>
  <c r="H35" i="280"/>
  <c r="G35" i="280"/>
  <c r="H34" i="280"/>
  <c r="G34" i="280"/>
  <c r="E33" i="280"/>
  <c r="H29" i="280"/>
  <c r="G29" i="280"/>
  <c r="H28" i="280"/>
  <c r="G28" i="280"/>
  <c r="H27" i="280"/>
  <c r="G27" i="280"/>
  <c r="H26" i="280"/>
  <c r="G26" i="280"/>
  <c r="H25" i="280"/>
  <c r="G25" i="280"/>
  <c r="H24" i="280"/>
  <c r="G24" i="280"/>
  <c r="H23" i="280"/>
  <c r="G23" i="280"/>
  <c r="E22" i="280"/>
  <c r="H18" i="280"/>
  <c r="G18" i="280"/>
  <c r="H17" i="280"/>
  <c r="G17" i="280"/>
  <c r="H16" i="280"/>
  <c r="G16" i="280"/>
  <c r="H15" i="280"/>
  <c r="G15" i="280"/>
  <c r="H14" i="280"/>
  <c r="G14" i="280"/>
  <c r="H13" i="280"/>
  <c r="G13" i="280"/>
  <c r="H12" i="280"/>
  <c r="G12" i="280"/>
  <c r="F11" i="280"/>
  <c r="F33" i="280"/>
  <c r="C6" i="280"/>
  <c r="F133" i="280"/>
  <c r="F22" i="280"/>
  <c r="C124" i="279"/>
  <c r="H83" i="279"/>
  <c r="G83" i="279"/>
  <c r="F83" i="279"/>
  <c r="E83" i="279"/>
  <c r="D83" i="279"/>
  <c r="C83" i="279"/>
  <c r="H40" i="279"/>
  <c r="G40" i="279"/>
  <c r="H39" i="279"/>
  <c r="G39" i="279"/>
  <c r="H38" i="279"/>
  <c r="G38" i="279"/>
  <c r="H37" i="279"/>
  <c r="G37" i="279"/>
  <c r="H36" i="279"/>
  <c r="G36" i="279"/>
  <c r="H35" i="279"/>
  <c r="G35" i="279"/>
  <c r="H34" i="279"/>
  <c r="G34" i="279"/>
  <c r="E33" i="279"/>
  <c r="H29" i="279"/>
  <c r="G29" i="279"/>
  <c r="H28" i="279"/>
  <c r="G28" i="279"/>
  <c r="H27" i="279"/>
  <c r="G27" i="279"/>
  <c r="H26" i="279"/>
  <c r="G26" i="279"/>
  <c r="H25" i="279"/>
  <c r="G25" i="279"/>
  <c r="H24" i="279"/>
  <c r="G24" i="279"/>
  <c r="H23" i="279"/>
  <c r="G23" i="279"/>
  <c r="E22" i="279"/>
  <c r="H18" i="279"/>
  <c r="G18" i="279"/>
  <c r="H17" i="279"/>
  <c r="G17" i="279"/>
  <c r="H16" i="279"/>
  <c r="G16" i="279"/>
  <c r="H15" i="279"/>
  <c r="G15" i="279"/>
  <c r="H14" i="279"/>
  <c r="G14" i="279"/>
  <c r="H13" i="279"/>
  <c r="G13" i="279"/>
  <c r="H12" i="279"/>
  <c r="G12" i="279"/>
  <c r="F11" i="279"/>
  <c r="F22" i="279"/>
  <c r="C6" i="279"/>
  <c r="F133" i="279"/>
  <c r="F33" i="279"/>
  <c r="C124" i="278"/>
  <c r="H83" i="278"/>
  <c r="G83" i="278"/>
  <c r="F83" i="278"/>
  <c r="E83" i="278"/>
  <c r="D83" i="278"/>
  <c r="C83" i="278"/>
  <c r="H40" i="278"/>
  <c r="G40" i="278"/>
  <c r="H39" i="278"/>
  <c r="G39" i="278"/>
  <c r="H38" i="278"/>
  <c r="G38" i="278"/>
  <c r="H37" i="278"/>
  <c r="G37" i="278"/>
  <c r="H36" i="278"/>
  <c r="G36" i="278"/>
  <c r="H35" i="278"/>
  <c r="G35" i="278"/>
  <c r="H34" i="278"/>
  <c r="G34" i="278"/>
  <c r="E33" i="278"/>
  <c r="H29" i="278"/>
  <c r="G29" i="278"/>
  <c r="H28" i="278"/>
  <c r="G28" i="278"/>
  <c r="H27" i="278"/>
  <c r="G27" i="278"/>
  <c r="H26" i="278"/>
  <c r="G26" i="278"/>
  <c r="H25" i="278"/>
  <c r="G25" i="278"/>
  <c r="H24" i="278"/>
  <c r="G24" i="278"/>
  <c r="H23" i="278"/>
  <c r="G23" i="278"/>
  <c r="E22" i="278"/>
  <c r="H18" i="278"/>
  <c r="G18" i="278"/>
  <c r="H17" i="278"/>
  <c r="G17" i="278"/>
  <c r="H16" i="278"/>
  <c r="G16" i="278"/>
  <c r="H15" i="278"/>
  <c r="G15" i="278"/>
  <c r="H14" i="278"/>
  <c r="G14" i="278"/>
  <c r="H13" i="278"/>
  <c r="G13" i="278"/>
  <c r="H12" i="278"/>
  <c r="G12" i="278"/>
  <c r="F11" i="278"/>
  <c r="F22" i="278"/>
  <c r="C6" i="278"/>
  <c r="F133" i="278"/>
  <c r="F33" i="278"/>
  <c r="C124" i="277"/>
  <c r="H83" i="277"/>
  <c r="G83" i="277"/>
  <c r="F83" i="277"/>
  <c r="E83" i="277"/>
  <c r="D83" i="277"/>
  <c r="C83" i="277"/>
  <c r="H40" i="277"/>
  <c r="G40" i="277"/>
  <c r="H39" i="277"/>
  <c r="G39" i="277"/>
  <c r="H38" i="277"/>
  <c r="G38" i="277"/>
  <c r="H37" i="277"/>
  <c r="G37" i="277"/>
  <c r="H36" i="277"/>
  <c r="G36" i="277"/>
  <c r="H35" i="277"/>
  <c r="G35" i="277"/>
  <c r="H34" i="277"/>
  <c r="G34" i="277"/>
  <c r="E33" i="277"/>
  <c r="H29" i="277"/>
  <c r="G29" i="277"/>
  <c r="H28" i="277"/>
  <c r="G28" i="277"/>
  <c r="H27" i="277"/>
  <c r="G27" i="277"/>
  <c r="H26" i="277"/>
  <c r="G26" i="277"/>
  <c r="H25" i="277"/>
  <c r="G25" i="277"/>
  <c r="H24" i="277"/>
  <c r="G24" i="277"/>
  <c r="H23" i="277"/>
  <c r="G23" i="277"/>
  <c r="E22" i="277"/>
  <c r="H18" i="277"/>
  <c r="G18" i="277"/>
  <c r="H17" i="277"/>
  <c r="G17" i="277"/>
  <c r="H16" i="277"/>
  <c r="G16" i="277"/>
  <c r="H15" i="277"/>
  <c r="G15" i="277"/>
  <c r="H14" i="277"/>
  <c r="G14" i="277"/>
  <c r="H13" i="277"/>
  <c r="G13" i="277"/>
  <c r="H12" i="277"/>
  <c r="G12" i="277"/>
  <c r="F11" i="277"/>
  <c r="F33" i="277"/>
  <c r="C6" i="277"/>
  <c r="F133" i="277"/>
  <c r="F22" i="277"/>
  <c r="C124" i="276"/>
  <c r="H83" i="276"/>
  <c r="G83" i="276"/>
  <c r="F83" i="276"/>
  <c r="E83" i="276"/>
  <c r="D83" i="276"/>
  <c r="C83" i="276"/>
  <c r="H40" i="276"/>
  <c r="G40" i="276"/>
  <c r="H39" i="276"/>
  <c r="G39" i="276"/>
  <c r="H38" i="276"/>
  <c r="G38" i="276"/>
  <c r="H37" i="276"/>
  <c r="G37" i="276"/>
  <c r="H36" i="276"/>
  <c r="G36" i="276"/>
  <c r="H35" i="276"/>
  <c r="G35" i="276"/>
  <c r="H34" i="276"/>
  <c r="G34" i="276"/>
  <c r="E33" i="276"/>
  <c r="H29" i="276"/>
  <c r="G29" i="276"/>
  <c r="H28" i="276"/>
  <c r="G28" i="276"/>
  <c r="H27" i="276"/>
  <c r="G27" i="276"/>
  <c r="H26" i="276"/>
  <c r="G26" i="276"/>
  <c r="H25" i="276"/>
  <c r="G25" i="276"/>
  <c r="H24" i="276"/>
  <c r="G24" i="276"/>
  <c r="H23" i="276"/>
  <c r="G23" i="276"/>
  <c r="E22" i="276"/>
  <c r="H18" i="276"/>
  <c r="G18" i="276"/>
  <c r="H17" i="276"/>
  <c r="G17" i="276"/>
  <c r="H16" i="276"/>
  <c r="G16" i="276"/>
  <c r="H15" i="276"/>
  <c r="G15" i="276"/>
  <c r="H14" i="276"/>
  <c r="G14" i="276"/>
  <c r="H13" i="276"/>
  <c r="G13" i="276"/>
  <c r="H12" i="276"/>
  <c r="G12" i="276"/>
  <c r="F11" i="276"/>
  <c r="F33" i="276"/>
  <c r="C6" i="276"/>
  <c r="F133" i="276"/>
  <c r="F22" i="276"/>
  <c r="C124" i="275"/>
  <c r="H83" i="275"/>
  <c r="G83" i="275"/>
  <c r="F83" i="275"/>
  <c r="E83" i="275"/>
  <c r="D83" i="275"/>
  <c r="C83" i="275"/>
  <c r="H40" i="275"/>
  <c r="G40" i="275"/>
  <c r="H39" i="275"/>
  <c r="G39" i="275"/>
  <c r="H38" i="275"/>
  <c r="G38" i="275"/>
  <c r="H37" i="275"/>
  <c r="G37" i="275"/>
  <c r="H36" i="275"/>
  <c r="G36" i="275"/>
  <c r="H35" i="275"/>
  <c r="G35" i="275"/>
  <c r="H34" i="275"/>
  <c r="G34" i="275"/>
  <c r="E33" i="275"/>
  <c r="H29" i="275"/>
  <c r="G29" i="275"/>
  <c r="H28" i="275"/>
  <c r="G28" i="275"/>
  <c r="H27" i="275"/>
  <c r="G27" i="275"/>
  <c r="H26" i="275"/>
  <c r="G26" i="275"/>
  <c r="H25" i="275"/>
  <c r="G25" i="275"/>
  <c r="H24" i="275"/>
  <c r="G24" i="275"/>
  <c r="H23" i="275"/>
  <c r="G23" i="275"/>
  <c r="E22" i="275"/>
  <c r="H18" i="275"/>
  <c r="G18" i="275"/>
  <c r="H17" i="275"/>
  <c r="G17" i="275"/>
  <c r="H16" i="275"/>
  <c r="G16" i="275"/>
  <c r="H15" i="275"/>
  <c r="G15" i="275"/>
  <c r="H14" i="275"/>
  <c r="G14" i="275"/>
  <c r="H13" i="275"/>
  <c r="G13" i="275"/>
  <c r="H12" i="275"/>
  <c r="G12" i="275"/>
  <c r="F11" i="275"/>
  <c r="F33" i="275"/>
  <c r="C6" i="275"/>
  <c r="F133" i="275"/>
  <c r="F22" i="275"/>
  <c r="C124" i="274"/>
  <c r="H83" i="274"/>
  <c r="G83" i="274"/>
  <c r="F83" i="274"/>
  <c r="E83" i="274"/>
  <c r="D83" i="274"/>
  <c r="C83" i="274"/>
  <c r="H40" i="274"/>
  <c r="G40" i="274"/>
  <c r="H39" i="274"/>
  <c r="G39" i="274"/>
  <c r="H38" i="274"/>
  <c r="G38" i="274"/>
  <c r="H37" i="274"/>
  <c r="G37" i="274"/>
  <c r="H36" i="274"/>
  <c r="G36" i="274"/>
  <c r="H35" i="274"/>
  <c r="G35" i="274"/>
  <c r="H34" i="274"/>
  <c r="G34" i="274"/>
  <c r="E33" i="274"/>
  <c r="H29" i="274"/>
  <c r="G29" i="274"/>
  <c r="H28" i="274"/>
  <c r="G28" i="274"/>
  <c r="H27" i="274"/>
  <c r="G27" i="274"/>
  <c r="H26" i="274"/>
  <c r="G26" i="274"/>
  <c r="H25" i="274"/>
  <c r="G25" i="274"/>
  <c r="H24" i="274"/>
  <c r="G24" i="274"/>
  <c r="H23" i="274"/>
  <c r="G23" i="274"/>
  <c r="E22" i="274"/>
  <c r="H18" i="274"/>
  <c r="G18" i="274"/>
  <c r="H17" i="274"/>
  <c r="G17" i="274"/>
  <c r="H16" i="274"/>
  <c r="G16" i="274"/>
  <c r="H15" i="274"/>
  <c r="G15" i="274"/>
  <c r="H14" i="274"/>
  <c r="G14" i="274"/>
  <c r="H13" i="274"/>
  <c r="G13" i="274"/>
  <c r="H12" i="274"/>
  <c r="G12" i="274"/>
  <c r="F11" i="274"/>
  <c r="F33" i="274"/>
  <c r="C6" i="274"/>
  <c r="F133" i="274"/>
  <c r="F22" i="274"/>
  <c r="C124" i="273"/>
  <c r="H83" i="273"/>
  <c r="G83" i="273"/>
  <c r="F83" i="273"/>
  <c r="E83" i="273"/>
  <c r="D83" i="273"/>
  <c r="C83" i="273"/>
  <c r="H40" i="273"/>
  <c r="G40" i="273"/>
  <c r="H39" i="273"/>
  <c r="G39" i="273"/>
  <c r="H38" i="273"/>
  <c r="G38" i="273"/>
  <c r="H37" i="273"/>
  <c r="G37" i="273"/>
  <c r="H36" i="273"/>
  <c r="G36" i="273"/>
  <c r="H35" i="273"/>
  <c r="G35" i="273"/>
  <c r="H34" i="273"/>
  <c r="G34" i="273"/>
  <c r="E33" i="273"/>
  <c r="H29" i="273"/>
  <c r="G29" i="273"/>
  <c r="H28" i="273"/>
  <c r="G28" i="273"/>
  <c r="H27" i="273"/>
  <c r="G27" i="273"/>
  <c r="H26" i="273"/>
  <c r="G26" i="273"/>
  <c r="H25" i="273"/>
  <c r="G25" i="273"/>
  <c r="H24" i="273"/>
  <c r="G24" i="273"/>
  <c r="H23" i="273"/>
  <c r="G23" i="273"/>
  <c r="E22" i="273"/>
  <c r="H18" i="273"/>
  <c r="G18" i="273"/>
  <c r="H17" i="273"/>
  <c r="G17" i="273"/>
  <c r="H16" i="273"/>
  <c r="G16" i="273"/>
  <c r="H15" i="273"/>
  <c r="G15" i="273"/>
  <c r="H14" i="273"/>
  <c r="G14" i="273"/>
  <c r="H13" i="273"/>
  <c r="G13" i="273"/>
  <c r="H12" i="273"/>
  <c r="G12" i="273"/>
  <c r="F11" i="273"/>
  <c r="F33" i="273"/>
  <c r="C6" i="273"/>
  <c r="F133" i="273"/>
  <c r="F22" i="273"/>
  <c r="C124" i="272"/>
  <c r="E33" i="272"/>
  <c r="H83" i="272"/>
  <c r="G83" i="272"/>
  <c r="F83" i="272"/>
  <c r="E83" i="272"/>
  <c r="D83" i="272"/>
  <c r="C83" i="272"/>
  <c r="H40" i="272"/>
  <c r="G40" i="272"/>
  <c r="H39" i="272"/>
  <c r="G39" i="272"/>
  <c r="H38" i="272"/>
  <c r="G38" i="272"/>
  <c r="H37" i="272"/>
  <c r="G37" i="272"/>
  <c r="H36" i="272"/>
  <c r="G36" i="272"/>
  <c r="H35" i="272"/>
  <c r="G35" i="272"/>
  <c r="H34" i="272"/>
  <c r="G34" i="272"/>
  <c r="H29" i="272"/>
  <c r="G29" i="272"/>
  <c r="H28" i="272"/>
  <c r="G28" i="272"/>
  <c r="H27" i="272"/>
  <c r="G27" i="272"/>
  <c r="H26" i="272"/>
  <c r="G26" i="272"/>
  <c r="H25" i="272"/>
  <c r="G25" i="272"/>
  <c r="H24" i="272"/>
  <c r="G24" i="272"/>
  <c r="H23" i="272"/>
  <c r="G23" i="272"/>
  <c r="E22" i="272"/>
  <c r="H18" i="272"/>
  <c r="G18" i="272"/>
  <c r="H17" i="272"/>
  <c r="G17" i="272"/>
  <c r="H16" i="272"/>
  <c r="G16" i="272"/>
  <c r="H15" i="272"/>
  <c r="G15" i="272"/>
  <c r="H14" i="272"/>
  <c r="G14" i="272"/>
  <c r="H13" i="272"/>
  <c r="G13" i="272"/>
  <c r="H12" i="272"/>
  <c r="G12" i="272"/>
  <c r="F11" i="272"/>
  <c r="F22" i="272"/>
  <c r="C6" i="272"/>
  <c r="F133" i="272"/>
  <c r="F33" i="272"/>
</calcChain>
</file>

<file path=xl/connections.xml><?xml version="1.0" encoding="utf-8"?>
<connections xmlns="http://schemas.openxmlformats.org/spreadsheetml/2006/main">
  <connection id="1" sourceFile="C:\Documents and Settings\malina\Рабочий стол\клиенты\Зарегистрированные2012.xlsx" odcFile="C:\Documents and Settings\malina\Мои документы\Мои источники данных\Зарегистрированные2012 Январь2012$.odc" keepAlive="1" name="Зарегистрированные2012 Январь2012$" type="5" refreshedVersion="0" new="1" background="1">
    <dbPr connection="Provider=Microsoft.ACE.OLEDB.12.0;Password=&quot;&quot;;User ID=Admin;Data Source=C:\Documents and Settings\malina\Рабочий стол\клиенты\Зарегистрированные2012.xlsx;Mode=Share Deny Write;Extended Properties=&quot;HDR=YES;&quot;;Jet OLEDB:System database=&quot;&quot;;Jet OLEDB:Registry Path=&quot;&quot;;Jet OLEDB:Database Password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Январь2012$" commandType="3"/>
  </connection>
  <connection id="2" sourceFile="C:\Documents and Settings\malina\Рабочий стол\клиенты\Зарегистрированные2012.xlsx" odcFile="C:\Documents and Settings\malina\Мои документы\Мои источники данных\Зарегистрированные2012 Январь2012$.odc" keepAlive="1" name="Зарегистрированные2012 Январь2012$1" type="5" refreshedVersion="0" new="1" background="1">
    <dbPr connection="Provider=Microsoft.ACE.OLEDB.12.0;Password=&quot;&quot;;User ID=Admin;Data Source=C:\Documents and Settings\malina\Рабочий стол\клиенты\Зарегистрированные2012.xlsx;Mode=Share Deny Write;Extended Properties=&quot;HDR=YES;&quot;;Jet OLEDB:System database=&quot;&quot;;Jet OLEDB:Registry Path=&quot;&quot;;Jet OLEDB:Database Password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Январь2012$" commandType="3"/>
  </connection>
</connections>
</file>

<file path=xl/sharedStrings.xml><?xml version="1.0" encoding="utf-8"?>
<sst xmlns="http://schemas.openxmlformats.org/spreadsheetml/2006/main" count="2712" uniqueCount="64">
  <si>
    <t>Физические лица</t>
  </si>
  <si>
    <t>Юридические лица</t>
  </si>
  <si>
    <t>Нерезиденты</t>
  </si>
  <si>
    <t>Клиенты, передавшие свои средства в ДУ</t>
  </si>
  <si>
    <t>Всего</t>
  </si>
  <si>
    <t>Абсолютные показатели</t>
  </si>
  <si>
    <t>Количество клиентов</t>
  </si>
  <si>
    <t>Ведущие операторы рынка – число активных клиентов</t>
  </si>
  <si>
    <t>Ведущие операторы рынка – объем клиентских операций</t>
  </si>
  <si>
    <t>Торговый оборот, руб.</t>
  </si>
  <si>
    <t>Изменение (ед.)</t>
  </si>
  <si>
    <t>Изменение (%)</t>
  </si>
  <si>
    <t>Таблица 2</t>
  </si>
  <si>
    <t>Таблица 1</t>
  </si>
  <si>
    <t>Таблица 3</t>
  </si>
  <si>
    <t>Клиенты Участников торгов Фондовой биржи ММВБ</t>
  </si>
  <si>
    <t>Количество активных клиентов в Системе торгов (совершивших в течение месяца хотя бы одну сделку):</t>
  </si>
  <si>
    <t>Изменение количества уникальных клиентов - ретроспективные данные</t>
  </si>
  <si>
    <t>Группы клиентов</t>
  </si>
  <si>
    <t>Наименование Участника торгов</t>
  </si>
  <si>
    <t xml:space="preserve">Динамика количества клиентов за </t>
  </si>
  <si>
    <t xml:space="preserve">Списки ведущих операторов фондового рынка - клиенты Участников торгов за </t>
  </si>
  <si>
    <t>Количество Участников торгов, имеющих активных клиентов</t>
  </si>
  <si>
    <t xml:space="preserve">Нерезиденты - физические лица </t>
  </si>
  <si>
    <t xml:space="preserve">Нерезиденты - юридические лица </t>
  </si>
  <si>
    <t>Дополнительные показатели за</t>
  </si>
  <si>
    <t>Участники торгов</t>
  </si>
  <si>
    <t>Ведущие операторы рынка – число зарегистрированных клиентов</t>
  </si>
  <si>
    <t xml:space="preserve">(по общему количеству уникальных клиентов всех типов, зарегистрированных в системе торгов биржи, в том числе  в течение месяца) </t>
  </si>
  <si>
    <t>(по количеству уникальных клиентов, совершивших хотя бы одну сделку за месяц)</t>
  </si>
  <si>
    <t xml:space="preserve">(по стоимостному объему сделок, заключенных в интересах клиентов за месяц) </t>
  </si>
  <si>
    <t>ВТБ 24 (ЗАО)</t>
  </si>
  <si>
    <t>Сбербанк</t>
  </si>
  <si>
    <t>ЗАО "ФИНАМ"</t>
  </si>
  <si>
    <t>ФГ БКС</t>
  </si>
  <si>
    <t>ОАО "АЛЬФА-БАНК"</t>
  </si>
  <si>
    <t>ООО "АТОН"</t>
  </si>
  <si>
    <t>ГК "АЛОР"</t>
  </si>
  <si>
    <t>КИТ Финанс (ООО)</t>
  </si>
  <si>
    <t>ООО "Инвестиционная палата"</t>
  </si>
  <si>
    <t>ГПБ (ОАО)</t>
  </si>
  <si>
    <t>ОАО "Промсвязьбанк"</t>
  </si>
  <si>
    <t>ООО "ИК ВЕЛЕС Капитал"</t>
  </si>
  <si>
    <t>ООО "БК РЕГИОН"</t>
  </si>
  <si>
    <t>Количество зарегистрированных клиентов в Системе торгов (по состоянию на последний день месяца):</t>
  </si>
  <si>
    <t>Количество уникальных клиентов в Системе торгов (по состоянию на последний день месяца):</t>
  </si>
  <si>
    <t>Количество уникальных клиентов в Системе торгов (по состоянию на последний день месяца) (ежегодная статистика):</t>
  </si>
  <si>
    <t>Количество уникальных клиентов в Системе торгов (по состоянию на последний день месяца) (за последние 6 месяцев):</t>
  </si>
  <si>
    <t>ОАО Банк "Петрокоммерц"</t>
  </si>
  <si>
    <t xml:space="preserve">ООО "Ренессанс Брокер" </t>
  </si>
  <si>
    <t>ФГ "ОТКРЫТИЕ"</t>
  </si>
  <si>
    <t>ООО "РОНИН"</t>
  </si>
  <si>
    <t>ВТБ 24 (ПАО)</t>
  </si>
  <si>
    <t>АО "ФИНАМ"</t>
  </si>
  <si>
    <t>АО "АЛЬФА-БАНК"</t>
  </si>
  <si>
    <t>Банк ГПБ (АО)</t>
  </si>
  <si>
    <t>ООО "Ренессанс Брокер"</t>
  </si>
  <si>
    <t>ПАО "Промсвязьбанк"</t>
  </si>
  <si>
    <t>КБ "ЛОКО-Банк" (ЗАО)</t>
  </si>
  <si>
    <t>АЛОР БРОКЕР</t>
  </si>
  <si>
    <t>ООО "Меррилл Линч Секьюритиз"</t>
  </si>
  <si>
    <t>КБ "ЛОКО-Банк" (АО)</t>
  </si>
  <si>
    <t>ПАО КБ "УБРиР"</t>
  </si>
  <si>
    <t>ПАО "Совкомбанк"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</si>
</sst>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_-* #,##0_р_._-;\-* #,##0_р_._-;_-* &quot;-&quot;??_р_._-;_-@_-"/>
    <numFmt numFmtId="166" formatCode="[$-419]mmmm\ yyyy;@"/>
  </numFmts>
  <fonts count="53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 Cyr"/>
      <charset val="204"/>
    </font>
    <font>
      <sz val="11"/>
      <name val="Century Gothic"/>
      <family val="2"/>
      <charset val="204"/>
    </font>
    <font>
      <sz val="11"/>
      <color indexed="9"/>
      <name val="Century Gothic"/>
      <family val="2"/>
      <charset val="204"/>
    </font>
    <font>
      <b/>
      <sz val="11"/>
      <name val="Century Gothic"/>
      <family val="2"/>
      <charset val="204"/>
    </font>
    <font>
      <b/>
      <i/>
      <sz val="12"/>
      <name val="Century Gothic"/>
      <family val="2"/>
      <charset val="204"/>
    </font>
    <font>
      <sz val="10"/>
      <name val="Century Gothic"/>
      <family val="2"/>
      <charset val="204"/>
    </font>
    <font>
      <b/>
      <i/>
      <sz val="10"/>
      <name val="Century Gothic"/>
      <family val="2"/>
      <charset val="204"/>
    </font>
    <font>
      <b/>
      <sz val="10"/>
      <name val="Century Gothic"/>
      <family val="2"/>
      <charset val="204"/>
    </font>
    <font>
      <b/>
      <sz val="12"/>
      <name val="Century Gothic"/>
      <family val="2"/>
      <charset val="204"/>
    </font>
    <font>
      <sz val="12"/>
      <name val="Century Gothic"/>
      <family val="2"/>
      <charset val="204"/>
    </font>
    <font>
      <sz val="12"/>
      <color indexed="9"/>
      <name val="Century Gothic"/>
      <family val="2"/>
      <charset val="204"/>
    </font>
    <font>
      <b/>
      <i/>
      <sz val="16"/>
      <name val="Century Gothic"/>
      <family val="2"/>
      <charset val="204"/>
    </font>
    <font>
      <sz val="8"/>
      <color indexed="8"/>
      <name val="Arial Unicode MS"/>
      <family val="2"/>
      <charset val="204"/>
    </font>
    <font>
      <sz val="10"/>
      <color indexed="8"/>
      <name val="Arial"/>
      <family val="2"/>
      <charset val="204"/>
    </font>
    <font>
      <sz val="10"/>
      <color indexed="8"/>
      <name val="MS Sans Serif"/>
      <family val="2"/>
      <charset val="204"/>
    </font>
    <font>
      <sz val="8"/>
      <color indexed="8"/>
      <name val="Arial Unicode MS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sz val="11"/>
      <color rgb="FF9C65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0"/>
      <name val="Arial"/>
      <family val="2"/>
      <charset val="204"/>
    </font>
    <font>
      <sz val="11"/>
      <color indexed="8"/>
      <name val="Calibri"/>
      <family val="2"/>
      <scheme val="minor"/>
    </font>
    <font>
      <b/>
      <i/>
      <sz val="8"/>
      <name val="Tahoma"/>
      <family val="2"/>
      <charset val="204"/>
    </font>
    <font>
      <sz val="9"/>
      <color theme="1"/>
      <name val="Arial_Cyr"/>
      <charset val="204"/>
    </font>
  </fonts>
  <fills count="41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C6EFCE"/>
      </patternFill>
    </fill>
  </fills>
  <borders count="3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75">
    <xf numFmtId="0" fontId="0" fillId="0" borderId="0"/>
    <xf numFmtId="0" fontId="32" fillId="10" borderId="0" applyNumberFormat="0" applyBorder="0" applyAlignment="0" applyProtection="0"/>
    <xf numFmtId="0" fontId="32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9" borderId="0" applyNumberFormat="0" applyBorder="0" applyAlignment="0" applyProtection="0"/>
    <xf numFmtId="0" fontId="32" fillId="20" borderId="0" applyNumberFormat="0" applyBorder="0" applyAlignment="0" applyProtection="0"/>
    <xf numFmtId="0" fontId="32" fillId="21" borderId="0" applyNumberFormat="0" applyBorder="0" applyAlignment="0" applyProtection="0"/>
    <xf numFmtId="0" fontId="33" fillId="22" borderId="0" applyNumberFormat="0" applyBorder="0" applyAlignment="0" applyProtection="0"/>
    <xf numFmtId="0" fontId="33" fillId="23" borderId="0" applyNumberFormat="0" applyBorder="0" applyAlignment="0" applyProtection="0"/>
    <xf numFmtId="0" fontId="33" fillId="24" borderId="0" applyNumberFormat="0" applyBorder="0" applyAlignment="0" applyProtection="0"/>
    <xf numFmtId="0" fontId="33" fillId="25" borderId="0" applyNumberFormat="0" applyBorder="0" applyAlignment="0" applyProtection="0"/>
    <xf numFmtId="0" fontId="33" fillId="26" borderId="0" applyNumberFormat="0" applyBorder="0" applyAlignment="0" applyProtection="0"/>
    <xf numFmtId="0" fontId="33" fillId="27" borderId="0" applyNumberFormat="0" applyBorder="0" applyAlignment="0" applyProtection="0"/>
    <xf numFmtId="0" fontId="33" fillId="28" borderId="0" applyNumberFormat="0" applyBorder="0" applyAlignment="0" applyProtection="0"/>
    <xf numFmtId="0" fontId="33" fillId="29" borderId="0" applyNumberFormat="0" applyBorder="0" applyAlignment="0" applyProtection="0"/>
    <xf numFmtId="0" fontId="33" fillId="30" borderId="0" applyNumberFormat="0" applyBorder="0" applyAlignment="0" applyProtection="0"/>
    <xf numFmtId="0" fontId="33" fillId="31" borderId="0" applyNumberFormat="0" applyBorder="0" applyAlignment="0" applyProtection="0"/>
    <xf numFmtId="0" fontId="33" fillId="32" borderId="0" applyNumberFormat="0" applyBorder="0" applyAlignment="0" applyProtection="0"/>
    <xf numFmtId="0" fontId="33" fillId="33" borderId="0" applyNumberFormat="0" applyBorder="0" applyAlignment="0" applyProtection="0"/>
    <xf numFmtId="0" fontId="34" fillId="34" borderId="21" applyNumberFormat="0" applyAlignment="0" applyProtection="0"/>
    <xf numFmtId="0" fontId="35" fillId="35" borderId="22" applyNumberFormat="0" applyAlignment="0" applyProtection="0"/>
    <xf numFmtId="0" fontId="36" fillId="35" borderId="21" applyNumberFormat="0" applyAlignment="0" applyProtection="0"/>
    <xf numFmtId="0" fontId="37" fillId="0" borderId="23" applyNumberFormat="0" applyFill="0" applyAlignment="0" applyProtection="0"/>
    <xf numFmtId="0" fontId="38" fillId="0" borderId="24" applyNumberFormat="0" applyFill="0" applyAlignment="0" applyProtection="0"/>
    <xf numFmtId="0" fontId="39" fillId="0" borderId="25" applyNumberFormat="0" applyFill="0" applyAlignment="0" applyProtection="0"/>
    <xf numFmtId="0" fontId="39" fillId="0" borderId="0" applyNumberFormat="0" applyFill="0" applyBorder="0" applyAlignment="0" applyProtection="0"/>
    <xf numFmtId="0" fontId="40" fillId="0" borderId="26" applyNumberFormat="0" applyFill="0" applyAlignment="0" applyProtection="0"/>
    <xf numFmtId="0" fontId="41" fillId="36" borderId="27" applyNumberFormat="0" applyAlignment="0" applyProtection="0"/>
    <xf numFmtId="0" fontId="42" fillId="0" borderId="0" applyNumberFormat="0" applyFill="0" applyBorder="0" applyAlignment="0" applyProtection="0"/>
    <xf numFmtId="0" fontId="43" fillId="37" borderId="0" applyNumberFormat="0" applyBorder="0" applyAlignment="0" applyProtection="0"/>
    <xf numFmtId="0" fontId="32" fillId="0" borderId="0"/>
    <xf numFmtId="0" fontId="29" fillId="0" borderId="0"/>
    <xf numFmtId="0" fontId="29" fillId="0" borderId="0"/>
    <xf numFmtId="0" fontId="29" fillId="0" borderId="0"/>
    <xf numFmtId="0" fontId="30" fillId="0" borderId="0"/>
    <xf numFmtId="0" fontId="16" fillId="0" borderId="0"/>
    <xf numFmtId="0" fontId="44" fillId="38" borderId="0" applyNumberFormat="0" applyBorder="0" applyAlignment="0" applyProtection="0"/>
    <xf numFmtId="0" fontId="45" fillId="0" borderId="0" applyNumberFormat="0" applyFill="0" applyBorder="0" applyAlignment="0" applyProtection="0"/>
    <xf numFmtId="0" fontId="32" fillId="39" borderId="28" applyNumberFormat="0" applyFont="0" applyAlignment="0" applyProtection="0"/>
    <xf numFmtId="9" fontId="15" fillId="0" borderId="0" applyFont="0" applyFill="0" applyBorder="0" applyAlignment="0" applyProtection="0"/>
    <xf numFmtId="0" fontId="46" fillId="0" borderId="29" applyNumberFormat="0" applyFill="0" applyAlignment="0" applyProtection="0"/>
    <xf numFmtId="0" fontId="47" fillId="0" borderId="0" applyNumberFormat="0" applyFill="0" applyBorder="0" applyAlignment="0" applyProtection="0"/>
    <xf numFmtId="164" fontId="15" fillId="0" borderId="0" applyFont="0" applyFill="0" applyBorder="0" applyAlignment="0" applyProtection="0"/>
    <xf numFmtId="0" fontId="48" fillId="40" borderId="0" applyNumberFormat="0" applyBorder="0" applyAlignment="0" applyProtection="0"/>
    <xf numFmtId="0" fontId="14" fillId="0" borderId="0"/>
    <xf numFmtId="0" fontId="14" fillId="39" borderId="28" applyNumberFormat="0" applyFont="0" applyAlignment="0" applyProtection="0"/>
    <xf numFmtId="0" fontId="14" fillId="10" borderId="0" applyNumberFormat="0" applyBorder="0" applyAlignment="0" applyProtection="0"/>
    <xf numFmtId="0" fontId="14" fillId="16" borderId="0" applyNumberFormat="0" applyBorder="0" applyAlignment="0" applyProtection="0"/>
    <xf numFmtId="0" fontId="14" fillId="11" borderId="0" applyNumberFormat="0" applyBorder="0" applyAlignment="0" applyProtection="0"/>
    <xf numFmtId="0" fontId="14" fillId="17" borderId="0" applyNumberFormat="0" applyBorder="0" applyAlignment="0" applyProtection="0"/>
    <xf numFmtId="0" fontId="14" fillId="12" borderId="0" applyNumberFormat="0" applyBorder="0" applyAlignment="0" applyProtection="0"/>
    <xf numFmtId="0" fontId="14" fillId="18" borderId="0" applyNumberFormat="0" applyBorder="0" applyAlignment="0" applyProtection="0"/>
    <xf numFmtId="0" fontId="14" fillId="13" borderId="0" applyNumberFormat="0" applyBorder="0" applyAlignment="0" applyProtection="0"/>
    <xf numFmtId="0" fontId="14" fillId="19" borderId="0" applyNumberFormat="0" applyBorder="0" applyAlignment="0" applyProtection="0"/>
    <xf numFmtId="0" fontId="14" fillId="14" borderId="0" applyNumberFormat="0" applyBorder="0" applyAlignment="0" applyProtection="0"/>
    <xf numFmtId="0" fontId="14" fillId="20" borderId="0" applyNumberFormat="0" applyBorder="0" applyAlignment="0" applyProtection="0"/>
    <xf numFmtId="0" fontId="14" fillId="15" borderId="0" applyNumberFormat="0" applyBorder="0" applyAlignment="0" applyProtection="0"/>
    <xf numFmtId="0" fontId="14" fillId="21" borderId="0" applyNumberFormat="0" applyBorder="0" applyAlignment="0" applyProtection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9" fillId="39" borderId="28" applyNumberFormat="0" applyFont="0" applyAlignment="0" applyProtection="0"/>
    <xf numFmtId="0" fontId="9" fillId="10" borderId="0" applyNumberFormat="0" applyBorder="0" applyAlignment="0" applyProtection="0"/>
    <xf numFmtId="0" fontId="9" fillId="16" borderId="0" applyNumberFormat="0" applyBorder="0" applyAlignment="0" applyProtection="0"/>
    <xf numFmtId="0" fontId="9" fillId="11" borderId="0" applyNumberFormat="0" applyBorder="0" applyAlignment="0" applyProtection="0"/>
    <xf numFmtId="0" fontId="9" fillId="17" borderId="0" applyNumberFormat="0" applyBorder="0" applyAlignment="0" applyProtection="0"/>
    <xf numFmtId="0" fontId="9" fillId="12" borderId="0" applyNumberFormat="0" applyBorder="0" applyAlignment="0" applyProtection="0"/>
    <xf numFmtId="0" fontId="9" fillId="18" borderId="0" applyNumberFormat="0" applyBorder="0" applyAlignment="0" applyProtection="0"/>
    <xf numFmtId="0" fontId="9" fillId="13" borderId="0" applyNumberFormat="0" applyBorder="0" applyAlignment="0" applyProtection="0"/>
    <xf numFmtId="0" fontId="9" fillId="19" borderId="0" applyNumberFormat="0" applyBorder="0" applyAlignment="0" applyProtection="0"/>
    <xf numFmtId="0" fontId="9" fillId="14" borderId="0" applyNumberFormat="0" applyBorder="0" applyAlignment="0" applyProtection="0"/>
    <xf numFmtId="0" fontId="9" fillId="20" borderId="0" applyNumberFormat="0" applyBorder="0" applyAlignment="0" applyProtection="0"/>
    <xf numFmtId="0" fontId="9" fillId="15" borderId="0" applyNumberFormat="0" applyBorder="0" applyAlignment="0" applyProtection="0"/>
    <xf numFmtId="0" fontId="9" fillId="21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0" borderId="0"/>
    <xf numFmtId="0" fontId="8" fillId="39" borderId="28" applyNumberFormat="0" applyFont="0" applyAlignment="0" applyProtection="0"/>
    <xf numFmtId="0" fontId="8" fillId="0" borderId="0"/>
    <xf numFmtId="0" fontId="8" fillId="39" borderId="28" applyNumberFormat="0" applyFont="0" applyAlignment="0" applyProtection="0"/>
    <xf numFmtId="0" fontId="8" fillId="10" borderId="0" applyNumberFormat="0" applyBorder="0" applyAlignment="0" applyProtection="0"/>
    <xf numFmtId="0" fontId="8" fillId="16" borderId="0" applyNumberFormat="0" applyBorder="0" applyAlignment="0" applyProtection="0"/>
    <xf numFmtId="0" fontId="8" fillId="11" borderId="0" applyNumberFormat="0" applyBorder="0" applyAlignment="0" applyProtection="0"/>
    <xf numFmtId="0" fontId="8" fillId="17" borderId="0" applyNumberFormat="0" applyBorder="0" applyAlignment="0" applyProtection="0"/>
    <xf numFmtId="0" fontId="8" fillId="12" borderId="0" applyNumberFormat="0" applyBorder="0" applyAlignment="0" applyProtection="0"/>
    <xf numFmtId="0" fontId="8" fillId="18" borderId="0" applyNumberFormat="0" applyBorder="0" applyAlignment="0" applyProtection="0"/>
    <xf numFmtId="0" fontId="8" fillId="13" borderId="0" applyNumberFormat="0" applyBorder="0" applyAlignment="0" applyProtection="0"/>
    <xf numFmtId="0" fontId="8" fillId="19" borderId="0" applyNumberFormat="0" applyBorder="0" applyAlignment="0" applyProtection="0"/>
    <xf numFmtId="0" fontId="8" fillId="14" borderId="0" applyNumberFormat="0" applyBorder="0" applyAlignment="0" applyProtection="0"/>
    <xf numFmtId="0" fontId="8" fillId="20" borderId="0" applyNumberFormat="0" applyBorder="0" applyAlignment="0" applyProtection="0"/>
    <xf numFmtId="0" fontId="8" fillId="15" borderId="0" applyNumberFormat="0" applyBorder="0" applyAlignment="0" applyProtection="0"/>
    <xf numFmtId="0" fontId="8" fillId="21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39" borderId="28" applyNumberFormat="0" applyFont="0" applyAlignment="0" applyProtection="0"/>
    <xf numFmtId="0" fontId="8" fillId="10" borderId="0" applyNumberFormat="0" applyBorder="0" applyAlignment="0" applyProtection="0"/>
    <xf numFmtId="0" fontId="8" fillId="16" borderId="0" applyNumberFormat="0" applyBorder="0" applyAlignment="0" applyProtection="0"/>
    <xf numFmtId="0" fontId="8" fillId="11" borderId="0" applyNumberFormat="0" applyBorder="0" applyAlignment="0" applyProtection="0"/>
    <xf numFmtId="0" fontId="8" fillId="17" borderId="0" applyNumberFormat="0" applyBorder="0" applyAlignment="0" applyProtection="0"/>
    <xf numFmtId="0" fontId="8" fillId="12" borderId="0" applyNumberFormat="0" applyBorder="0" applyAlignment="0" applyProtection="0"/>
    <xf numFmtId="0" fontId="8" fillId="18" borderId="0" applyNumberFormat="0" applyBorder="0" applyAlignment="0" applyProtection="0"/>
    <xf numFmtId="0" fontId="8" fillId="13" borderId="0" applyNumberFormat="0" applyBorder="0" applyAlignment="0" applyProtection="0"/>
    <xf numFmtId="0" fontId="8" fillId="19" borderId="0" applyNumberFormat="0" applyBorder="0" applyAlignment="0" applyProtection="0"/>
    <xf numFmtId="0" fontId="8" fillId="14" borderId="0" applyNumberFormat="0" applyBorder="0" applyAlignment="0" applyProtection="0"/>
    <xf numFmtId="0" fontId="8" fillId="20" borderId="0" applyNumberFormat="0" applyBorder="0" applyAlignment="0" applyProtection="0"/>
    <xf numFmtId="0" fontId="8" fillId="15" borderId="0" applyNumberFormat="0" applyBorder="0" applyAlignment="0" applyProtection="0"/>
    <xf numFmtId="0" fontId="8" fillId="2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0" borderId="0"/>
    <xf numFmtId="0" fontId="7" fillId="39" borderId="28" applyNumberFormat="0" applyFont="0" applyAlignment="0" applyProtection="0"/>
    <xf numFmtId="0" fontId="7" fillId="0" borderId="0"/>
    <xf numFmtId="0" fontId="7" fillId="39" borderId="28" applyNumberFormat="0" applyFont="0" applyAlignment="0" applyProtection="0"/>
    <xf numFmtId="0" fontId="7" fillId="10" borderId="0" applyNumberFormat="0" applyBorder="0" applyAlignment="0" applyProtection="0"/>
    <xf numFmtId="0" fontId="7" fillId="16" borderId="0" applyNumberFormat="0" applyBorder="0" applyAlignment="0" applyProtection="0"/>
    <xf numFmtId="0" fontId="7" fillId="11" borderId="0" applyNumberFormat="0" applyBorder="0" applyAlignment="0" applyProtection="0"/>
    <xf numFmtId="0" fontId="7" fillId="17" borderId="0" applyNumberFormat="0" applyBorder="0" applyAlignment="0" applyProtection="0"/>
    <xf numFmtId="0" fontId="7" fillId="12" borderId="0" applyNumberFormat="0" applyBorder="0" applyAlignment="0" applyProtection="0"/>
    <xf numFmtId="0" fontId="7" fillId="18" borderId="0" applyNumberFormat="0" applyBorder="0" applyAlignment="0" applyProtection="0"/>
    <xf numFmtId="0" fontId="7" fillId="13" borderId="0" applyNumberFormat="0" applyBorder="0" applyAlignment="0" applyProtection="0"/>
    <xf numFmtId="0" fontId="7" fillId="19" borderId="0" applyNumberFormat="0" applyBorder="0" applyAlignment="0" applyProtection="0"/>
    <xf numFmtId="0" fontId="7" fillId="14" borderId="0" applyNumberFormat="0" applyBorder="0" applyAlignment="0" applyProtection="0"/>
    <xf numFmtId="0" fontId="7" fillId="20" borderId="0" applyNumberFormat="0" applyBorder="0" applyAlignment="0" applyProtection="0"/>
    <xf numFmtId="0" fontId="7" fillId="15" borderId="0" applyNumberFormat="0" applyBorder="0" applyAlignment="0" applyProtection="0"/>
    <xf numFmtId="0" fontId="7" fillId="21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9" borderId="28" applyNumberFormat="0" applyFont="0" applyAlignment="0" applyProtection="0"/>
    <xf numFmtId="0" fontId="7" fillId="10" borderId="0" applyNumberFormat="0" applyBorder="0" applyAlignment="0" applyProtection="0"/>
    <xf numFmtId="0" fontId="7" fillId="16" borderId="0" applyNumberFormat="0" applyBorder="0" applyAlignment="0" applyProtection="0"/>
    <xf numFmtId="0" fontId="7" fillId="11" borderId="0" applyNumberFormat="0" applyBorder="0" applyAlignment="0" applyProtection="0"/>
    <xf numFmtId="0" fontId="7" fillId="17" borderId="0" applyNumberFormat="0" applyBorder="0" applyAlignment="0" applyProtection="0"/>
    <xf numFmtId="0" fontId="7" fillId="12" borderId="0" applyNumberFormat="0" applyBorder="0" applyAlignment="0" applyProtection="0"/>
    <xf numFmtId="0" fontId="7" fillId="18" borderId="0" applyNumberFormat="0" applyBorder="0" applyAlignment="0" applyProtection="0"/>
    <xf numFmtId="0" fontId="7" fillId="13" borderId="0" applyNumberFormat="0" applyBorder="0" applyAlignment="0" applyProtection="0"/>
    <xf numFmtId="0" fontId="7" fillId="19" borderId="0" applyNumberFormat="0" applyBorder="0" applyAlignment="0" applyProtection="0"/>
    <xf numFmtId="0" fontId="7" fillId="14" borderId="0" applyNumberFormat="0" applyBorder="0" applyAlignment="0" applyProtection="0"/>
    <xf numFmtId="0" fontId="7" fillId="20" borderId="0" applyNumberFormat="0" applyBorder="0" applyAlignment="0" applyProtection="0"/>
    <xf numFmtId="0" fontId="7" fillId="15" borderId="0" applyNumberFormat="0" applyBorder="0" applyAlignment="0" applyProtection="0"/>
    <xf numFmtId="0" fontId="7" fillId="2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0" borderId="0"/>
    <xf numFmtId="0" fontId="7" fillId="39" borderId="28" applyNumberFormat="0" applyFont="0" applyAlignment="0" applyProtection="0"/>
    <xf numFmtId="0" fontId="7" fillId="0" borderId="0"/>
    <xf numFmtId="0" fontId="7" fillId="39" borderId="28" applyNumberFormat="0" applyFont="0" applyAlignment="0" applyProtection="0"/>
    <xf numFmtId="0" fontId="7" fillId="10" borderId="0" applyNumberFormat="0" applyBorder="0" applyAlignment="0" applyProtection="0"/>
    <xf numFmtId="0" fontId="7" fillId="16" borderId="0" applyNumberFormat="0" applyBorder="0" applyAlignment="0" applyProtection="0"/>
    <xf numFmtId="0" fontId="7" fillId="11" borderId="0" applyNumberFormat="0" applyBorder="0" applyAlignment="0" applyProtection="0"/>
    <xf numFmtId="0" fontId="7" fillId="17" borderId="0" applyNumberFormat="0" applyBorder="0" applyAlignment="0" applyProtection="0"/>
    <xf numFmtId="0" fontId="7" fillId="12" borderId="0" applyNumberFormat="0" applyBorder="0" applyAlignment="0" applyProtection="0"/>
    <xf numFmtId="0" fontId="7" fillId="18" borderId="0" applyNumberFormat="0" applyBorder="0" applyAlignment="0" applyProtection="0"/>
    <xf numFmtId="0" fontId="7" fillId="13" borderId="0" applyNumberFormat="0" applyBorder="0" applyAlignment="0" applyProtection="0"/>
    <xf numFmtId="0" fontId="7" fillId="19" borderId="0" applyNumberFormat="0" applyBorder="0" applyAlignment="0" applyProtection="0"/>
    <xf numFmtId="0" fontId="7" fillId="14" borderId="0" applyNumberFormat="0" applyBorder="0" applyAlignment="0" applyProtection="0"/>
    <xf numFmtId="0" fontId="7" fillId="20" borderId="0" applyNumberFormat="0" applyBorder="0" applyAlignment="0" applyProtection="0"/>
    <xf numFmtId="0" fontId="7" fillId="15" borderId="0" applyNumberFormat="0" applyBorder="0" applyAlignment="0" applyProtection="0"/>
    <xf numFmtId="0" fontId="7" fillId="21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9" borderId="28" applyNumberFormat="0" applyFont="0" applyAlignment="0" applyProtection="0"/>
    <xf numFmtId="0" fontId="7" fillId="10" borderId="0" applyNumberFormat="0" applyBorder="0" applyAlignment="0" applyProtection="0"/>
    <xf numFmtId="0" fontId="7" fillId="16" borderId="0" applyNumberFormat="0" applyBorder="0" applyAlignment="0" applyProtection="0"/>
    <xf numFmtId="0" fontId="7" fillId="11" borderId="0" applyNumberFormat="0" applyBorder="0" applyAlignment="0" applyProtection="0"/>
    <xf numFmtId="0" fontId="7" fillId="17" borderId="0" applyNumberFormat="0" applyBorder="0" applyAlignment="0" applyProtection="0"/>
    <xf numFmtId="0" fontId="7" fillId="12" borderId="0" applyNumberFormat="0" applyBorder="0" applyAlignment="0" applyProtection="0"/>
    <xf numFmtId="0" fontId="7" fillId="18" borderId="0" applyNumberFormat="0" applyBorder="0" applyAlignment="0" applyProtection="0"/>
    <xf numFmtId="0" fontId="7" fillId="13" borderId="0" applyNumberFormat="0" applyBorder="0" applyAlignment="0" applyProtection="0"/>
    <xf numFmtId="0" fontId="7" fillId="19" borderId="0" applyNumberFormat="0" applyBorder="0" applyAlignment="0" applyProtection="0"/>
    <xf numFmtId="0" fontId="7" fillId="14" borderId="0" applyNumberFormat="0" applyBorder="0" applyAlignment="0" applyProtection="0"/>
    <xf numFmtId="0" fontId="7" fillId="20" borderId="0" applyNumberFormat="0" applyBorder="0" applyAlignment="0" applyProtection="0"/>
    <xf numFmtId="0" fontId="7" fillId="15" borderId="0" applyNumberFormat="0" applyBorder="0" applyAlignment="0" applyProtection="0"/>
    <xf numFmtId="0" fontId="7" fillId="21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0" borderId="0"/>
    <xf numFmtId="0" fontId="6" fillId="39" borderId="28" applyNumberFormat="0" applyFont="0" applyAlignment="0" applyProtection="0"/>
    <xf numFmtId="0" fontId="6" fillId="0" borderId="0"/>
    <xf numFmtId="0" fontId="6" fillId="39" borderId="28" applyNumberFormat="0" applyFont="0" applyAlignment="0" applyProtection="0"/>
    <xf numFmtId="0" fontId="6" fillId="10" borderId="0" applyNumberFormat="0" applyBorder="0" applyAlignment="0" applyProtection="0"/>
    <xf numFmtId="0" fontId="6" fillId="16" borderId="0" applyNumberFormat="0" applyBorder="0" applyAlignment="0" applyProtection="0"/>
    <xf numFmtId="0" fontId="6" fillId="11" borderId="0" applyNumberFormat="0" applyBorder="0" applyAlignment="0" applyProtection="0"/>
    <xf numFmtId="0" fontId="6" fillId="17" borderId="0" applyNumberFormat="0" applyBorder="0" applyAlignment="0" applyProtection="0"/>
    <xf numFmtId="0" fontId="6" fillId="12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4" borderId="0" applyNumberFormat="0" applyBorder="0" applyAlignment="0" applyProtection="0"/>
    <xf numFmtId="0" fontId="6" fillId="20" borderId="0" applyNumberFormat="0" applyBorder="0" applyAlignment="0" applyProtection="0"/>
    <xf numFmtId="0" fontId="6" fillId="15" borderId="0" applyNumberFormat="0" applyBorder="0" applyAlignment="0" applyProtection="0"/>
    <xf numFmtId="0" fontId="6" fillId="21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39" borderId="28" applyNumberFormat="0" applyFont="0" applyAlignment="0" applyProtection="0"/>
    <xf numFmtId="0" fontId="6" fillId="10" borderId="0" applyNumberFormat="0" applyBorder="0" applyAlignment="0" applyProtection="0"/>
    <xf numFmtId="0" fontId="6" fillId="16" borderId="0" applyNumberFormat="0" applyBorder="0" applyAlignment="0" applyProtection="0"/>
    <xf numFmtId="0" fontId="6" fillId="11" borderId="0" applyNumberFormat="0" applyBorder="0" applyAlignment="0" applyProtection="0"/>
    <xf numFmtId="0" fontId="6" fillId="17" borderId="0" applyNumberFormat="0" applyBorder="0" applyAlignment="0" applyProtection="0"/>
    <xf numFmtId="0" fontId="6" fillId="12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4" borderId="0" applyNumberFormat="0" applyBorder="0" applyAlignment="0" applyProtection="0"/>
    <xf numFmtId="0" fontId="6" fillId="20" borderId="0" applyNumberFormat="0" applyBorder="0" applyAlignment="0" applyProtection="0"/>
    <xf numFmtId="0" fontId="6" fillId="15" borderId="0" applyNumberFormat="0" applyBorder="0" applyAlignment="0" applyProtection="0"/>
    <xf numFmtId="0" fontId="6" fillId="21" borderId="0" applyNumberFormat="0" applyBorder="0" applyAlignment="0" applyProtection="0"/>
    <xf numFmtId="0" fontId="6" fillId="0" borderId="0"/>
    <xf numFmtId="0" fontId="6" fillId="39" borderId="28" applyNumberFormat="0" applyFont="0" applyAlignment="0" applyProtection="0"/>
    <xf numFmtId="0" fontId="6" fillId="10" borderId="0" applyNumberFormat="0" applyBorder="0" applyAlignment="0" applyProtection="0"/>
    <xf numFmtId="0" fontId="6" fillId="16" borderId="0" applyNumberFormat="0" applyBorder="0" applyAlignment="0" applyProtection="0"/>
    <xf numFmtId="0" fontId="6" fillId="11" borderId="0" applyNumberFormat="0" applyBorder="0" applyAlignment="0" applyProtection="0"/>
    <xf numFmtId="0" fontId="6" fillId="17" borderId="0" applyNumberFormat="0" applyBorder="0" applyAlignment="0" applyProtection="0"/>
    <xf numFmtId="0" fontId="6" fillId="12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4" borderId="0" applyNumberFormat="0" applyBorder="0" applyAlignment="0" applyProtection="0"/>
    <xf numFmtId="0" fontId="6" fillId="20" borderId="0" applyNumberFormat="0" applyBorder="0" applyAlignment="0" applyProtection="0"/>
    <xf numFmtId="0" fontId="6" fillId="15" borderId="0" applyNumberFormat="0" applyBorder="0" applyAlignment="0" applyProtection="0"/>
    <xf numFmtId="0" fontId="6" fillId="21" borderId="0" applyNumberFormat="0" applyBorder="0" applyAlignment="0" applyProtection="0"/>
    <xf numFmtId="0" fontId="5" fillId="0" borderId="0"/>
    <xf numFmtId="0" fontId="5" fillId="39" borderId="28" applyNumberFormat="0" applyFont="0" applyAlignment="0" applyProtection="0"/>
    <xf numFmtId="0" fontId="5" fillId="10" borderId="0" applyNumberFormat="0" applyBorder="0" applyAlignment="0" applyProtection="0"/>
    <xf numFmtId="0" fontId="5" fillId="16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2" borderId="0" applyNumberFormat="0" applyBorder="0" applyAlignment="0" applyProtection="0"/>
    <xf numFmtId="0" fontId="5" fillId="18" borderId="0" applyNumberFormat="0" applyBorder="0" applyAlignment="0" applyProtection="0"/>
    <xf numFmtId="0" fontId="5" fillId="13" borderId="0" applyNumberFormat="0" applyBorder="0" applyAlignment="0" applyProtection="0"/>
    <xf numFmtId="0" fontId="5" fillId="19" borderId="0" applyNumberFormat="0" applyBorder="0" applyAlignment="0" applyProtection="0"/>
    <xf numFmtId="0" fontId="5" fillId="14" borderId="0" applyNumberFormat="0" applyBorder="0" applyAlignment="0" applyProtection="0"/>
    <xf numFmtId="0" fontId="5" fillId="20" borderId="0" applyNumberFormat="0" applyBorder="0" applyAlignment="0" applyProtection="0"/>
    <xf numFmtId="0" fontId="5" fillId="15" borderId="0" applyNumberFormat="0" applyBorder="0" applyAlignment="0" applyProtection="0"/>
    <xf numFmtId="0" fontId="5" fillId="21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39" borderId="28" applyNumberFormat="0" applyFont="0" applyAlignment="0" applyProtection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39" borderId="28" applyNumberFormat="0" applyFont="0" applyAlignment="0" applyProtection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39" borderId="28" applyNumberFormat="0" applyFont="0" applyAlignment="0" applyProtection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39" borderId="28" applyNumberFormat="0" applyFont="0" applyAlignment="0" applyProtection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39" borderId="28" applyNumberFormat="0" applyFont="0" applyAlignment="0" applyProtection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39" borderId="28" applyNumberFormat="0" applyFont="0" applyAlignment="0" applyProtection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39" borderId="28" applyNumberFormat="0" applyFont="0" applyAlignment="0" applyProtection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3" fillId="0" borderId="0"/>
    <xf numFmtId="0" fontId="3" fillId="39" borderId="28" applyNumberFormat="0" applyFont="0" applyAlignment="0" applyProtection="0"/>
    <xf numFmtId="0" fontId="3" fillId="10" borderId="0" applyNumberFormat="0" applyBorder="0" applyAlignment="0" applyProtection="0"/>
    <xf numFmtId="0" fontId="3" fillId="16" borderId="0" applyNumberFormat="0" applyBorder="0" applyAlignment="0" applyProtection="0"/>
    <xf numFmtId="0" fontId="3" fillId="11" borderId="0" applyNumberFormat="0" applyBorder="0" applyAlignment="0" applyProtection="0"/>
    <xf numFmtId="0" fontId="3" fillId="17" borderId="0" applyNumberFormat="0" applyBorder="0" applyAlignment="0" applyProtection="0"/>
    <xf numFmtId="0" fontId="3" fillId="12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9" borderId="0" applyNumberFormat="0" applyBorder="0" applyAlignment="0" applyProtection="0"/>
    <xf numFmtId="0" fontId="3" fillId="14" borderId="0" applyNumberFormat="0" applyBorder="0" applyAlignment="0" applyProtection="0"/>
    <xf numFmtId="0" fontId="3" fillId="20" borderId="0" applyNumberFormat="0" applyBorder="0" applyAlignment="0" applyProtection="0"/>
    <xf numFmtId="0" fontId="3" fillId="15" borderId="0" applyNumberFormat="0" applyBorder="0" applyAlignment="0" applyProtection="0"/>
    <xf numFmtId="0" fontId="3" fillId="21" borderId="0" applyNumberFormat="0" applyBorder="0" applyAlignment="0" applyProtection="0"/>
    <xf numFmtId="0" fontId="2" fillId="0" borderId="0"/>
    <xf numFmtId="0" fontId="2" fillId="39" borderId="28" applyNumberFormat="0" applyFont="0" applyAlignment="0" applyProtection="0"/>
    <xf numFmtId="0" fontId="2" fillId="10" borderId="0" applyNumberFormat="0" applyBorder="0" applyAlignment="0" applyProtection="0"/>
    <xf numFmtId="0" fontId="2" fillId="16" borderId="0" applyNumberFormat="0" applyBorder="0" applyAlignment="0" applyProtection="0"/>
    <xf numFmtId="0" fontId="2" fillId="11" borderId="0" applyNumberFormat="0" applyBorder="0" applyAlignment="0" applyProtection="0"/>
    <xf numFmtId="0" fontId="2" fillId="17" borderId="0" applyNumberFormat="0" applyBorder="0" applyAlignment="0" applyProtection="0"/>
    <xf numFmtId="0" fontId="2" fillId="12" borderId="0" applyNumberFormat="0" applyBorder="0" applyAlignment="0" applyProtection="0"/>
    <xf numFmtId="0" fontId="2" fillId="18" borderId="0" applyNumberFormat="0" applyBorder="0" applyAlignment="0" applyProtection="0"/>
    <xf numFmtId="0" fontId="2" fillId="13" borderId="0" applyNumberFormat="0" applyBorder="0" applyAlignment="0" applyProtection="0"/>
    <xf numFmtId="0" fontId="2" fillId="19" borderId="0" applyNumberFormat="0" applyBorder="0" applyAlignment="0" applyProtection="0"/>
    <xf numFmtId="0" fontId="2" fillId="14" borderId="0" applyNumberFormat="0" applyBorder="0" applyAlignment="0" applyProtection="0"/>
    <xf numFmtId="0" fontId="2" fillId="20" borderId="0" applyNumberFormat="0" applyBorder="0" applyAlignment="0" applyProtection="0"/>
    <xf numFmtId="0" fontId="2" fillId="15" borderId="0" applyNumberFormat="0" applyBorder="0" applyAlignment="0" applyProtection="0"/>
    <xf numFmtId="0" fontId="2" fillId="21" borderId="0" applyNumberFormat="0" applyBorder="0" applyAlignment="0" applyProtection="0"/>
    <xf numFmtId="0" fontId="49" fillId="0" borderId="0"/>
    <xf numFmtId="0" fontId="50" fillId="0" borderId="0"/>
    <xf numFmtId="0" fontId="1" fillId="0" borderId="0"/>
  </cellStyleXfs>
  <cellXfs count="186">
    <xf numFmtId="0" fontId="0" fillId="0" borderId="0" xfId="0"/>
    <xf numFmtId="0" fontId="20" fillId="0" borderId="0" xfId="0" applyFont="1" applyAlignment="1">
      <alignment vertical="center"/>
    </xf>
    <xf numFmtId="0" fontId="21" fillId="0" borderId="0" xfId="0" applyFont="1" applyBorder="1" applyAlignment="1">
      <alignment vertical="center"/>
    </xf>
    <xf numFmtId="0" fontId="23" fillId="0" borderId="0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2" fillId="0" borderId="0" xfId="0" applyFont="1" applyBorder="1" applyAlignment="1">
      <alignment vertical="center"/>
    </xf>
    <xf numFmtId="0" fontId="24" fillId="0" borderId="0" xfId="0" applyFont="1" applyBorder="1" applyAlignment="1">
      <alignment horizontal="right" vertical="center"/>
    </xf>
    <xf numFmtId="3" fontId="23" fillId="0" borderId="0" xfId="0" applyNumberFormat="1" applyFont="1" applyBorder="1"/>
    <xf numFmtId="165" fontId="23" fillId="0" borderId="0" xfId="48" applyNumberFormat="1" applyFont="1" applyBorder="1"/>
    <xf numFmtId="0" fontId="24" fillId="0" borderId="0" xfId="0" applyFont="1" applyBorder="1" applyAlignment="1">
      <alignment horizontal="justify" vertical="center"/>
    </xf>
    <xf numFmtId="0" fontId="24" fillId="0" borderId="0" xfId="0" applyFont="1" applyBorder="1" applyAlignment="1">
      <alignment horizontal="center" vertical="center"/>
    </xf>
    <xf numFmtId="3" fontId="21" fillId="0" borderId="4" xfId="0" applyNumberFormat="1" applyFont="1" applyBorder="1" applyAlignment="1">
      <alignment vertical="center"/>
    </xf>
    <xf numFmtId="0" fontId="24" fillId="2" borderId="5" xfId="0" applyFont="1" applyFill="1" applyBorder="1" applyAlignment="1">
      <alignment vertical="center"/>
    </xf>
    <xf numFmtId="0" fontId="24" fillId="4" borderId="5" xfId="0" applyFont="1" applyFill="1" applyBorder="1" applyAlignment="1">
      <alignment vertical="center"/>
    </xf>
    <xf numFmtId="0" fontId="21" fillId="4" borderId="0" xfId="0" applyFont="1" applyFill="1" applyBorder="1" applyAlignment="1">
      <alignment vertical="center"/>
    </xf>
    <xf numFmtId="0" fontId="20" fillId="4" borderId="0" xfId="0" applyFont="1" applyFill="1" applyBorder="1" applyAlignment="1">
      <alignment horizontal="right" vertical="center"/>
    </xf>
    <xf numFmtId="0" fontId="21" fillId="0" borderId="3" xfId="0" applyFont="1" applyBorder="1" applyAlignment="1">
      <alignment horizontal="right" vertical="center" wrapText="1"/>
    </xf>
    <xf numFmtId="0" fontId="20" fillId="4" borderId="0" xfId="0" applyFont="1" applyFill="1" applyAlignment="1">
      <alignment vertical="center"/>
    </xf>
    <xf numFmtId="0" fontId="20" fillId="4" borderId="0" xfId="0" applyFont="1" applyFill="1" applyBorder="1" applyAlignment="1">
      <alignment vertical="center"/>
    </xf>
    <xf numFmtId="0" fontId="20" fillId="2" borderId="0" xfId="0" applyFont="1" applyFill="1" applyAlignment="1">
      <alignment vertical="center"/>
    </xf>
    <xf numFmtId="0" fontId="20" fillId="2" borderId="0" xfId="0" applyFont="1" applyFill="1" applyBorder="1" applyAlignment="1">
      <alignment vertical="center"/>
    </xf>
    <xf numFmtId="0" fontId="20" fillId="4" borderId="5" xfId="0" applyFont="1" applyFill="1" applyBorder="1" applyAlignment="1">
      <alignment vertical="center"/>
    </xf>
    <xf numFmtId="0" fontId="20" fillId="2" borderId="5" xfId="0" applyFont="1" applyFill="1" applyBorder="1" applyAlignment="1">
      <alignment vertical="center"/>
    </xf>
    <xf numFmtId="0" fontId="21" fillId="2" borderId="5" xfId="0" applyFont="1" applyFill="1" applyBorder="1" applyAlignment="1">
      <alignment vertical="center"/>
    </xf>
    <xf numFmtId="0" fontId="20" fillId="2" borderId="5" xfId="0" applyFont="1" applyFill="1" applyBorder="1" applyAlignment="1">
      <alignment horizontal="right" vertical="center"/>
    </xf>
    <xf numFmtId="0" fontId="17" fillId="6" borderId="8" xfId="0" applyFont="1" applyFill="1" applyBorder="1" applyAlignment="1">
      <alignment vertical="center"/>
    </xf>
    <xf numFmtId="0" fontId="17" fillId="7" borderId="9" xfId="0" applyFont="1" applyFill="1" applyBorder="1" applyAlignment="1">
      <alignment vertical="center"/>
    </xf>
    <xf numFmtId="0" fontId="18" fillId="8" borderId="10" xfId="0" applyFont="1" applyFill="1" applyBorder="1" applyAlignment="1">
      <alignment vertical="center"/>
    </xf>
    <xf numFmtId="0" fontId="17" fillId="5" borderId="11" xfId="0" applyFont="1" applyFill="1" applyBorder="1" applyAlignment="1">
      <alignment vertical="center" wrapText="1"/>
    </xf>
    <xf numFmtId="0" fontId="20" fillId="3" borderId="0" xfId="0" applyFont="1" applyFill="1" applyAlignment="1">
      <alignment vertical="center"/>
    </xf>
    <xf numFmtId="0" fontId="20" fillId="3" borderId="0" xfId="0" applyFont="1" applyFill="1" applyBorder="1" applyAlignment="1">
      <alignment vertical="center"/>
    </xf>
    <xf numFmtId="0" fontId="20" fillId="3" borderId="5" xfId="0" applyFont="1" applyFill="1" applyBorder="1" applyAlignment="1">
      <alignment vertical="center"/>
    </xf>
    <xf numFmtId="0" fontId="19" fillId="0" borderId="6" xfId="0" applyFont="1" applyBorder="1" applyAlignment="1">
      <alignment vertical="center" wrapText="1"/>
    </xf>
    <xf numFmtId="0" fontId="20" fillId="9" borderId="0" xfId="0" applyFont="1" applyFill="1" applyAlignment="1">
      <alignment vertical="center"/>
    </xf>
    <xf numFmtId="0" fontId="20" fillId="9" borderId="0" xfId="0" applyFont="1" applyFill="1" applyBorder="1" applyAlignment="1">
      <alignment vertical="center"/>
    </xf>
    <xf numFmtId="0" fontId="20" fillId="9" borderId="5" xfId="0" applyFont="1" applyFill="1" applyBorder="1" applyAlignment="1">
      <alignment vertical="center"/>
    </xf>
    <xf numFmtId="0" fontId="21" fillId="3" borderId="5" xfId="0" applyFont="1" applyFill="1" applyBorder="1" applyAlignment="1">
      <alignment vertical="center"/>
    </xf>
    <xf numFmtId="0" fontId="20" fillId="3" borderId="5" xfId="0" applyFont="1" applyFill="1" applyBorder="1" applyAlignment="1">
      <alignment horizontal="right" vertical="center"/>
    </xf>
    <xf numFmtId="0" fontId="21" fillId="9" borderId="0" xfId="0" applyFont="1" applyFill="1" applyBorder="1" applyAlignment="1">
      <alignment vertical="center"/>
    </xf>
    <xf numFmtId="0" fontId="20" fillId="9" borderId="0" xfId="0" applyFont="1" applyFill="1" applyBorder="1" applyAlignment="1">
      <alignment horizontal="right" vertical="center"/>
    </xf>
    <xf numFmtId="0" fontId="25" fillId="0" borderId="0" xfId="0" applyFont="1" applyBorder="1" applyAlignment="1">
      <alignment horizontal="left" vertical="center" wrapText="1"/>
    </xf>
    <xf numFmtId="3" fontId="25" fillId="0" borderId="0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vertical="center" wrapText="1"/>
    </xf>
    <xf numFmtId="3" fontId="23" fillId="0" borderId="0" xfId="0" applyNumberFormat="1" applyFont="1" applyBorder="1" applyAlignment="1">
      <alignment vertical="center"/>
    </xf>
    <xf numFmtId="10" fontId="23" fillId="0" borderId="0" xfId="45" applyNumberFormat="1" applyFont="1" applyBorder="1" applyAlignment="1">
      <alignment vertical="center"/>
    </xf>
    <xf numFmtId="0" fontId="21" fillId="0" borderId="3" xfId="0" applyFont="1" applyFill="1" applyBorder="1" applyAlignment="1">
      <alignment horizontal="right" vertical="center" wrapText="1"/>
    </xf>
    <xf numFmtId="0" fontId="21" fillId="0" borderId="0" xfId="0" applyFont="1" applyFill="1" applyAlignment="1">
      <alignment vertical="center" wrapText="1"/>
    </xf>
    <xf numFmtId="0" fontId="28" fillId="0" borderId="0" xfId="38" applyFont="1" applyFill="1" applyBorder="1" applyAlignment="1"/>
    <xf numFmtId="0" fontId="0" fillId="0" borderId="0" xfId="0" applyAlignment="1">
      <alignment wrapText="1"/>
    </xf>
    <xf numFmtId="3" fontId="0" fillId="0" borderId="0" xfId="0" applyNumberFormat="1" applyAlignment="1">
      <alignment horizontal="right" wrapText="1"/>
    </xf>
    <xf numFmtId="3" fontId="16" fillId="0" borderId="0" xfId="41" applyNumberFormat="1" applyBorder="1"/>
    <xf numFmtId="0" fontId="31" fillId="0" borderId="0" xfId="40" applyFont="1" applyFill="1" applyBorder="1" applyAlignment="1">
      <alignment horizontal="left"/>
    </xf>
    <xf numFmtId="0" fontId="0" fillId="0" borderId="0" xfId="0" applyBorder="1"/>
    <xf numFmtId="0" fontId="28" fillId="0" borderId="0" xfId="37" applyFont="1" applyFill="1" applyBorder="1" applyAlignment="1"/>
    <xf numFmtId="0" fontId="16" fillId="0" borderId="0" xfId="41" applyBorder="1"/>
    <xf numFmtId="0" fontId="28" fillId="0" borderId="0" xfId="39" applyFont="1" applyFill="1" applyBorder="1" applyAlignment="1"/>
    <xf numFmtId="3" fontId="28" fillId="0" borderId="0" xfId="39" applyNumberFormat="1" applyFont="1" applyFill="1" applyBorder="1" applyAlignment="1">
      <alignment horizontal="right"/>
    </xf>
    <xf numFmtId="3" fontId="28" fillId="0" borderId="0" xfId="39" applyNumberFormat="1" applyFont="1" applyFill="1" applyBorder="1" applyAlignment="1">
      <alignment horizontal="left"/>
    </xf>
    <xf numFmtId="3" fontId="21" fillId="0" borderId="0" xfId="0" applyNumberFormat="1" applyFont="1" applyAlignment="1">
      <alignment vertical="center"/>
    </xf>
    <xf numFmtId="10" fontId="21" fillId="0" borderId="4" xfId="45" applyNumberFormat="1" applyFont="1" applyBorder="1" applyAlignment="1">
      <alignment vertical="center"/>
    </xf>
    <xf numFmtId="0" fontId="24" fillId="0" borderId="3" xfId="0" applyFont="1" applyFill="1" applyBorder="1" applyAlignment="1">
      <alignment horizontal="right" vertical="center"/>
    </xf>
    <xf numFmtId="0" fontId="24" fillId="0" borderId="6" xfId="0" applyFont="1" applyFill="1" applyBorder="1" applyAlignment="1">
      <alignment horizontal="right" vertical="center"/>
    </xf>
    <xf numFmtId="14" fontId="24" fillId="3" borderId="5" xfId="0" applyNumberFormat="1" applyFont="1" applyFill="1" applyBorder="1" applyAlignment="1">
      <alignment vertical="center"/>
    </xf>
    <xf numFmtId="3" fontId="17" fillId="6" borderId="8" xfId="0" applyNumberFormat="1" applyFont="1" applyFill="1" applyBorder="1" applyAlignment="1">
      <alignment vertical="center"/>
    </xf>
    <xf numFmtId="3" fontId="17" fillId="7" borderId="9" xfId="0" applyNumberFormat="1" applyFont="1" applyFill="1" applyBorder="1" applyAlignment="1">
      <alignment vertical="center"/>
    </xf>
    <xf numFmtId="3" fontId="18" fillId="8" borderId="10" xfId="0" applyNumberFormat="1" applyFont="1" applyFill="1" applyBorder="1" applyAlignment="1">
      <alignment vertical="center"/>
    </xf>
    <xf numFmtId="3" fontId="17" fillId="5" borderId="11" xfId="0" applyNumberFormat="1" applyFont="1" applyFill="1" applyBorder="1" applyAlignment="1">
      <alignment vertical="center" wrapText="1"/>
    </xf>
    <xf numFmtId="3" fontId="24" fillId="0" borderId="6" xfId="0" applyNumberFormat="1" applyFont="1" applyBorder="1" applyAlignment="1">
      <alignment horizontal="right" vertical="center"/>
    </xf>
    <xf numFmtId="166" fontId="20" fillId="4" borderId="0" xfId="0" applyNumberFormat="1" applyFont="1" applyFill="1" applyAlignment="1">
      <alignment vertical="center"/>
    </xf>
    <xf numFmtId="10" fontId="24" fillId="0" borderId="3" xfId="45" applyNumberFormat="1" applyFont="1" applyBorder="1" applyAlignment="1">
      <alignment vertical="center"/>
    </xf>
    <xf numFmtId="0" fontId="25" fillId="0" borderId="0" xfId="0" applyFont="1" applyFill="1" applyAlignment="1">
      <alignment vertical="center"/>
    </xf>
    <xf numFmtId="0" fontId="25" fillId="0" borderId="0" xfId="0" applyFont="1" applyAlignment="1">
      <alignment vertical="center"/>
    </xf>
    <xf numFmtId="3" fontId="24" fillId="0" borderId="3" xfId="0" applyNumberFormat="1" applyFont="1" applyFill="1" applyBorder="1" applyAlignment="1">
      <alignment horizontal="right" vertical="center"/>
    </xf>
    <xf numFmtId="166" fontId="24" fillId="0" borderId="3" xfId="0" applyNumberFormat="1" applyFont="1" applyFill="1" applyBorder="1" applyAlignment="1">
      <alignment vertical="center" wrapText="1"/>
    </xf>
    <xf numFmtId="166" fontId="24" fillId="3" borderId="5" xfId="0" applyNumberFormat="1" applyFont="1" applyFill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0" xfId="0" applyFont="1" applyFill="1" applyAlignment="1">
      <alignment vertical="center"/>
    </xf>
    <xf numFmtId="1" fontId="0" fillId="0" borderId="0" xfId="0" applyNumberFormat="1"/>
    <xf numFmtId="3" fontId="25" fillId="0" borderId="4" xfId="0" applyNumberFormat="1" applyFont="1" applyBorder="1" applyAlignment="1">
      <alignment vertical="center" wrapText="1"/>
    </xf>
    <xf numFmtId="3" fontId="25" fillId="5" borderId="5" xfId="0" applyNumberFormat="1" applyFont="1" applyFill="1" applyBorder="1"/>
    <xf numFmtId="3" fontId="25" fillId="6" borderId="7" xfId="0" applyNumberFormat="1" applyFont="1" applyFill="1" applyBorder="1"/>
    <xf numFmtId="3" fontId="25" fillId="7" borderId="1" xfId="0" applyNumberFormat="1" applyFont="1" applyFill="1" applyBorder="1"/>
    <xf numFmtId="3" fontId="24" fillId="0" borderId="3" xfId="0" applyNumberFormat="1" applyFont="1" applyBorder="1" applyAlignment="1">
      <alignment horizontal="right"/>
    </xf>
    <xf numFmtId="3" fontId="26" fillId="8" borderId="1" xfId="0" applyNumberFormat="1" applyFont="1" applyFill="1" applyBorder="1"/>
    <xf numFmtId="3" fontId="25" fillId="0" borderId="4" xfId="0" applyNumberFormat="1" applyFont="1" applyFill="1" applyBorder="1" applyAlignment="1">
      <alignment vertical="center" wrapText="1"/>
    </xf>
    <xf numFmtId="4" fontId="21" fillId="0" borderId="0" xfId="0" applyNumberFormat="1" applyFont="1" applyFill="1" applyAlignment="1">
      <alignment vertical="center"/>
    </xf>
    <xf numFmtId="2" fontId="0" fillId="0" borderId="0" xfId="0" applyNumberFormat="1"/>
    <xf numFmtId="0" fontId="24" fillId="9" borderId="0" xfId="0" applyFont="1" applyFill="1" applyBorder="1" applyAlignment="1">
      <alignment vertical="center"/>
    </xf>
    <xf numFmtId="0" fontId="51" fillId="9" borderId="5" xfId="0" applyFont="1" applyFill="1" applyBorder="1" applyAlignment="1">
      <alignment vertical="center"/>
    </xf>
    <xf numFmtId="0" fontId="24" fillId="0" borderId="3" xfId="0" applyFont="1" applyBorder="1" applyAlignment="1">
      <alignment vertical="center" wrapText="1"/>
    </xf>
    <xf numFmtId="0" fontId="24" fillId="0" borderId="6" xfId="0" applyFont="1" applyBorder="1" applyAlignment="1">
      <alignment vertical="center" wrapText="1"/>
    </xf>
    <xf numFmtId="0" fontId="24" fillId="0" borderId="6" xfId="0" applyFont="1" applyBorder="1" applyAlignment="1">
      <alignment horizontal="right" vertical="center"/>
    </xf>
    <xf numFmtId="166" fontId="20" fillId="3" borderId="0" xfId="0" applyNumberFormat="1" applyFont="1" applyFill="1" applyAlignment="1">
      <alignment vertical="center"/>
    </xf>
    <xf numFmtId="3" fontId="52" fillId="0" borderId="0" xfId="0" applyNumberFormat="1" applyFont="1"/>
    <xf numFmtId="0" fontId="24" fillId="0" borderId="3" xfId="0" applyFont="1" applyBorder="1" applyAlignment="1">
      <alignment vertical="center" wrapText="1"/>
    </xf>
    <xf numFmtId="0" fontId="24" fillId="0" borderId="6" xfId="0" applyFont="1" applyBorder="1" applyAlignment="1">
      <alignment vertical="center" wrapText="1"/>
    </xf>
    <xf numFmtId="0" fontId="24" fillId="0" borderId="6" xfId="0" applyFont="1" applyBorder="1" applyAlignment="1">
      <alignment horizontal="right" vertical="center"/>
    </xf>
    <xf numFmtId="166" fontId="20" fillId="9" borderId="0" xfId="0" applyNumberFormat="1" applyFont="1" applyFill="1" applyAlignment="1">
      <alignment horizontal="left" vertical="center"/>
    </xf>
    <xf numFmtId="0" fontId="24" fillId="0" borderId="3" xfId="0" applyFont="1" applyBorder="1" applyAlignment="1">
      <alignment vertical="center" wrapText="1"/>
    </xf>
    <xf numFmtId="0" fontId="24" fillId="0" borderId="6" xfId="0" applyFont="1" applyBorder="1" applyAlignment="1">
      <alignment vertical="center" wrapText="1"/>
    </xf>
    <xf numFmtId="0" fontId="24" fillId="0" borderId="6" xfId="0" applyFont="1" applyBorder="1" applyAlignment="1">
      <alignment horizontal="right" vertical="center"/>
    </xf>
    <xf numFmtId="0" fontId="24" fillId="0" borderId="3" xfId="0" applyFont="1" applyBorder="1" applyAlignment="1">
      <alignment vertical="center" wrapText="1"/>
    </xf>
    <xf numFmtId="0" fontId="24" fillId="0" borderId="6" xfId="0" applyFont="1" applyBorder="1" applyAlignment="1">
      <alignment vertical="center" wrapText="1"/>
    </xf>
    <xf numFmtId="0" fontId="24" fillId="0" borderId="6" xfId="0" applyFont="1" applyBorder="1" applyAlignment="1">
      <alignment horizontal="right" vertical="center"/>
    </xf>
    <xf numFmtId="0" fontId="24" fillId="0" borderId="3" xfId="0" applyFont="1" applyBorder="1" applyAlignment="1">
      <alignment vertical="center" wrapText="1"/>
    </xf>
    <xf numFmtId="0" fontId="24" fillId="0" borderId="6" xfId="0" applyFont="1" applyBorder="1" applyAlignment="1">
      <alignment vertical="center" wrapText="1"/>
    </xf>
    <xf numFmtId="0" fontId="24" fillId="0" borderId="6" xfId="0" applyFont="1" applyBorder="1" applyAlignment="1">
      <alignment horizontal="right" vertical="center"/>
    </xf>
    <xf numFmtId="0" fontId="24" fillId="0" borderId="3" xfId="0" applyFont="1" applyBorder="1" applyAlignment="1">
      <alignment vertical="center" wrapText="1"/>
    </xf>
    <xf numFmtId="0" fontId="24" fillId="0" borderId="6" xfId="0" applyFont="1" applyBorder="1" applyAlignment="1">
      <alignment vertical="center" wrapText="1"/>
    </xf>
    <xf numFmtId="0" fontId="24" fillId="0" borderId="6" xfId="0" applyFont="1" applyBorder="1" applyAlignment="1">
      <alignment horizontal="right" vertical="center"/>
    </xf>
    <xf numFmtId="0" fontId="24" fillId="0" borderId="3" xfId="0" applyFont="1" applyBorder="1" applyAlignment="1">
      <alignment vertical="center" wrapText="1"/>
    </xf>
    <xf numFmtId="0" fontId="24" fillId="0" borderId="6" xfId="0" applyFont="1" applyBorder="1" applyAlignment="1">
      <alignment vertical="center" wrapText="1"/>
    </xf>
    <xf numFmtId="0" fontId="24" fillId="0" borderId="6" xfId="0" applyFont="1" applyBorder="1" applyAlignment="1">
      <alignment horizontal="right" vertical="center"/>
    </xf>
    <xf numFmtId="0" fontId="24" fillId="0" borderId="6" xfId="0" applyFont="1" applyBorder="1" applyAlignment="1">
      <alignment horizontal="right" vertical="center"/>
    </xf>
    <xf numFmtId="0" fontId="24" fillId="0" borderId="3" xfId="0" applyFont="1" applyBorder="1" applyAlignment="1">
      <alignment vertical="center" wrapText="1"/>
    </xf>
    <xf numFmtId="0" fontId="24" fillId="0" borderId="6" xfId="0" applyFont="1" applyBorder="1" applyAlignment="1">
      <alignment vertical="center" wrapText="1"/>
    </xf>
    <xf numFmtId="0" fontId="24" fillId="0" borderId="6" xfId="0" applyFont="1" applyBorder="1" applyAlignment="1">
      <alignment horizontal="right" vertical="center"/>
    </xf>
    <xf numFmtId="0" fontId="24" fillId="0" borderId="3" xfId="0" applyFont="1" applyBorder="1" applyAlignment="1">
      <alignment vertical="center" wrapText="1"/>
    </xf>
    <xf numFmtId="0" fontId="24" fillId="0" borderId="6" xfId="0" applyFont="1" applyBorder="1" applyAlignment="1">
      <alignment vertical="center" wrapText="1"/>
    </xf>
    <xf numFmtId="0" fontId="20" fillId="2" borderId="5" xfId="0" applyFont="1" applyFill="1" applyBorder="1" applyAlignment="1">
      <alignment horizontal="right" vertical="center"/>
    </xf>
    <xf numFmtId="0" fontId="24" fillId="0" borderId="6" xfId="0" applyFont="1" applyBorder="1" applyAlignment="1">
      <alignment horizontal="right" vertical="center"/>
    </xf>
    <xf numFmtId="0" fontId="24" fillId="0" borderId="3" xfId="0" applyFont="1" applyBorder="1" applyAlignment="1">
      <alignment vertical="center" wrapText="1"/>
    </xf>
    <xf numFmtId="0" fontId="24" fillId="0" borderId="6" xfId="0" applyFont="1" applyBorder="1" applyAlignment="1">
      <alignment vertical="center" wrapText="1"/>
    </xf>
    <xf numFmtId="0" fontId="20" fillId="2" borderId="5" xfId="0" applyFont="1" applyFill="1" applyBorder="1" applyAlignment="1">
      <alignment horizontal="right" vertical="center"/>
    </xf>
    <xf numFmtId="0" fontId="24" fillId="0" borderId="6" xfId="0" applyFont="1" applyBorder="1" applyAlignment="1">
      <alignment horizontal="right" vertical="center"/>
    </xf>
    <xf numFmtId="0" fontId="24" fillId="0" borderId="3" xfId="0" applyFont="1" applyBorder="1" applyAlignment="1">
      <alignment vertical="center" wrapText="1"/>
    </xf>
    <xf numFmtId="0" fontId="24" fillId="0" borderId="6" xfId="0" applyFont="1" applyBorder="1" applyAlignment="1">
      <alignment vertical="center" wrapText="1"/>
    </xf>
    <xf numFmtId="0" fontId="20" fillId="2" borderId="5" xfId="0" applyFont="1" applyFill="1" applyBorder="1" applyAlignment="1">
      <alignment horizontal="right" vertical="center"/>
    </xf>
    <xf numFmtId="0" fontId="24" fillId="0" borderId="6" xfId="0" applyFont="1" applyBorder="1" applyAlignment="1">
      <alignment horizontal="right" vertical="center"/>
    </xf>
    <xf numFmtId="0" fontId="24" fillId="0" borderId="3" xfId="0" applyFont="1" applyBorder="1" applyAlignment="1">
      <alignment vertical="center" wrapText="1"/>
    </xf>
    <xf numFmtId="0" fontId="24" fillId="0" borderId="6" xfId="0" applyFont="1" applyBorder="1" applyAlignment="1">
      <alignment vertical="center" wrapText="1"/>
    </xf>
    <xf numFmtId="0" fontId="20" fillId="2" borderId="5" xfId="0" applyFont="1" applyFill="1" applyBorder="1" applyAlignment="1">
      <alignment horizontal="right" vertical="center"/>
    </xf>
    <xf numFmtId="0" fontId="25" fillId="0" borderId="12" xfId="0" applyFont="1" applyBorder="1" applyAlignment="1">
      <alignment horizontal="left" vertical="center" wrapText="1"/>
    </xf>
    <xf numFmtId="0" fontId="25" fillId="0" borderId="17" xfId="0" applyFont="1" applyBorder="1" applyAlignment="1">
      <alignment horizontal="left" vertical="center" wrapText="1"/>
    </xf>
    <xf numFmtId="3" fontId="25" fillId="0" borderId="20" xfId="0" applyNumberFormat="1" applyFont="1" applyBorder="1" applyAlignment="1">
      <alignment horizontal="right" vertical="center"/>
    </xf>
    <xf numFmtId="3" fontId="25" fillId="0" borderId="12" xfId="0" applyNumberFormat="1" applyFont="1" applyBorder="1" applyAlignment="1">
      <alignment horizontal="right" vertical="center"/>
    </xf>
    <xf numFmtId="0" fontId="25" fillId="0" borderId="1" xfId="0" applyFont="1" applyBorder="1" applyAlignment="1">
      <alignment horizontal="left" vertical="center" wrapText="1"/>
    </xf>
    <xf numFmtId="0" fontId="25" fillId="0" borderId="9" xfId="0" applyFont="1" applyBorder="1" applyAlignment="1">
      <alignment horizontal="left" vertical="center" wrapText="1"/>
    </xf>
    <xf numFmtId="3" fontId="25" fillId="0" borderId="19" xfId="0" applyNumberFormat="1" applyFont="1" applyBorder="1" applyAlignment="1">
      <alignment horizontal="right" vertical="center"/>
    </xf>
    <xf numFmtId="3" fontId="25" fillId="0" borderId="1" xfId="0" applyNumberFormat="1" applyFont="1" applyBorder="1" applyAlignment="1">
      <alignment horizontal="right" vertical="center"/>
    </xf>
    <xf numFmtId="0" fontId="25" fillId="0" borderId="7" xfId="0" applyFont="1" applyBorder="1" applyAlignment="1">
      <alignment horizontal="left" vertical="center" wrapText="1"/>
    </xf>
    <xf numFmtId="0" fontId="25" fillId="0" borderId="8" xfId="0" applyFont="1" applyBorder="1" applyAlignment="1">
      <alignment horizontal="left" vertical="center" wrapText="1"/>
    </xf>
    <xf numFmtId="3" fontId="25" fillId="0" borderId="18" xfId="0" applyNumberFormat="1" applyFont="1" applyBorder="1" applyAlignment="1">
      <alignment horizontal="right" vertical="center"/>
    </xf>
    <xf numFmtId="3" fontId="25" fillId="0" borderId="7" xfId="0" applyNumberFormat="1" applyFont="1" applyBorder="1" applyAlignment="1">
      <alignment horizontal="right" vertical="center"/>
    </xf>
    <xf numFmtId="14" fontId="24" fillId="0" borderId="3" xfId="0" applyNumberFormat="1" applyFont="1" applyFill="1" applyBorder="1" applyAlignment="1">
      <alignment horizontal="right" vertical="center" wrapText="1"/>
    </xf>
    <xf numFmtId="0" fontId="24" fillId="0" borderId="3" xfId="0" applyFont="1" applyBorder="1" applyAlignment="1">
      <alignment horizontal="left" vertical="center" wrapText="1"/>
    </xf>
    <xf numFmtId="0" fontId="24" fillId="0" borderId="6" xfId="0" applyFont="1" applyBorder="1" applyAlignment="1">
      <alignment horizontal="left" vertical="center" wrapText="1"/>
    </xf>
    <xf numFmtId="0" fontId="24" fillId="0" borderId="3" xfId="0" applyFont="1" applyBorder="1" applyAlignment="1">
      <alignment horizontal="right" vertical="center"/>
    </xf>
    <xf numFmtId="0" fontId="24" fillId="0" borderId="6" xfId="0" applyFont="1" applyBorder="1" applyAlignment="1">
      <alignment horizontal="right" vertical="center"/>
    </xf>
    <xf numFmtId="0" fontId="24" fillId="0" borderId="30" xfId="0" applyFont="1" applyBorder="1" applyAlignment="1">
      <alignment horizontal="left" vertical="center" wrapText="1"/>
    </xf>
    <xf numFmtId="14" fontId="24" fillId="0" borderId="30" xfId="0" applyNumberFormat="1" applyFont="1" applyBorder="1" applyAlignment="1">
      <alignment horizontal="center" vertical="center" wrapText="1"/>
    </xf>
    <xf numFmtId="14" fontId="24" fillId="0" borderId="13" xfId="0" applyNumberFormat="1" applyFont="1" applyBorder="1" applyAlignment="1">
      <alignment horizontal="center" vertical="center" wrapText="1"/>
    </xf>
    <xf numFmtId="0" fontId="25" fillId="0" borderId="14" xfId="0" applyFont="1" applyBorder="1" applyAlignment="1">
      <alignment horizontal="left" vertical="center" wrapText="1"/>
    </xf>
    <xf numFmtId="1" fontId="25" fillId="0" borderId="20" xfId="45" applyNumberFormat="1" applyFont="1" applyBorder="1" applyAlignment="1">
      <alignment horizontal="center" vertical="center"/>
    </xf>
    <xf numFmtId="1" fontId="25" fillId="0" borderId="12" xfId="45" applyNumberFormat="1" applyFont="1" applyBorder="1" applyAlignment="1">
      <alignment horizontal="center" vertical="center"/>
    </xf>
    <xf numFmtId="0" fontId="24" fillId="0" borderId="3" xfId="0" applyFont="1" applyBorder="1" applyAlignment="1">
      <alignment vertical="center" wrapText="1"/>
    </xf>
    <xf numFmtId="0" fontId="24" fillId="0" borderId="6" xfId="0" applyFont="1" applyBorder="1" applyAlignment="1">
      <alignment vertical="center" wrapText="1"/>
    </xf>
    <xf numFmtId="14" fontId="24" fillId="0" borderId="13" xfId="0" applyNumberFormat="1" applyFont="1" applyFill="1" applyBorder="1" applyAlignment="1">
      <alignment horizontal="right" vertical="center" wrapText="1"/>
    </xf>
    <xf numFmtId="0" fontId="25" fillId="5" borderId="5" xfId="0" applyFont="1" applyFill="1" applyBorder="1" applyAlignment="1">
      <alignment horizontal="left" vertical="center" wrapText="1"/>
    </xf>
    <xf numFmtId="0" fontId="25" fillId="5" borderId="11" xfId="0" applyFont="1" applyFill="1" applyBorder="1" applyAlignment="1">
      <alignment horizontal="left" vertical="center" wrapText="1"/>
    </xf>
    <xf numFmtId="0" fontId="25" fillId="0" borderId="4" xfId="0" applyFont="1" applyBorder="1" applyAlignment="1">
      <alignment horizontal="left" vertical="center" wrapText="1"/>
    </xf>
    <xf numFmtId="0" fontId="25" fillId="0" borderId="10" xfId="0" applyFont="1" applyBorder="1" applyAlignment="1">
      <alignment horizontal="left" vertical="center" wrapText="1"/>
    </xf>
    <xf numFmtId="0" fontId="25" fillId="0" borderId="1" xfId="0" applyFont="1" applyFill="1" applyBorder="1" applyAlignment="1">
      <alignment horizontal="left" vertical="center" wrapText="1" indent="1"/>
    </xf>
    <xf numFmtId="0" fontId="25" fillId="0" borderId="9" xfId="0" applyFont="1" applyFill="1" applyBorder="1" applyAlignment="1">
      <alignment horizontal="left" vertical="center" wrapText="1" indent="1"/>
    </xf>
    <xf numFmtId="0" fontId="25" fillId="0" borderId="2" xfId="0" applyFont="1" applyFill="1" applyBorder="1" applyAlignment="1">
      <alignment horizontal="left" vertical="center" wrapText="1" indent="1"/>
    </xf>
    <xf numFmtId="0" fontId="25" fillId="0" borderId="16" xfId="0" applyFont="1" applyFill="1" applyBorder="1" applyAlignment="1">
      <alignment horizontal="left" vertical="center" wrapText="1" indent="1"/>
    </xf>
    <xf numFmtId="0" fontId="25" fillId="0" borderId="2" xfId="0" applyFont="1" applyBorder="1" applyAlignment="1">
      <alignment horizontal="left" vertical="center" wrapText="1"/>
    </xf>
    <xf numFmtId="0" fontId="25" fillId="0" borderId="16" xfId="0" applyFont="1" applyBorder="1" applyAlignment="1">
      <alignment horizontal="left" vertical="center" wrapText="1"/>
    </xf>
    <xf numFmtId="0" fontId="20" fillId="2" borderId="5" xfId="0" applyFont="1" applyFill="1" applyBorder="1" applyAlignment="1">
      <alignment horizontal="center" vertical="center"/>
    </xf>
    <xf numFmtId="0" fontId="25" fillId="6" borderId="7" xfId="0" applyFont="1" applyFill="1" applyBorder="1" applyAlignment="1">
      <alignment horizontal="left" vertical="center"/>
    </xf>
    <xf numFmtId="0" fontId="25" fillId="6" borderId="8" xfId="0" applyFont="1" applyFill="1" applyBorder="1" applyAlignment="1">
      <alignment horizontal="left" vertical="center"/>
    </xf>
    <xf numFmtId="0" fontId="25" fillId="7" borderId="1" xfId="0" applyFont="1" applyFill="1" applyBorder="1" applyAlignment="1">
      <alignment horizontal="left" vertical="center"/>
    </xf>
    <xf numFmtId="0" fontId="25" fillId="7" borderId="9" xfId="0" applyFont="1" applyFill="1" applyBorder="1" applyAlignment="1">
      <alignment horizontal="left" vertical="center"/>
    </xf>
    <xf numFmtId="0" fontId="26" fillId="8" borderId="1" xfId="0" applyFont="1" applyFill="1" applyBorder="1" applyAlignment="1">
      <alignment horizontal="left" vertical="center"/>
    </xf>
    <xf numFmtId="0" fontId="26" fillId="8" borderId="9" xfId="0" applyFont="1" applyFill="1" applyBorder="1" applyAlignment="1">
      <alignment horizontal="left" vertical="center"/>
    </xf>
    <xf numFmtId="0" fontId="25" fillId="0" borderId="2" xfId="0" applyFont="1" applyFill="1" applyBorder="1" applyAlignment="1">
      <alignment horizontal="left" vertical="center" wrapText="1"/>
    </xf>
    <xf numFmtId="0" fontId="25" fillId="0" borderId="16" xfId="0" applyFont="1" applyFill="1" applyBorder="1" applyAlignment="1">
      <alignment horizontal="left" vertical="center" wrapText="1"/>
    </xf>
    <xf numFmtId="0" fontId="25" fillId="0" borderId="1" xfId="0" applyFont="1" applyFill="1" applyBorder="1" applyAlignment="1">
      <alignment horizontal="left" vertical="center" wrapText="1"/>
    </xf>
    <xf numFmtId="0" fontId="25" fillId="0" borderId="9" xfId="0" applyFont="1" applyFill="1" applyBorder="1" applyAlignment="1">
      <alignment horizontal="left" vertical="center" wrapText="1"/>
    </xf>
    <xf numFmtId="0" fontId="24" fillId="0" borderId="3" xfId="0" applyFont="1" applyFill="1" applyBorder="1" applyAlignment="1">
      <alignment horizontal="left" vertical="center" wrapText="1"/>
    </xf>
    <xf numFmtId="0" fontId="24" fillId="0" borderId="6" xfId="0" applyFont="1" applyFill="1" applyBorder="1" applyAlignment="1">
      <alignment horizontal="left" vertical="center" wrapText="1"/>
    </xf>
    <xf numFmtId="0" fontId="25" fillId="0" borderId="4" xfId="0" applyFont="1" applyFill="1" applyBorder="1" applyAlignment="1">
      <alignment horizontal="left" vertical="center" wrapText="1"/>
    </xf>
    <xf numFmtId="0" fontId="25" fillId="0" borderId="10" xfId="0" applyFont="1" applyFill="1" applyBorder="1" applyAlignment="1">
      <alignment horizontal="left" vertical="center" wrapText="1"/>
    </xf>
    <xf numFmtId="0" fontId="27" fillId="0" borderId="0" xfId="0" applyFont="1" applyAlignment="1">
      <alignment horizontal="center" vertical="center"/>
    </xf>
    <xf numFmtId="166" fontId="27" fillId="0" borderId="15" xfId="0" applyNumberFormat="1" applyFont="1" applyBorder="1" applyAlignment="1">
      <alignment horizontal="center" vertical="center"/>
    </xf>
    <xf numFmtId="0" fontId="20" fillId="2" borderId="5" xfId="0" applyFont="1" applyFill="1" applyBorder="1" applyAlignment="1">
      <alignment horizontal="right" vertical="center"/>
    </xf>
  </cellXfs>
  <cellStyles count="675">
    <cellStyle name="20% - Акцент1" xfId="1" builtinId="30" customBuiltin="1"/>
    <cellStyle name="20% - Акцент1 10" xfId="646"/>
    <cellStyle name="20% - Акцент1 11" xfId="660"/>
    <cellStyle name="20% - Акцент1 2" xfId="52"/>
    <cellStyle name="20% - Акцент1 2 2" xfId="98"/>
    <cellStyle name="20% - Акцент1 2 2 2" xfId="190"/>
    <cellStyle name="20% - Акцент1 2 2 2 2" xfId="540"/>
    <cellStyle name="20% - Акцент1 2 2 3" xfId="448"/>
    <cellStyle name="20% - Акцент1 2 2 4" xfId="356"/>
    <cellStyle name="20% - Акцент1 2 3" xfId="144"/>
    <cellStyle name="20% - Акцент1 2 3 2" xfId="494"/>
    <cellStyle name="20% - Акцент1 2 4" xfId="236"/>
    <cellStyle name="20% - Акцент1 2 4 2" xfId="586"/>
    <cellStyle name="20% - Акцент1 2 5" xfId="402"/>
    <cellStyle name="20% - Акцент1 2 6" xfId="310"/>
    <cellStyle name="20% - Акцент1 3" xfId="70"/>
    <cellStyle name="20% - Акцент1 3 2" xfId="116"/>
    <cellStyle name="20% - Акцент1 3 2 2" xfId="208"/>
    <cellStyle name="20% - Акцент1 3 2 2 2" xfId="558"/>
    <cellStyle name="20% - Акцент1 3 2 3" xfId="466"/>
    <cellStyle name="20% - Акцент1 3 2 4" xfId="374"/>
    <cellStyle name="20% - Акцент1 3 3" xfId="162"/>
    <cellStyle name="20% - Акцент1 3 3 2" xfId="512"/>
    <cellStyle name="20% - Акцент1 3 4" xfId="254"/>
    <cellStyle name="20% - Акцент1 3 4 2" xfId="604"/>
    <cellStyle name="20% - Акцент1 3 5" xfId="420"/>
    <cellStyle name="20% - Акцент1 3 6" xfId="328"/>
    <cellStyle name="20% - Акцент1 4" xfId="82"/>
    <cellStyle name="20% - Акцент1 4 2" xfId="174"/>
    <cellStyle name="20% - Акцент1 4 2 2" xfId="524"/>
    <cellStyle name="20% - Акцент1 4 3" xfId="268"/>
    <cellStyle name="20% - Акцент1 4 3 2" xfId="618"/>
    <cellStyle name="20% - Акцент1 4 4" xfId="432"/>
    <cellStyle name="20% - Акцент1 4 5" xfId="340"/>
    <cellStyle name="20% - Акцент1 5" xfId="128"/>
    <cellStyle name="20% - Акцент1 5 2" xfId="478"/>
    <cellStyle name="20% - Акцент1 6" xfId="220"/>
    <cellStyle name="20% - Акцент1 6 2" xfId="570"/>
    <cellStyle name="20% - Акцент1 7" xfId="282"/>
    <cellStyle name="20% - Акцент1 7 2" xfId="632"/>
    <cellStyle name="20% - Акцент1 8" xfId="386"/>
    <cellStyle name="20% - Акцент1 9" xfId="294"/>
    <cellStyle name="20% - Акцент2" xfId="2" builtinId="34" customBuiltin="1"/>
    <cellStyle name="20% - Акцент2 10" xfId="648"/>
    <cellStyle name="20% - Акцент2 11" xfId="662"/>
    <cellStyle name="20% - Акцент2 2" xfId="54"/>
    <cellStyle name="20% - Акцент2 2 2" xfId="100"/>
    <cellStyle name="20% - Акцент2 2 2 2" xfId="192"/>
    <cellStyle name="20% - Акцент2 2 2 2 2" xfId="542"/>
    <cellStyle name="20% - Акцент2 2 2 3" xfId="450"/>
    <cellStyle name="20% - Акцент2 2 2 4" xfId="358"/>
    <cellStyle name="20% - Акцент2 2 3" xfId="146"/>
    <cellStyle name="20% - Акцент2 2 3 2" xfId="496"/>
    <cellStyle name="20% - Акцент2 2 4" xfId="238"/>
    <cellStyle name="20% - Акцент2 2 4 2" xfId="588"/>
    <cellStyle name="20% - Акцент2 2 5" xfId="404"/>
    <cellStyle name="20% - Акцент2 2 6" xfId="312"/>
    <cellStyle name="20% - Акцент2 3" xfId="72"/>
    <cellStyle name="20% - Акцент2 3 2" xfId="118"/>
    <cellStyle name="20% - Акцент2 3 2 2" xfId="210"/>
    <cellStyle name="20% - Акцент2 3 2 2 2" xfId="560"/>
    <cellStyle name="20% - Акцент2 3 2 3" xfId="468"/>
    <cellStyle name="20% - Акцент2 3 2 4" xfId="376"/>
    <cellStyle name="20% - Акцент2 3 3" xfId="164"/>
    <cellStyle name="20% - Акцент2 3 3 2" xfId="514"/>
    <cellStyle name="20% - Акцент2 3 4" xfId="256"/>
    <cellStyle name="20% - Акцент2 3 4 2" xfId="606"/>
    <cellStyle name="20% - Акцент2 3 5" xfId="422"/>
    <cellStyle name="20% - Акцент2 3 6" xfId="330"/>
    <cellStyle name="20% - Акцент2 4" xfId="83"/>
    <cellStyle name="20% - Акцент2 4 2" xfId="175"/>
    <cellStyle name="20% - Акцент2 4 2 2" xfId="525"/>
    <cellStyle name="20% - Акцент2 4 3" xfId="270"/>
    <cellStyle name="20% - Акцент2 4 3 2" xfId="620"/>
    <cellStyle name="20% - Акцент2 4 4" xfId="433"/>
    <cellStyle name="20% - Акцент2 4 5" xfId="341"/>
    <cellStyle name="20% - Акцент2 5" xfId="129"/>
    <cellStyle name="20% - Акцент2 5 2" xfId="479"/>
    <cellStyle name="20% - Акцент2 6" xfId="221"/>
    <cellStyle name="20% - Акцент2 6 2" xfId="571"/>
    <cellStyle name="20% - Акцент2 7" xfId="284"/>
    <cellStyle name="20% - Акцент2 7 2" xfId="634"/>
    <cellStyle name="20% - Акцент2 8" xfId="387"/>
    <cellStyle name="20% - Акцент2 9" xfId="295"/>
    <cellStyle name="20% - Акцент3" xfId="3" builtinId="38" customBuiltin="1"/>
    <cellStyle name="20% - Акцент3 10" xfId="650"/>
    <cellStyle name="20% - Акцент3 11" xfId="664"/>
    <cellStyle name="20% - Акцент3 2" xfId="56"/>
    <cellStyle name="20% - Акцент3 2 2" xfId="102"/>
    <cellStyle name="20% - Акцент3 2 2 2" xfId="194"/>
    <cellStyle name="20% - Акцент3 2 2 2 2" xfId="544"/>
    <cellStyle name="20% - Акцент3 2 2 3" xfId="452"/>
    <cellStyle name="20% - Акцент3 2 2 4" xfId="360"/>
    <cellStyle name="20% - Акцент3 2 3" xfId="148"/>
    <cellStyle name="20% - Акцент3 2 3 2" xfId="498"/>
    <cellStyle name="20% - Акцент3 2 4" xfId="240"/>
    <cellStyle name="20% - Акцент3 2 4 2" xfId="590"/>
    <cellStyle name="20% - Акцент3 2 5" xfId="406"/>
    <cellStyle name="20% - Акцент3 2 6" xfId="314"/>
    <cellStyle name="20% - Акцент3 3" xfId="74"/>
    <cellStyle name="20% - Акцент3 3 2" xfId="120"/>
    <cellStyle name="20% - Акцент3 3 2 2" xfId="212"/>
    <cellStyle name="20% - Акцент3 3 2 2 2" xfId="562"/>
    <cellStyle name="20% - Акцент3 3 2 3" xfId="470"/>
    <cellStyle name="20% - Акцент3 3 2 4" xfId="378"/>
    <cellStyle name="20% - Акцент3 3 3" xfId="166"/>
    <cellStyle name="20% - Акцент3 3 3 2" xfId="516"/>
    <cellStyle name="20% - Акцент3 3 4" xfId="258"/>
    <cellStyle name="20% - Акцент3 3 4 2" xfId="608"/>
    <cellStyle name="20% - Акцент3 3 5" xfId="424"/>
    <cellStyle name="20% - Акцент3 3 6" xfId="332"/>
    <cellStyle name="20% - Акцент3 4" xfId="84"/>
    <cellStyle name="20% - Акцент3 4 2" xfId="176"/>
    <cellStyle name="20% - Акцент3 4 2 2" xfId="526"/>
    <cellStyle name="20% - Акцент3 4 3" xfId="272"/>
    <cellStyle name="20% - Акцент3 4 3 2" xfId="622"/>
    <cellStyle name="20% - Акцент3 4 4" xfId="434"/>
    <cellStyle name="20% - Акцент3 4 5" xfId="342"/>
    <cellStyle name="20% - Акцент3 5" xfId="130"/>
    <cellStyle name="20% - Акцент3 5 2" xfId="480"/>
    <cellStyle name="20% - Акцент3 6" xfId="222"/>
    <cellStyle name="20% - Акцент3 6 2" xfId="572"/>
    <cellStyle name="20% - Акцент3 7" xfId="286"/>
    <cellStyle name="20% - Акцент3 7 2" xfId="636"/>
    <cellStyle name="20% - Акцент3 8" xfId="388"/>
    <cellStyle name="20% - Акцент3 9" xfId="296"/>
    <cellStyle name="20% - Акцент4" xfId="4" builtinId="42" customBuiltin="1"/>
    <cellStyle name="20% - Акцент4 10" xfId="652"/>
    <cellStyle name="20% - Акцент4 11" xfId="666"/>
    <cellStyle name="20% - Акцент4 2" xfId="58"/>
    <cellStyle name="20% - Акцент4 2 2" xfId="104"/>
    <cellStyle name="20% - Акцент4 2 2 2" xfId="196"/>
    <cellStyle name="20% - Акцент4 2 2 2 2" xfId="546"/>
    <cellStyle name="20% - Акцент4 2 2 3" xfId="454"/>
    <cellStyle name="20% - Акцент4 2 2 4" xfId="362"/>
    <cellStyle name="20% - Акцент4 2 3" xfId="150"/>
    <cellStyle name="20% - Акцент4 2 3 2" xfId="500"/>
    <cellStyle name="20% - Акцент4 2 4" xfId="242"/>
    <cellStyle name="20% - Акцент4 2 4 2" xfId="592"/>
    <cellStyle name="20% - Акцент4 2 5" xfId="408"/>
    <cellStyle name="20% - Акцент4 2 6" xfId="316"/>
    <cellStyle name="20% - Акцент4 3" xfId="76"/>
    <cellStyle name="20% - Акцент4 3 2" xfId="122"/>
    <cellStyle name="20% - Акцент4 3 2 2" xfId="214"/>
    <cellStyle name="20% - Акцент4 3 2 2 2" xfId="564"/>
    <cellStyle name="20% - Акцент4 3 2 3" xfId="472"/>
    <cellStyle name="20% - Акцент4 3 2 4" xfId="380"/>
    <cellStyle name="20% - Акцент4 3 3" xfId="168"/>
    <cellStyle name="20% - Акцент4 3 3 2" xfId="518"/>
    <cellStyle name="20% - Акцент4 3 4" xfId="260"/>
    <cellStyle name="20% - Акцент4 3 4 2" xfId="610"/>
    <cellStyle name="20% - Акцент4 3 5" xfId="426"/>
    <cellStyle name="20% - Акцент4 3 6" xfId="334"/>
    <cellStyle name="20% - Акцент4 4" xfId="85"/>
    <cellStyle name="20% - Акцент4 4 2" xfId="177"/>
    <cellStyle name="20% - Акцент4 4 2 2" xfId="527"/>
    <cellStyle name="20% - Акцент4 4 3" xfId="274"/>
    <cellStyle name="20% - Акцент4 4 3 2" xfId="624"/>
    <cellStyle name="20% - Акцент4 4 4" xfId="435"/>
    <cellStyle name="20% - Акцент4 4 5" xfId="343"/>
    <cellStyle name="20% - Акцент4 5" xfId="131"/>
    <cellStyle name="20% - Акцент4 5 2" xfId="481"/>
    <cellStyle name="20% - Акцент4 6" xfId="223"/>
    <cellStyle name="20% - Акцент4 6 2" xfId="573"/>
    <cellStyle name="20% - Акцент4 7" xfId="288"/>
    <cellStyle name="20% - Акцент4 7 2" xfId="638"/>
    <cellStyle name="20% - Акцент4 8" xfId="389"/>
    <cellStyle name="20% - Акцент4 9" xfId="297"/>
    <cellStyle name="20% - Акцент5" xfId="5" builtinId="46" customBuiltin="1"/>
    <cellStyle name="20% - Акцент5 10" xfId="654"/>
    <cellStyle name="20% - Акцент5 11" xfId="668"/>
    <cellStyle name="20% - Акцент5 2" xfId="60"/>
    <cellStyle name="20% - Акцент5 2 2" xfId="106"/>
    <cellStyle name="20% - Акцент5 2 2 2" xfId="198"/>
    <cellStyle name="20% - Акцент5 2 2 2 2" xfId="548"/>
    <cellStyle name="20% - Акцент5 2 2 3" xfId="456"/>
    <cellStyle name="20% - Акцент5 2 2 4" xfId="364"/>
    <cellStyle name="20% - Акцент5 2 3" xfId="152"/>
    <cellStyle name="20% - Акцент5 2 3 2" xfId="502"/>
    <cellStyle name="20% - Акцент5 2 4" xfId="244"/>
    <cellStyle name="20% - Акцент5 2 4 2" xfId="594"/>
    <cellStyle name="20% - Акцент5 2 5" xfId="410"/>
    <cellStyle name="20% - Акцент5 2 6" xfId="318"/>
    <cellStyle name="20% - Акцент5 3" xfId="78"/>
    <cellStyle name="20% - Акцент5 3 2" xfId="124"/>
    <cellStyle name="20% - Акцент5 3 2 2" xfId="216"/>
    <cellStyle name="20% - Акцент5 3 2 2 2" xfId="566"/>
    <cellStyle name="20% - Акцент5 3 2 3" xfId="474"/>
    <cellStyle name="20% - Акцент5 3 2 4" xfId="382"/>
    <cellStyle name="20% - Акцент5 3 3" xfId="170"/>
    <cellStyle name="20% - Акцент5 3 3 2" xfId="520"/>
    <cellStyle name="20% - Акцент5 3 4" xfId="262"/>
    <cellStyle name="20% - Акцент5 3 4 2" xfId="612"/>
    <cellStyle name="20% - Акцент5 3 5" xfId="428"/>
    <cellStyle name="20% - Акцент5 3 6" xfId="336"/>
    <cellStyle name="20% - Акцент5 4" xfId="86"/>
    <cellStyle name="20% - Акцент5 4 2" xfId="178"/>
    <cellStyle name="20% - Акцент5 4 2 2" xfId="528"/>
    <cellStyle name="20% - Акцент5 4 3" xfId="276"/>
    <cellStyle name="20% - Акцент5 4 3 2" xfId="626"/>
    <cellStyle name="20% - Акцент5 4 4" xfId="436"/>
    <cellStyle name="20% - Акцент5 4 5" xfId="344"/>
    <cellStyle name="20% - Акцент5 5" xfId="132"/>
    <cellStyle name="20% - Акцент5 5 2" xfId="482"/>
    <cellStyle name="20% - Акцент5 6" xfId="224"/>
    <cellStyle name="20% - Акцент5 6 2" xfId="574"/>
    <cellStyle name="20% - Акцент5 7" xfId="290"/>
    <cellStyle name="20% - Акцент5 7 2" xfId="640"/>
    <cellStyle name="20% - Акцент5 8" xfId="390"/>
    <cellStyle name="20% - Акцент5 9" xfId="298"/>
    <cellStyle name="20% - Акцент6" xfId="6" builtinId="50" customBuiltin="1"/>
    <cellStyle name="20% - Акцент6 10" xfId="656"/>
    <cellStyle name="20% - Акцент6 11" xfId="670"/>
    <cellStyle name="20% - Акцент6 2" xfId="62"/>
    <cellStyle name="20% - Акцент6 2 2" xfId="108"/>
    <cellStyle name="20% - Акцент6 2 2 2" xfId="200"/>
    <cellStyle name="20% - Акцент6 2 2 2 2" xfId="550"/>
    <cellStyle name="20% - Акцент6 2 2 3" xfId="458"/>
    <cellStyle name="20% - Акцент6 2 2 4" xfId="366"/>
    <cellStyle name="20% - Акцент6 2 3" xfId="154"/>
    <cellStyle name="20% - Акцент6 2 3 2" xfId="504"/>
    <cellStyle name="20% - Акцент6 2 4" xfId="246"/>
    <cellStyle name="20% - Акцент6 2 4 2" xfId="596"/>
    <cellStyle name="20% - Акцент6 2 5" xfId="412"/>
    <cellStyle name="20% - Акцент6 2 6" xfId="320"/>
    <cellStyle name="20% - Акцент6 3" xfId="80"/>
    <cellStyle name="20% - Акцент6 3 2" xfId="126"/>
    <cellStyle name="20% - Акцент6 3 2 2" xfId="218"/>
    <cellStyle name="20% - Акцент6 3 2 2 2" xfId="568"/>
    <cellStyle name="20% - Акцент6 3 2 3" xfId="476"/>
    <cellStyle name="20% - Акцент6 3 2 4" xfId="384"/>
    <cellStyle name="20% - Акцент6 3 3" xfId="172"/>
    <cellStyle name="20% - Акцент6 3 3 2" xfId="522"/>
    <cellStyle name="20% - Акцент6 3 4" xfId="264"/>
    <cellStyle name="20% - Акцент6 3 4 2" xfId="614"/>
    <cellStyle name="20% - Акцент6 3 5" xfId="430"/>
    <cellStyle name="20% - Акцент6 3 6" xfId="338"/>
    <cellStyle name="20% - Акцент6 4" xfId="87"/>
    <cellStyle name="20% - Акцент6 4 2" xfId="179"/>
    <cellStyle name="20% - Акцент6 4 2 2" xfId="529"/>
    <cellStyle name="20% - Акцент6 4 3" xfId="278"/>
    <cellStyle name="20% - Акцент6 4 3 2" xfId="628"/>
    <cellStyle name="20% - Акцент6 4 4" xfId="437"/>
    <cellStyle name="20% - Акцент6 4 5" xfId="345"/>
    <cellStyle name="20% - Акцент6 5" xfId="133"/>
    <cellStyle name="20% - Акцент6 5 2" xfId="483"/>
    <cellStyle name="20% - Акцент6 6" xfId="225"/>
    <cellStyle name="20% - Акцент6 6 2" xfId="575"/>
    <cellStyle name="20% - Акцент6 7" xfId="292"/>
    <cellStyle name="20% - Акцент6 7 2" xfId="642"/>
    <cellStyle name="20% - Акцент6 8" xfId="391"/>
    <cellStyle name="20% - Акцент6 9" xfId="299"/>
    <cellStyle name="40% - Акцент1" xfId="7" builtinId="31" customBuiltin="1"/>
    <cellStyle name="40% - Акцент1 10" xfId="647"/>
    <cellStyle name="40% - Акцент1 11" xfId="661"/>
    <cellStyle name="40% - Акцент1 2" xfId="53"/>
    <cellStyle name="40% - Акцент1 2 2" xfId="99"/>
    <cellStyle name="40% - Акцент1 2 2 2" xfId="191"/>
    <cellStyle name="40% - Акцент1 2 2 2 2" xfId="541"/>
    <cellStyle name="40% - Акцент1 2 2 3" xfId="449"/>
    <cellStyle name="40% - Акцент1 2 2 4" xfId="357"/>
    <cellStyle name="40% - Акцент1 2 3" xfId="145"/>
    <cellStyle name="40% - Акцент1 2 3 2" xfId="495"/>
    <cellStyle name="40% - Акцент1 2 4" xfId="237"/>
    <cellStyle name="40% - Акцент1 2 4 2" xfId="587"/>
    <cellStyle name="40% - Акцент1 2 5" xfId="403"/>
    <cellStyle name="40% - Акцент1 2 6" xfId="311"/>
    <cellStyle name="40% - Акцент1 3" xfId="71"/>
    <cellStyle name="40% - Акцент1 3 2" xfId="117"/>
    <cellStyle name="40% - Акцент1 3 2 2" xfId="209"/>
    <cellStyle name="40% - Акцент1 3 2 2 2" xfId="559"/>
    <cellStyle name="40% - Акцент1 3 2 3" xfId="467"/>
    <cellStyle name="40% - Акцент1 3 2 4" xfId="375"/>
    <cellStyle name="40% - Акцент1 3 3" xfId="163"/>
    <cellStyle name="40% - Акцент1 3 3 2" xfId="513"/>
    <cellStyle name="40% - Акцент1 3 4" xfId="255"/>
    <cellStyle name="40% - Акцент1 3 4 2" xfId="605"/>
    <cellStyle name="40% - Акцент1 3 5" xfId="421"/>
    <cellStyle name="40% - Акцент1 3 6" xfId="329"/>
    <cellStyle name="40% - Акцент1 4" xfId="88"/>
    <cellStyle name="40% - Акцент1 4 2" xfId="180"/>
    <cellStyle name="40% - Акцент1 4 2 2" xfId="530"/>
    <cellStyle name="40% - Акцент1 4 3" xfId="269"/>
    <cellStyle name="40% - Акцент1 4 3 2" xfId="619"/>
    <cellStyle name="40% - Акцент1 4 4" xfId="438"/>
    <cellStyle name="40% - Акцент1 4 5" xfId="346"/>
    <cellStyle name="40% - Акцент1 5" xfId="134"/>
    <cellStyle name="40% - Акцент1 5 2" xfId="484"/>
    <cellStyle name="40% - Акцент1 6" xfId="226"/>
    <cellStyle name="40% - Акцент1 6 2" xfId="576"/>
    <cellStyle name="40% - Акцент1 7" xfId="283"/>
    <cellStyle name="40% - Акцент1 7 2" xfId="633"/>
    <cellStyle name="40% - Акцент1 8" xfId="392"/>
    <cellStyle name="40% - Акцент1 9" xfId="300"/>
    <cellStyle name="40% - Акцент2" xfId="8" builtinId="35" customBuiltin="1"/>
    <cellStyle name="40% - Акцент2 10" xfId="649"/>
    <cellStyle name="40% - Акцент2 11" xfId="663"/>
    <cellStyle name="40% - Акцент2 2" xfId="55"/>
    <cellStyle name="40% - Акцент2 2 2" xfId="101"/>
    <cellStyle name="40% - Акцент2 2 2 2" xfId="193"/>
    <cellStyle name="40% - Акцент2 2 2 2 2" xfId="543"/>
    <cellStyle name="40% - Акцент2 2 2 3" xfId="451"/>
    <cellStyle name="40% - Акцент2 2 2 4" xfId="359"/>
    <cellStyle name="40% - Акцент2 2 3" xfId="147"/>
    <cellStyle name="40% - Акцент2 2 3 2" xfId="497"/>
    <cellStyle name="40% - Акцент2 2 4" xfId="239"/>
    <cellStyle name="40% - Акцент2 2 4 2" xfId="589"/>
    <cellStyle name="40% - Акцент2 2 5" xfId="405"/>
    <cellStyle name="40% - Акцент2 2 6" xfId="313"/>
    <cellStyle name="40% - Акцент2 3" xfId="73"/>
    <cellStyle name="40% - Акцент2 3 2" xfId="119"/>
    <cellStyle name="40% - Акцент2 3 2 2" xfId="211"/>
    <cellStyle name="40% - Акцент2 3 2 2 2" xfId="561"/>
    <cellStyle name="40% - Акцент2 3 2 3" xfId="469"/>
    <cellStyle name="40% - Акцент2 3 2 4" xfId="377"/>
    <cellStyle name="40% - Акцент2 3 3" xfId="165"/>
    <cellStyle name="40% - Акцент2 3 3 2" xfId="515"/>
    <cellStyle name="40% - Акцент2 3 4" xfId="257"/>
    <cellStyle name="40% - Акцент2 3 4 2" xfId="607"/>
    <cellStyle name="40% - Акцент2 3 5" xfId="423"/>
    <cellStyle name="40% - Акцент2 3 6" xfId="331"/>
    <cellStyle name="40% - Акцент2 4" xfId="89"/>
    <cellStyle name="40% - Акцент2 4 2" xfId="181"/>
    <cellStyle name="40% - Акцент2 4 2 2" xfId="531"/>
    <cellStyle name="40% - Акцент2 4 3" xfId="271"/>
    <cellStyle name="40% - Акцент2 4 3 2" xfId="621"/>
    <cellStyle name="40% - Акцент2 4 4" xfId="439"/>
    <cellStyle name="40% - Акцент2 4 5" xfId="347"/>
    <cellStyle name="40% - Акцент2 5" xfId="135"/>
    <cellStyle name="40% - Акцент2 5 2" xfId="485"/>
    <cellStyle name="40% - Акцент2 6" xfId="227"/>
    <cellStyle name="40% - Акцент2 6 2" xfId="577"/>
    <cellStyle name="40% - Акцент2 7" xfId="285"/>
    <cellStyle name="40% - Акцент2 7 2" xfId="635"/>
    <cellStyle name="40% - Акцент2 8" xfId="393"/>
    <cellStyle name="40% - Акцент2 9" xfId="301"/>
    <cellStyle name="40% - Акцент3" xfId="9" builtinId="39" customBuiltin="1"/>
    <cellStyle name="40% - Акцент3 10" xfId="651"/>
    <cellStyle name="40% - Акцент3 11" xfId="665"/>
    <cellStyle name="40% - Акцент3 2" xfId="57"/>
    <cellStyle name="40% - Акцент3 2 2" xfId="103"/>
    <cellStyle name="40% - Акцент3 2 2 2" xfId="195"/>
    <cellStyle name="40% - Акцент3 2 2 2 2" xfId="545"/>
    <cellStyle name="40% - Акцент3 2 2 3" xfId="453"/>
    <cellStyle name="40% - Акцент3 2 2 4" xfId="361"/>
    <cellStyle name="40% - Акцент3 2 3" xfId="149"/>
    <cellStyle name="40% - Акцент3 2 3 2" xfId="499"/>
    <cellStyle name="40% - Акцент3 2 4" xfId="241"/>
    <cellStyle name="40% - Акцент3 2 4 2" xfId="591"/>
    <cellStyle name="40% - Акцент3 2 5" xfId="407"/>
    <cellStyle name="40% - Акцент3 2 6" xfId="315"/>
    <cellStyle name="40% - Акцент3 3" xfId="75"/>
    <cellStyle name="40% - Акцент3 3 2" xfId="121"/>
    <cellStyle name="40% - Акцент3 3 2 2" xfId="213"/>
    <cellStyle name="40% - Акцент3 3 2 2 2" xfId="563"/>
    <cellStyle name="40% - Акцент3 3 2 3" xfId="471"/>
    <cellStyle name="40% - Акцент3 3 2 4" xfId="379"/>
    <cellStyle name="40% - Акцент3 3 3" xfId="167"/>
    <cellStyle name="40% - Акцент3 3 3 2" xfId="517"/>
    <cellStyle name="40% - Акцент3 3 4" xfId="259"/>
    <cellStyle name="40% - Акцент3 3 4 2" xfId="609"/>
    <cellStyle name="40% - Акцент3 3 5" xfId="425"/>
    <cellStyle name="40% - Акцент3 3 6" xfId="333"/>
    <cellStyle name="40% - Акцент3 4" xfId="90"/>
    <cellStyle name="40% - Акцент3 4 2" xfId="182"/>
    <cellStyle name="40% - Акцент3 4 2 2" xfId="532"/>
    <cellStyle name="40% - Акцент3 4 3" xfId="273"/>
    <cellStyle name="40% - Акцент3 4 3 2" xfId="623"/>
    <cellStyle name="40% - Акцент3 4 4" xfId="440"/>
    <cellStyle name="40% - Акцент3 4 5" xfId="348"/>
    <cellStyle name="40% - Акцент3 5" xfId="136"/>
    <cellStyle name="40% - Акцент3 5 2" xfId="486"/>
    <cellStyle name="40% - Акцент3 6" xfId="228"/>
    <cellStyle name="40% - Акцент3 6 2" xfId="578"/>
    <cellStyle name="40% - Акцент3 7" xfId="287"/>
    <cellStyle name="40% - Акцент3 7 2" xfId="637"/>
    <cellStyle name="40% - Акцент3 8" xfId="394"/>
    <cellStyle name="40% - Акцент3 9" xfId="302"/>
    <cellStyle name="40% - Акцент4" xfId="10" builtinId="43" customBuiltin="1"/>
    <cellStyle name="40% - Акцент4 10" xfId="653"/>
    <cellStyle name="40% - Акцент4 11" xfId="667"/>
    <cellStyle name="40% - Акцент4 2" xfId="59"/>
    <cellStyle name="40% - Акцент4 2 2" xfId="105"/>
    <cellStyle name="40% - Акцент4 2 2 2" xfId="197"/>
    <cellStyle name="40% - Акцент4 2 2 2 2" xfId="547"/>
    <cellStyle name="40% - Акцент4 2 2 3" xfId="455"/>
    <cellStyle name="40% - Акцент4 2 2 4" xfId="363"/>
    <cellStyle name="40% - Акцент4 2 3" xfId="151"/>
    <cellStyle name="40% - Акцент4 2 3 2" xfId="501"/>
    <cellStyle name="40% - Акцент4 2 4" xfId="243"/>
    <cellStyle name="40% - Акцент4 2 4 2" xfId="593"/>
    <cellStyle name="40% - Акцент4 2 5" xfId="409"/>
    <cellStyle name="40% - Акцент4 2 6" xfId="317"/>
    <cellStyle name="40% - Акцент4 3" xfId="77"/>
    <cellStyle name="40% - Акцент4 3 2" xfId="123"/>
    <cellStyle name="40% - Акцент4 3 2 2" xfId="215"/>
    <cellStyle name="40% - Акцент4 3 2 2 2" xfId="565"/>
    <cellStyle name="40% - Акцент4 3 2 3" xfId="473"/>
    <cellStyle name="40% - Акцент4 3 2 4" xfId="381"/>
    <cellStyle name="40% - Акцент4 3 3" xfId="169"/>
    <cellStyle name="40% - Акцент4 3 3 2" xfId="519"/>
    <cellStyle name="40% - Акцент4 3 4" xfId="261"/>
    <cellStyle name="40% - Акцент4 3 4 2" xfId="611"/>
    <cellStyle name="40% - Акцент4 3 5" xfId="427"/>
    <cellStyle name="40% - Акцент4 3 6" xfId="335"/>
    <cellStyle name="40% - Акцент4 4" xfId="91"/>
    <cellStyle name="40% - Акцент4 4 2" xfId="183"/>
    <cellStyle name="40% - Акцент4 4 2 2" xfId="533"/>
    <cellStyle name="40% - Акцент4 4 3" xfId="275"/>
    <cellStyle name="40% - Акцент4 4 3 2" xfId="625"/>
    <cellStyle name="40% - Акцент4 4 4" xfId="441"/>
    <cellStyle name="40% - Акцент4 4 5" xfId="349"/>
    <cellStyle name="40% - Акцент4 5" xfId="137"/>
    <cellStyle name="40% - Акцент4 5 2" xfId="487"/>
    <cellStyle name="40% - Акцент4 6" xfId="229"/>
    <cellStyle name="40% - Акцент4 6 2" xfId="579"/>
    <cellStyle name="40% - Акцент4 7" xfId="289"/>
    <cellStyle name="40% - Акцент4 7 2" xfId="639"/>
    <cellStyle name="40% - Акцент4 8" xfId="395"/>
    <cellStyle name="40% - Акцент4 9" xfId="303"/>
    <cellStyle name="40% - Акцент5" xfId="11" builtinId="47" customBuiltin="1"/>
    <cellStyle name="40% - Акцент5 10" xfId="655"/>
    <cellStyle name="40% - Акцент5 11" xfId="669"/>
    <cellStyle name="40% - Акцент5 2" xfId="61"/>
    <cellStyle name="40% - Акцент5 2 2" xfId="107"/>
    <cellStyle name="40% - Акцент5 2 2 2" xfId="199"/>
    <cellStyle name="40% - Акцент5 2 2 2 2" xfId="549"/>
    <cellStyle name="40% - Акцент5 2 2 3" xfId="457"/>
    <cellStyle name="40% - Акцент5 2 2 4" xfId="365"/>
    <cellStyle name="40% - Акцент5 2 3" xfId="153"/>
    <cellStyle name="40% - Акцент5 2 3 2" xfId="503"/>
    <cellStyle name="40% - Акцент5 2 4" xfId="245"/>
    <cellStyle name="40% - Акцент5 2 4 2" xfId="595"/>
    <cellStyle name="40% - Акцент5 2 5" xfId="411"/>
    <cellStyle name="40% - Акцент5 2 6" xfId="319"/>
    <cellStyle name="40% - Акцент5 3" xfId="79"/>
    <cellStyle name="40% - Акцент5 3 2" xfId="125"/>
    <cellStyle name="40% - Акцент5 3 2 2" xfId="217"/>
    <cellStyle name="40% - Акцент5 3 2 2 2" xfId="567"/>
    <cellStyle name="40% - Акцент5 3 2 3" xfId="475"/>
    <cellStyle name="40% - Акцент5 3 2 4" xfId="383"/>
    <cellStyle name="40% - Акцент5 3 3" xfId="171"/>
    <cellStyle name="40% - Акцент5 3 3 2" xfId="521"/>
    <cellStyle name="40% - Акцент5 3 4" xfId="263"/>
    <cellStyle name="40% - Акцент5 3 4 2" xfId="613"/>
    <cellStyle name="40% - Акцент5 3 5" xfId="429"/>
    <cellStyle name="40% - Акцент5 3 6" xfId="337"/>
    <cellStyle name="40% - Акцент5 4" xfId="92"/>
    <cellStyle name="40% - Акцент5 4 2" xfId="184"/>
    <cellStyle name="40% - Акцент5 4 2 2" xfId="534"/>
    <cellStyle name="40% - Акцент5 4 3" xfId="277"/>
    <cellStyle name="40% - Акцент5 4 3 2" xfId="627"/>
    <cellStyle name="40% - Акцент5 4 4" xfId="442"/>
    <cellStyle name="40% - Акцент5 4 5" xfId="350"/>
    <cellStyle name="40% - Акцент5 5" xfId="138"/>
    <cellStyle name="40% - Акцент5 5 2" xfId="488"/>
    <cellStyle name="40% - Акцент5 6" xfId="230"/>
    <cellStyle name="40% - Акцент5 6 2" xfId="580"/>
    <cellStyle name="40% - Акцент5 7" xfId="291"/>
    <cellStyle name="40% - Акцент5 7 2" xfId="641"/>
    <cellStyle name="40% - Акцент5 8" xfId="396"/>
    <cellStyle name="40% - Акцент5 9" xfId="304"/>
    <cellStyle name="40% - Акцент6" xfId="12" builtinId="51" customBuiltin="1"/>
    <cellStyle name="40% - Акцент6 10" xfId="657"/>
    <cellStyle name="40% - Акцент6 11" xfId="671"/>
    <cellStyle name="40% - Акцент6 2" xfId="63"/>
    <cellStyle name="40% - Акцент6 2 2" xfId="109"/>
    <cellStyle name="40% - Акцент6 2 2 2" xfId="201"/>
    <cellStyle name="40% - Акцент6 2 2 2 2" xfId="551"/>
    <cellStyle name="40% - Акцент6 2 2 3" xfId="459"/>
    <cellStyle name="40% - Акцент6 2 2 4" xfId="367"/>
    <cellStyle name="40% - Акцент6 2 3" xfId="155"/>
    <cellStyle name="40% - Акцент6 2 3 2" xfId="505"/>
    <cellStyle name="40% - Акцент6 2 4" xfId="247"/>
    <cellStyle name="40% - Акцент6 2 4 2" xfId="597"/>
    <cellStyle name="40% - Акцент6 2 5" xfId="413"/>
    <cellStyle name="40% - Акцент6 2 6" xfId="321"/>
    <cellStyle name="40% - Акцент6 3" xfId="81"/>
    <cellStyle name="40% - Акцент6 3 2" xfId="127"/>
    <cellStyle name="40% - Акцент6 3 2 2" xfId="219"/>
    <cellStyle name="40% - Акцент6 3 2 2 2" xfId="569"/>
    <cellStyle name="40% - Акцент6 3 2 3" xfId="477"/>
    <cellStyle name="40% - Акцент6 3 2 4" xfId="385"/>
    <cellStyle name="40% - Акцент6 3 3" xfId="173"/>
    <cellStyle name="40% - Акцент6 3 3 2" xfId="523"/>
    <cellStyle name="40% - Акцент6 3 4" xfId="265"/>
    <cellStyle name="40% - Акцент6 3 4 2" xfId="615"/>
    <cellStyle name="40% - Акцент6 3 5" xfId="431"/>
    <cellStyle name="40% - Акцент6 3 6" xfId="339"/>
    <cellStyle name="40% - Акцент6 4" xfId="93"/>
    <cellStyle name="40% - Акцент6 4 2" xfId="185"/>
    <cellStyle name="40% - Акцент6 4 2 2" xfId="535"/>
    <cellStyle name="40% - Акцент6 4 3" xfId="279"/>
    <cellStyle name="40% - Акцент6 4 3 2" xfId="629"/>
    <cellStyle name="40% - Акцент6 4 4" xfId="443"/>
    <cellStyle name="40% - Акцент6 4 5" xfId="351"/>
    <cellStyle name="40% - Акцент6 5" xfId="139"/>
    <cellStyle name="40% - Акцент6 5 2" xfId="489"/>
    <cellStyle name="40% - Акцент6 6" xfId="231"/>
    <cellStyle name="40% - Акцент6 6 2" xfId="581"/>
    <cellStyle name="40% - Акцент6 7" xfId="293"/>
    <cellStyle name="40% - Акцент6 7 2" xfId="643"/>
    <cellStyle name="40% - Акцент6 8" xfId="397"/>
    <cellStyle name="40% - Акцент6 9" xfId="305"/>
    <cellStyle name="60% - Акцент1" xfId="13" builtinId="32" customBuiltin="1"/>
    <cellStyle name="60% - Акцент2" xfId="14" builtinId="36" customBuiltin="1"/>
    <cellStyle name="60% - Акцент3" xfId="15" builtinId="40" customBuiltin="1"/>
    <cellStyle name="60% - Акцент4" xfId="16" builtinId="44" customBuiltin="1"/>
    <cellStyle name="60% - Акцент5" xfId="17" builtinId="48" customBuiltin="1"/>
    <cellStyle name="60% - Акцент6" xfId="18" builtinId="52" customBuiltin="1"/>
    <cellStyle name="Акцент1" xfId="19" builtinId="29" customBuiltin="1"/>
    <cellStyle name="Акцент2" xfId="20" builtinId="33" customBuiltin="1"/>
    <cellStyle name="Акцент3" xfId="21" builtinId="37" customBuiltin="1"/>
    <cellStyle name="Акцент4" xfId="22" builtinId="41" customBuiltin="1"/>
    <cellStyle name="Акцент5" xfId="23" builtinId="45" customBuiltin="1"/>
    <cellStyle name="Акцент6" xfId="24" builtinId="49" customBuiltin="1"/>
    <cellStyle name="Ввод " xfId="25" builtinId="20" customBuiltin="1"/>
    <cellStyle name="Вывод" xfId="26" builtinId="21" customBuiltin="1"/>
    <cellStyle name="Вычисление" xfId="27" builtinId="22" customBuiltin="1"/>
    <cellStyle name="Заголовок 1" xfId="28" builtinId="16" customBuiltin="1"/>
    <cellStyle name="Заголовок 2" xfId="29" builtinId="17" customBuiltin="1"/>
    <cellStyle name="Заголовок 3" xfId="30" builtinId="18" customBuiltin="1"/>
    <cellStyle name="Заголовок 4" xfId="31" builtinId="19" customBuiltin="1"/>
    <cellStyle name="Итог" xfId="32" builtinId="25" customBuiltin="1"/>
    <cellStyle name="Контрольная ячейка" xfId="33" builtinId="23" customBuiltin="1"/>
    <cellStyle name="Название" xfId="34" builtinId="15" customBuiltin="1"/>
    <cellStyle name="Нейтральный" xfId="35" builtinId="28" customBuiltin="1"/>
    <cellStyle name="Обычный" xfId="0" builtinId="0"/>
    <cellStyle name="Обычный 10" xfId="280"/>
    <cellStyle name="Обычный 10 2" xfId="630"/>
    <cellStyle name="Обычный 11" xfId="644"/>
    <cellStyle name="Обычный 12" xfId="658"/>
    <cellStyle name="Обычный 13" xfId="672"/>
    <cellStyle name="Обычный 14" xfId="673"/>
    <cellStyle name="Обычный 15" xfId="674"/>
    <cellStyle name="Обычный 2" xfId="36"/>
    <cellStyle name="Обычный 2 2" xfId="94"/>
    <cellStyle name="Обычный 2 2 2" xfId="186"/>
    <cellStyle name="Обычный 2 2 2 2" xfId="536"/>
    <cellStyle name="Обычный 2 2 3" xfId="444"/>
    <cellStyle name="Обычный 2 2 4" xfId="352"/>
    <cellStyle name="Обычный 2 3" xfId="140"/>
    <cellStyle name="Обычный 2 3 2" xfId="490"/>
    <cellStyle name="Обычный 2 4" xfId="232"/>
    <cellStyle name="Обычный 2 4 2" xfId="582"/>
    <cellStyle name="Обычный 2 5" xfId="398"/>
    <cellStyle name="Обычный 2 6" xfId="306"/>
    <cellStyle name="Обычный 3" xfId="50"/>
    <cellStyle name="Обычный 3 2" xfId="96"/>
    <cellStyle name="Обычный 3 2 2" xfId="188"/>
    <cellStyle name="Обычный 3 2 2 2" xfId="538"/>
    <cellStyle name="Обычный 3 2 3" xfId="446"/>
    <cellStyle name="Обычный 3 2 4" xfId="354"/>
    <cellStyle name="Обычный 3 3" xfId="142"/>
    <cellStyle name="Обычный 3 3 2" xfId="492"/>
    <cellStyle name="Обычный 3 4" xfId="234"/>
    <cellStyle name="Обычный 3 4 2" xfId="584"/>
    <cellStyle name="Обычный 3 5" xfId="400"/>
    <cellStyle name="Обычный 3 6" xfId="308"/>
    <cellStyle name="Обычный 4" xfId="64"/>
    <cellStyle name="Обычный 4 2" xfId="110"/>
    <cellStyle name="Обычный 4 2 2" xfId="202"/>
    <cellStyle name="Обычный 4 2 2 2" xfId="552"/>
    <cellStyle name="Обычный 4 2 3" xfId="460"/>
    <cellStyle name="Обычный 4 2 4" xfId="368"/>
    <cellStyle name="Обычный 4 3" xfId="156"/>
    <cellStyle name="Обычный 4 3 2" xfId="506"/>
    <cellStyle name="Обычный 4 4" xfId="248"/>
    <cellStyle name="Обычный 4 4 2" xfId="598"/>
    <cellStyle name="Обычный 4 5" xfId="414"/>
    <cellStyle name="Обычный 4 6" xfId="322"/>
    <cellStyle name="Обычный 5" xfId="65"/>
    <cellStyle name="Обычный 5 2" xfId="111"/>
    <cellStyle name="Обычный 5 2 2" xfId="203"/>
    <cellStyle name="Обычный 5 2 2 2" xfId="553"/>
    <cellStyle name="Обычный 5 2 3" xfId="461"/>
    <cellStyle name="Обычный 5 2 4" xfId="369"/>
    <cellStyle name="Обычный 5 3" xfId="157"/>
    <cellStyle name="Обычный 5 3 2" xfId="507"/>
    <cellStyle name="Обычный 5 4" xfId="249"/>
    <cellStyle name="Обычный 5 4 2" xfId="599"/>
    <cellStyle name="Обычный 5 5" xfId="415"/>
    <cellStyle name="Обычный 5 6" xfId="323"/>
    <cellStyle name="Обычный 6" xfId="66"/>
    <cellStyle name="Обычный 6 2" xfId="112"/>
    <cellStyle name="Обычный 6 2 2" xfId="204"/>
    <cellStyle name="Обычный 6 2 2 2" xfId="554"/>
    <cellStyle name="Обычный 6 2 3" xfId="462"/>
    <cellStyle name="Обычный 6 2 4" xfId="370"/>
    <cellStyle name="Обычный 6 3" xfId="158"/>
    <cellStyle name="Обычный 6 3 2" xfId="508"/>
    <cellStyle name="Обычный 6 4" xfId="250"/>
    <cellStyle name="Обычный 6 4 2" xfId="600"/>
    <cellStyle name="Обычный 6 5" xfId="416"/>
    <cellStyle name="Обычный 6 6" xfId="324"/>
    <cellStyle name="Обычный 7" xfId="67"/>
    <cellStyle name="Обычный 7 2" xfId="113"/>
    <cellStyle name="Обычный 7 2 2" xfId="205"/>
    <cellStyle name="Обычный 7 2 2 2" xfId="555"/>
    <cellStyle name="Обычный 7 2 3" xfId="463"/>
    <cellStyle name="Обычный 7 2 4" xfId="371"/>
    <cellStyle name="Обычный 7 3" xfId="159"/>
    <cellStyle name="Обычный 7 3 2" xfId="509"/>
    <cellStyle name="Обычный 7 4" xfId="251"/>
    <cellStyle name="Обычный 7 4 2" xfId="601"/>
    <cellStyle name="Обычный 7 5" xfId="417"/>
    <cellStyle name="Обычный 7 6" xfId="325"/>
    <cellStyle name="Обычный 8" xfId="68"/>
    <cellStyle name="Обычный 8 2" xfId="114"/>
    <cellStyle name="Обычный 8 2 2" xfId="206"/>
    <cellStyle name="Обычный 8 2 2 2" xfId="556"/>
    <cellStyle name="Обычный 8 2 3" xfId="464"/>
    <cellStyle name="Обычный 8 2 4" xfId="372"/>
    <cellStyle name="Обычный 8 3" xfId="160"/>
    <cellStyle name="Обычный 8 3 2" xfId="510"/>
    <cellStyle name="Обычный 8 4" xfId="252"/>
    <cellStyle name="Обычный 8 4 2" xfId="602"/>
    <cellStyle name="Обычный 8 5" xfId="418"/>
    <cellStyle name="Обычный 8 6" xfId="326"/>
    <cellStyle name="Обычный 9" xfId="266"/>
    <cellStyle name="Обычный 9 2" xfId="616"/>
    <cellStyle name="Обычный_CLAC_1" xfId="37"/>
    <cellStyle name="Обычный_CLRE_1" xfId="38"/>
    <cellStyle name="Обычный_CLVL_1" xfId="39"/>
    <cellStyle name="Обычный_EQEQ" xfId="40"/>
    <cellStyle name="Обычный_Март2010" xfId="41"/>
    <cellStyle name="Плохой" xfId="42" builtinId="27" customBuiltin="1"/>
    <cellStyle name="Пояснение" xfId="43" builtinId="53" customBuiltin="1"/>
    <cellStyle name="Примечание 2" xfId="44"/>
    <cellStyle name="Примечание 2 2" xfId="95"/>
    <cellStyle name="Примечание 2 2 2" xfId="187"/>
    <cellStyle name="Примечание 2 2 2 2" xfId="537"/>
    <cellStyle name="Примечание 2 2 3" xfId="445"/>
    <cellStyle name="Примечание 2 2 4" xfId="353"/>
    <cellStyle name="Примечание 2 3" xfId="141"/>
    <cellStyle name="Примечание 2 3 2" xfId="491"/>
    <cellStyle name="Примечание 2 4" xfId="233"/>
    <cellStyle name="Примечание 2 4 2" xfId="583"/>
    <cellStyle name="Примечание 2 5" xfId="399"/>
    <cellStyle name="Примечание 2 6" xfId="307"/>
    <cellStyle name="Примечание 3" xfId="51"/>
    <cellStyle name="Примечание 3 2" xfId="97"/>
    <cellStyle name="Примечание 3 2 2" xfId="189"/>
    <cellStyle name="Примечание 3 2 2 2" xfId="539"/>
    <cellStyle name="Примечание 3 2 3" xfId="447"/>
    <cellStyle name="Примечание 3 2 4" xfId="355"/>
    <cellStyle name="Примечание 3 3" xfId="143"/>
    <cellStyle name="Примечание 3 3 2" xfId="493"/>
    <cellStyle name="Примечание 3 4" xfId="235"/>
    <cellStyle name="Примечание 3 4 2" xfId="585"/>
    <cellStyle name="Примечание 3 5" xfId="401"/>
    <cellStyle name="Примечание 3 6" xfId="309"/>
    <cellStyle name="Примечание 4" xfId="69"/>
    <cellStyle name="Примечание 4 2" xfId="115"/>
    <cellStyle name="Примечание 4 2 2" xfId="207"/>
    <cellStyle name="Примечание 4 2 2 2" xfId="557"/>
    <cellStyle name="Примечание 4 2 3" xfId="465"/>
    <cellStyle name="Примечание 4 2 4" xfId="373"/>
    <cellStyle name="Примечание 4 3" xfId="161"/>
    <cellStyle name="Примечание 4 3 2" xfId="511"/>
    <cellStyle name="Примечание 4 4" xfId="253"/>
    <cellStyle name="Примечание 4 4 2" xfId="603"/>
    <cellStyle name="Примечание 4 5" xfId="419"/>
    <cellStyle name="Примечание 4 6" xfId="327"/>
    <cellStyle name="Примечание 5" xfId="267"/>
    <cellStyle name="Примечание 5 2" xfId="617"/>
    <cellStyle name="Примечание 6" xfId="281"/>
    <cellStyle name="Примечание 6 2" xfId="631"/>
    <cellStyle name="Примечание 7" xfId="645"/>
    <cellStyle name="Примечание 8" xfId="659"/>
    <cellStyle name="Процентный" xfId="45" builtinId="5"/>
    <cellStyle name="Связанная ячейка" xfId="46" builtinId="24" customBuiltin="1"/>
    <cellStyle name="Текст предупреждения" xfId="47" builtinId="11" customBuiltin="1"/>
    <cellStyle name="Финансовый" xfId="48" builtinId="3"/>
    <cellStyle name="Хороший" xfId="49" builtinId="26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Январь2015!$B$50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Январь2015!$C$49:$I$49</c:f>
              <c:numCache>
                <c:formatCode>General</c:formatCode>
                <c:ptCount val="7"/>
                <c:pt idx="2" formatCode="[$-419]mmmm\ yyyy;@">
                  <c:v>40543</c:v>
                </c:pt>
                <c:pt idx="3" formatCode="[$-419]mmmm\ yyyy;@">
                  <c:v>40908</c:v>
                </c:pt>
                <c:pt idx="4" formatCode="[$-419]mmmm\ yyyy;@">
                  <c:v>41274</c:v>
                </c:pt>
                <c:pt idx="5" formatCode="[$-419]mmmm\ yyyy;@">
                  <c:v>41639</c:v>
                </c:pt>
                <c:pt idx="6" formatCode="[$-419]mmmm\ yyyy;@">
                  <c:v>42004</c:v>
                </c:pt>
              </c:numCache>
            </c:numRef>
          </c:cat>
          <c:val>
            <c:numRef>
              <c:f>Январь2015!$C$50:$I$50</c:f>
              <c:numCache>
                <c:formatCode>General</c:formatCode>
                <c:ptCount val="7"/>
                <c:pt idx="2" formatCode="#,##0">
                  <c:v>714295</c:v>
                </c:pt>
                <c:pt idx="3" formatCode="#,##0">
                  <c:v>772175</c:v>
                </c:pt>
                <c:pt idx="4" formatCode="#,##0">
                  <c:v>805549</c:v>
                </c:pt>
                <c:pt idx="5" formatCode="#,##0">
                  <c:v>881844</c:v>
                </c:pt>
                <c:pt idx="6" formatCode="#,##0">
                  <c:v>944559</c:v>
                </c:pt>
              </c:numCache>
            </c:numRef>
          </c:val>
        </c:ser>
        <c:ser>
          <c:idx val="1"/>
          <c:order val="1"/>
          <c:tx>
            <c:strRef>
              <c:f>Январь2015!$B$51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Январь2015!$C$49:$I$49</c:f>
              <c:numCache>
                <c:formatCode>General</c:formatCode>
                <c:ptCount val="7"/>
                <c:pt idx="2" formatCode="[$-419]mmmm\ yyyy;@">
                  <c:v>40543</c:v>
                </c:pt>
                <c:pt idx="3" formatCode="[$-419]mmmm\ yyyy;@">
                  <c:v>40908</c:v>
                </c:pt>
                <c:pt idx="4" formatCode="[$-419]mmmm\ yyyy;@">
                  <c:v>41274</c:v>
                </c:pt>
                <c:pt idx="5" formatCode="[$-419]mmmm\ yyyy;@">
                  <c:v>41639</c:v>
                </c:pt>
                <c:pt idx="6" formatCode="[$-419]mmmm\ yyyy;@">
                  <c:v>42004</c:v>
                </c:pt>
              </c:numCache>
            </c:numRef>
          </c:cat>
          <c:val>
            <c:numRef>
              <c:f>Январь2015!$C$51:$I$51</c:f>
              <c:numCache>
                <c:formatCode>General</c:formatCode>
                <c:ptCount val="7"/>
                <c:pt idx="2" formatCode="#,##0">
                  <c:v>17170</c:v>
                </c:pt>
                <c:pt idx="3" formatCode="#,##0">
                  <c:v>16850</c:v>
                </c:pt>
                <c:pt idx="4" formatCode="#,##0">
                  <c:v>17821</c:v>
                </c:pt>
                <c:pt idx="5" formatCode="#,##0">
                  <c:v>19539</c:v>
                </c:pt>
                <c:pt idx="6" formatCode="#,##0">
                  <c:v>20178</c:v>
                </c:pt>
              </c:numCache>
            </c:numRef>
          </c:val>
        </c:ser>
        <c:ser>
          <c:idx val="2"/>
          <c:order val="2"/>
          <c:tx>
            <c:strRef>
              <c:f>Январь2015!$B$52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Январь2015!$C$49:$I$49</c:f>
              <c:numCache>
                <c:formatCode>General</c:formatCode>
                <c:ptCount val="7"/>
                <c:pt idx="2" formatCode="[$-419]mmmm\ yyyy;@">
                  <c:v>40543</c:v>
                </c:pt>
                <c:pt idx="3" formatCode="[$-419]mmmm\ yyyy;@">
                  <c:v>40908</c:v>
                </c:pt>
                <c:pt idx="4" formatCode="[$-419]mmmm\ yyyy;@">
                  <c:v>41274</c:v>
                </c:pt>
                <c:pt idx="5" formatCode="[$-419]mmmm\ yyyy;@">
                  <c:v>41639</c:v>
                </c:pt>
                <c:pt idx="6" formatCode="[$-419]mmmm\ yyyy;@">
                  <c:v>42004</c:v>
                </c:pt>
              </c:numCache>
            </c:numRef>
          </c:cat>
          <c:val>
            <c:numRef>
              <c:f>Январь2015!$C$52:$I$52</c:f>
              <c:numCache>
                <c:formatCode>General</c:formatCode>
                <c:ptCount val="7"/>
                <c:pt idx="2" formatCode="#,##0">
                  <c:v>4295</c:v>
                </c:pt>
                <c:pt idx="3" formatCode="#,##0">
                  <c:v>5058</c:v>
                </c:pt>
                <c:pt idx="4" formatCode="#,##0">
                  <c:v>5876</c:v>
                </c:pt>
                <c:pt idx="5" formatCode="#,##0">
                  <c:v>6957</c:v>
                </c:pt>
                <c:pt idx="6" formatCode="#,##0">
                  <c:v>7486</c:v>
                </c:pt>
              </c:numCache>
            </c:numRef>
          </c:val>
        </c:ser>
        <c:ser>
          <c:idx val="3"/>
          <c:order val="3"/>
          <c:tx>
            <c:strRef>
              <c:f>Январь2015!$B$53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Январь2015!$C$49:$I$49</c:f>
              <c:numCache>
                <c:formatCode>General</c:formatCode>
                <c:ptCount val="7"/>
                <c:pt idx="2" formatCode="[$-419]mmmm\ yyyy;@">
                  <c:v>40543</c:v>
                </c:pt>
                <c:pt idx="3" formatCode="[$-419]mmmm\ yyyy;@">
                  <c:v>40908</c:v>
                </c:pt>
                <c:pt idx="4" formatCode="[$-419]mmmm\ yyyy;@">
                  <c:v>41274</c:v>
                </c:pt>
                <c:pt idx="5" formatCode="[$-419]mmmm\ yyyy;@">
                  <c:v>41639</c:v>
                </c:pt>
                <c:pt idx="6" formatCode="[$-419]mmmm\ yyyy;@">
                  <c:v>42004</c:v>
                </c:pt>
              </c:numCache>
            </c:numRef>
          </c:cat>
          <c:val>
            <c:numRef>
              <c:f>Январь2015!$C$53:$I$53</c:f>
              <c:numCache>
                <c:formatCode>General</c:formatCode>
                <c:ptCount val="7"/>
                <c:pt idx="2" formatCode="#,##0">
                  <c:v>5348</c:v>
                </c:pt>
                <c:pt idx="3" formatCode="#,##0">
                  <c:v>5242</c:v>
                </c:pt>
                <c:pt idx="4" formatCode="#,##0">
                  <c:v>5261</c:v>
                </c:pt>
                <c:pt idx="5" formatCode="#,##0">
                  <c:v>5182</c:v>
                </c:pt>
                <c:pt idx="6" formatCode="#,##0">
                  <c:v>5142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65569792"/>
        <c:axId val="121063104"/>
        <c:axId val="0"/>
      </c:bar3DChart>
      <c:dateAx>
        <c:axId val="26556979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21063104"/>
        <c:crosses val="autoZero"/>
        <c:auto val="1"/>
        <c:lblOffset val="100"/>
        <c:baseTimeUnit val="years"/>
        <c:majorUnit val="1"/>
        <c:minorUnit val="1"/>
      </c:dateAx>
      <c:valAx>
        <c:axId val="121063104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655697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Январь2015!$B$84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Январь2015!$C$83:$H$83</c:f>
              <c:numCache>
                <c:formatCode>[$-419]mmmm\ yyyy;@</c:formatCode>
                <c:ptCount val="6"/>
                <c:pt idx="0">
                  <c:v>41881</c:v>
                </c:pt>
                <c:pt idx="1">
                  <c:v>41912</c:v>
                </c:pt>
                <c:pt idx="2">
                  <c:v>41942</c:v>
                </c:pt>
                <c:pt idx="3">
                  <c:v>41973</c:v>
                </c:pt>
                <c:pt idx="4">
                  <c:v>42003</c:v>
                </c:pt>
                <c:pt idx="5">
                  <c:v>42034</c:v>
                </c:pt>
              </c:numCache>
            </c:numRef>
          </c:cat>
          <c:val>
            <c:numRef>
              <c:f>Январь2015!$C$84:$H$84</c:f>
              <c:numCache>
                <c:formatCode>#,##0</c:formatCode>
                <c:ptCount val="6"/>
                <c:pt idx="0">
                  <c:v>915943</c:v>
                </c:pt>
                <c:pt idx="1">
                  <c:v>912627</c:v>
                </c:pt>
                <c:pt idx="2">
                  <c:v>916147</c:v>
                </c:pt>
                <c:pt idx="3">
                  <c:v>921438</c:v>
                </c:pt>
                <c:pt idx="4">
                  <c:v>944559</c:v>
                </c:pt>
                <c:pt idx="5">
                  <c:v>950502</c:v>
                </c:pt>
              </c:numCache>
            </c:numRef>
          </c:val>
        </c:ser>
        <c:ser>
          <c:idx val="1"/>
          <c:order val="1"/>
          <c:tx>
            <c:strRef>
              <c:f>Январь2015!$B$85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Январь2015!$C$83:$H$83</c:f>
              <c:numCache>
                <c:formatCode>[$-419]mmmm\ yyyy;@</c:formatCode>
                <c:ptCount val="6"/>
                <c:pt idx="0">
                  <c:v>41881</c:v>
                </c:pt>
                <c:pt idx="1">
                  <c:v>41912</c:v>
                </c:pt>
                <c:pt idx="2">
                  <c:v>41942</c:v>
                </c:pt>
                <c:pt idx="3">
                  <c:v>41973</c:v>
                </c:pt>
                <c:pt idx="4">
                  <c:v>42003</c:v>
                </c:pt>
                <c:pt idx="5">
                  <c:v>42034</c:v>
                </c:pt>
              </c:numCache>
            </c:numRef>
          </c:cat>
          <c:val>
            <c:numRef>
              <c:f>Январь2015!$C$85:$H$85</c:f>
              <c:numCache>
                <c:formatCode>#,##0</c:formatCode>
                <c:ptCount val="6"/>
                <c:pt idx="0">
                  <c:v>19872</c:v>
                </c:pt>
                <c:pt idx="1">
                  <c:v>19829</c:v>
                </c:pt>
                <c:pt idx="2">
                  <c:v>19927</c:v>
                </c:pt>
                <c:pt idx="3">
                  <c:v>19975</c:v>
                </c:pt>
                <c:pt idx="4">
                  <c:v>20178</c:v>
                </c:pt>
                <c:pt idx="5">
                  <c:v>20249</c:v>
                </c:pt>
              </c:numCache>
            </c:numRef>
          </c:val>
        </c:ser>
        <c:ser>
          <c:idx val="2"/>
          <c:order val="2"/>
          <c:tx>
            <c:strRef>
              <c:f>Январь2015!$B$86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Январь2015!$C$83:$H$83</c:f>
              <c:numCache>
                <c:formatCode>[$-419]mmmm\ yyyy;@</c:formatCode>
                <c:ptCount val="6"/>
                <c:pt idx="0">
                  <c:v>41881</c:v>
                </c:pt>
                <c:pt idx="1">
                  <c:v>41912</c:v>
                </c:pt>
                <c:pt idx="2">
                  <c:v>41942</c:v>
                </c:pt>
                <c:pt idx="3">
                  <c:v>41973</c:v>
                </c:pt>
                <c:pt idx="4">
                  <c:v>42003</c:v>
                </c:pt>
                <c:pt idx="5">
                  <c:v>42034</c:v>
                </c:pt>
              </c:numCache>
            </c:numRef>
          </c:cat>
          <c:val>
            <c:numRef>
              <c:f>Январь2015!$C$86:$H$86</c:f>
              <c:numCache>
                <c:formatCode>#,##0</c:formatCode>
                <c:ptCount val="6"/>
                <c:pt idx="0">
                  <c:v>7273</c:v>
                </c:pt>
                <c:pt idx="1">
                  <c:v>7332</c:v>
                </c:pt>
                <c:pt idx="2">
                  <c:v>7352</c:v>
                </c:pt>
                <c:pt idx="3">
                  <c:v>7368</c:v>
                </c:pt>
                <c:pt idx="4">
                  <c:v>7486</c:v>
                </c:pt>
                <c:pt idx="5">
                  <c:v>7537</c:v>
                </c:pt>
              </c:numCache>
            </c:numRef>
          </c:val>
        </c:ser>
        <c:ser>
          <c:idx val="3"/>
          <c:order val="3"/>
          <c:tx>
            <c:strRef>
              <c:f>Январь2015!$B$87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Январь2015!$C$83:$H$83</c:f>
              <c:numCache>
                <c:formatCode>[$-419]mmmm\ yyyy;@</c:formatCode>
                <c:ptCount val="6"/>
                <c:pt idx="0">
                  <c:v>41881</c:v>
                </c:pt>
                <c:pt idx="1">
                  <c:v>41912</c:v>
                </c:pt>
                <c:pt idx="2">
                  <c:v>41942</c:v>
                </c:pt>
                <c:pt idx="3">
                  <c:v>41973</c:v>
                </c:pt>
                <c:pt idx="4">
                  <c:v>42003</c:v>
                </c:pt>
                <c:pt idx="5">
                  <c:v>42034</c:v>
                </c:pt>
              </c:numCache>
            </c:numRef>
          </c:cat>
          <c:val>
            <c:numRef>
              <c:f>Январь2015!$C$87:$H$87</c:f>
              <c:numCache>
                <c:formatCode>#,##0</c:formatCode>
                <c:ptCount val="6"/>
                <c:pt idx="0">
                  <c:v>5173</c:v>
                </c:pt>
                <c:pt idx="1">
                  <c:v>5174</c:v>
                </c:pt>
                <c:pt idx="2">
                  <c:v>5159</c:v>
                </c:pt>
                <c:pt idx="3">
                  <c:v>5145</c:v>
                </c:pt>
                <c:pt idx="4">
                  <c:v>5142</c:v>
                </c:pt>
                <c:pt idx="5">
                  <c:v>5091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65596416"/>
        <c:axId val="121066560"/>
        <c:axId val="0"/>
      </c:bar3DChart>
      <c:dateAx>
        <c:axId val="265596416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21066560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21066560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6559641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Февраль2015!$B$50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Февраль2015!$C$49:$I$49</c:f>
              <c:numCache>
                <c:formatCode>General</c:formatCode>
                <c:ptCount val="7"/>
                <c:pt idx="2" formatCode="[$-419]mmmm\ yyyy;@">
                  <c:v>40543</c:v>
                </c:pt>
                <c:pt idx="3" formatCode="[$-419]mmmm\ yyyy;@">
                  <c:v>40908</c:v>
                </c:pt>
                <c:pt idx="4" formatCode="[$-419]mmmm\ yyyy;@">
                  <c:v>41274</c:v>
                </c:pt>
                <c:pt idx="5" formatCode="[$-419]mmmm\ yyyy;@">
                  <c:v>41639</c:v>
                </c:pt>
                <c:pt idx="6" formatCode="[$-419]mmmm\ yyyy;@">
                  <c:v>42004</c:v>
                </c:pt>
              </c:numCache>
            </c:numRef>
          </c:cat>
          <c:val>
            <c:numRef>
              <c:f>Февраль2015!$C$50:$I$50</c:f>
              <c:numCache>
                <c:formatCode>General</c:formatCode>
                <c:ptCount val="7"/>
                <c:pt idx="2" formatCode="#,##0">
                  <c:v>714295</c:v>
                </c:pt>
                <c:pt idx="3" formatCode="#,##0">
                  <c:v>772175</c:v>
                </c:pt>
                <c:pt idx="4" formatCode="#,##0">
                  <c:v>805549</c:v>
                </c:pt>
                <c:pt idx="5" formatCode="#,##0">
                  <c:v>881844</c:v>
                </c:pt>
                <c:pt idx="6" formatCode="#,##0">
                  <c:v>944559</c:v>
                </c:pt>
              </c:numCache>
            </c:numRef>
          </c:val>
        </c:ser>
        <c:ser>
          <c:idx val="1"/>
          <c:order val="1"/>
          <c:tx>
            <c:strRef>
              <c:f>Февраль2015!$B$51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Февраль2015!$C$49:$I$49</c:f>
              <c:numCache>
                <c:formatCode>General</c:formatCode>
                <c:ptCount val="7"/>
                <c:pt idx="2" formatCode="[$-419]mmmm\ yyyy;@">
                  <c:v>40543</c:v>
                </c:pt>
                <c:pt idx="3" formatCode="[$-419]mmmm\ yyyy;@">
                  <c:v>40908</c:v>
                </c:pt>
                <c:pt idx="4" formatCode="[$-419]mmmm\ yyyy;@">
                  <c:v>41274</c:v>
                </c:pt>
                <c:pt idx="5" formatCode="[$-419]mmmm\ yyyy;@">
                  <c:v>41639</c:v>
                </c:pt>
                <c:pt idx="6" formatCode="[$-419]mmmm\ yyyy;@">
                  <c:v>42004</c:v>
                </c:pt>
              </c:numCache>
            </c:numRef>
          </c:cat>
          <c:val>
            <c:numRef>
              <c:f>Февраль2015!$C$51:$I$51</c:f>
              <c:numCache>
                <c:formatCode>General</c:formatCode>
                <c:ptCount val="7"/>
                <c:pt idx="2" formatCode="#,##0">
                  <c:v>17170</c:v>
                </c:pt>
                <c:pt idx="3" formatCode="#,##0">
                  <c:v>16850</c:v>
                </c:pt>
                <c:pt idx="4" formatCode="#,##0">
                  <c:v>17821</c:v>
                </c:pt>
                <c:pt idx="5" formatCode="#,##0">
                  <c:v>19539</c:v>
                </c:pt>
                <c:pt idx="6" formatCode="#,##0">
                  <c:v>20178</c:v>
                </c:pt>
              </c:numCache>
            </c:numRef>
          </c:val>
        </c:ser>
        <c:ser>
          <c:idx val="2"/>
          <c:order val="2"/>
          <c:tx>
            <c:strRef>
              <c:f>Февраль2015!$B$52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Февраль2015!$C$49:$I$49</c:f>
              <c:numCache>
                <c:formatCode>General</c:formatCode>
                <c:ptCount val="7"/>
                <c:pt idx="2" formatCode="[$-419]mmmm\ yyyy;@">
                  <c:v>40543</c:v>
                </c:pt>
                <c:pt idx="3" formatCode="[$-419]mmmm\ yyyy;@">
                  <c:v>40908</c:v>
                </c:pt>
                <c:pt idx="4" formatCode="[$-419]mmmm\ yyyy;@">
                  <c:v>41274</c:v>
                </c:pt>
                <c:pt idx="5" formatCode="[$-419]mmmm\ yyyy;@">
                  <c:v>41639</c:v>
                </c:pt>
                <c:pt idx="6" formatCode="[$-419]mmmm\ yyyy;@">
                  <c:v>42004</c:v>
                </c:pt>
              </c:numCache>
            </c:numRef>
          </c:cat>
          <c:val>
            <c:numRef>
              <c:f>Февраль2015!$C$52:$I$52</c:f>
              <c:numCache>
                <c:formatCode>General</c:formatCode>
                <c:ptCount val="7"/>
                <c:pt idx="2" formatCode="#,##0">
                  <c:v>4295</c:v>
                </c:pt>
                <c:pt idx="3" formatCode="#,##0">
                  <c:v>5058</c:v>
                </c:pt>
                <c:pt idx="4" formatCode="#,##0">
                  <c:v>5876</c:v>
                </c:pt>
                <c:pt idx="5" formatCode="#,##0">
                  <c:v>6957</c:v>
                </c:pt>
                <c:pt idx="6" formatCode="#,##0">
                  <c:v>7486</c:v>
                </c:pt>
              </c:numCache>
            </c:numRef>
          </c:val>
        </c:ser>
        <c:ser>
          <c:idx val="3"/>
          <c:order val="3"/>
          <c:tx>
            <c:strRef>
              <c:f>Февраль2015!$B$53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Февраль2015!$C$49:$I$49</c:f>
              <c:numCache>
                <c:formatCode>General</c:formatCode>
                <c:ptCount val="7"/>
                <c:pt idx="2" formatCode="[$-419]mmmm\ yyyy;@">
                  <c:v>40543</c:v>
                </c:pt>
                <c:pt idx="3" formatCode="[$-419]mmmm\ yyyy;@">
                  <c:v>40908</c:v>
                </c:pt>
                <c:pt idx="4" formatCode="[$-419]mmmm\ yyyy;@">
                  <c:v>41274</c:v>
                </c:pt>
                <c:pt idx="5" formatCode="[$-419]mmmm\ yyyy;@">
                  <c:v>41639</c:v>
                </c:pt>
                <c:pt idx="6" formatCode="[$-419]mmmm\ yyyy;@">
                  <c:v>42004</c:v>
                </c:pt>
              </c:numCache>
            </c:numRef>
          </c:cat>
          <c:val>
            <c:numRef>
              <c:f>Февраль2015!$C$53:$I$53</c:f>
              <c:numCache>
                <c:formatCode>General</c:formatCode>
                <c:ptCount val="7"/>
                <c:pt idx="2" formatCode="#,##0">
                  <c:v>5348</c:v>
                </c:pt>
                <c:pt idx="3" formatCode="#,##0">
                  <c:v>5242</c:v>
                </c:pt>
                <c:pt idx="4" formatCode="#,##0">
                  <c:v>5261</c:v>
                </c:pt>
                <c:pt idx="5" formatCode="#,##0">
                  <c:v>5182</c:v>
                </c:pt>
                <c:pt idx="6" formatCode="#,##0">
                  <c:v>5142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69577216"/>
        <c:axId val="121068864"/>
        <c:axId val="0"/>
      </c:bar3DChart>
      <c:dateAx>
        <c:axId val="26957721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21068864"/>
        <c:crosses val="autoZero"/>
        <c:auto val="1"/>
        <c:lblOffset val="100"/>
        <c:baseTimeUnit val="years"/>
        <c:majorUnit val="1"/>
        <c:minorUnit val="1"/>
      </c:dateAx>
      <c:valAx>
        <c:axId val="121068864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6957721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Февраль2015!$B$84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Февраль2015!$C$83:$H$83</c:f>
              <c:numCache>
                <c:formatCode>[$-419]mmmm\ yyyy;@</c:formatCode>
                <c:ptCount val="6"/>
                <c:pt idx="0">
                  <c:v>41910</c:v>
                </c:pt>
                <c:pt idx="1">
                  <c:v>41940</c:v>
                </c:pt>
                <c:pt idx="2">
                  <c:v>41971</c:v>
                </c:pt>
                <c:pt idx="3">
                  <c:v>42001</c:v>
                </c:pt>
                <c:pt idx="4">
                  <c:v>42032</c:v>
                </c:pt>
                <c:pt idx="5">
                  <c:v>42063</c:v>
                </c:pt>
              </c:numCache>
            </c:numRef>
          </c:cat>
          <c:val>
            <c:numRef>
              <c:f>Февраль2015!$C$84:$H$84</c:f>
              <c:numCache>
                <c:formatCode>#,##0</c:formatCode>
                <c:ptCount val="6"/>
                <c:pt idx="0">
                  <c:v>913288</c:v>
                </c:pt>
                <c:pt idx="1">
                  <c:v>916806</c:v>
                </c:pt>
                <c:pt idx="2">
                  <c:v>922106</c:v>
                </c:pt>
                <c:pt idx="3">
                  <c:v>945143</c:v>
                </c:pt>
                <c:pt idx="4">
                  <c:v>950502</c:v>
                </c:pt>
                <c:pt idx="5">
                  <c:v>964598</c:v>
                </c:pt>
              </c:numCache>
            </c:numRef>
          </c:val>
        </c:ser>
        <c:ser>
          <c:idx val="1"/>
          <c:order val="1"/>
          <c:tx>
            <c:strRef>
              <c:f>Февраль2015!$B$85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Февраль2015!$C$83:$H$83</c:f>
              <c:numCache>
                <c:formatCode>[$-419]mmmm\ yyyy;@</c:formatCode>
                <c:ptCount val="6"/>
                <c:pt idx="0">
                  <c:v>41910</c:v>
                </c:pt>
                <c:pt idx="1">
                  <c:v>41940</c:v>
                </c:pt>
                <c:pt idx="2">
                  <c:v>41971</c:v>
                </c:pt>
                <c:pt idx="3">
                  <c:v>42001</c:v>
                </c:pt>
                <c:pt idx="4">
                  <c:v>42032</c:v>
                </c:pt>
                <c:pt idx="5">
                  <c:v>42063</c:v>
                </c:pt>
              </c:numCache>
            </c:numRef>
          </c:cat>
          <c:val>
            <c:numRef>
              <c:f>Февраль2015!$C$85:$H$85</c:f>
              <c:numCache>
                <c:formatCode>#,##0</c:formatCode>
                <c:ptCount val="6"/>
                <c:pt idx="0">
                  <c:v>19826</c:v>
                </c:pt>
                <c:pt idx="1">
                  <c:v>19924</c:v>
                </c:pt>
                <c:pt idx="2">
                  <c:v>19972</c:v>
                </c:pt>
                <c:pt idx="3">
                  <c:v>20178</c:v>
                </c:pt>
                <c:pt idx="4">
                  <c:v>20249</c:v>
                </c:pt>
                <c:pt idx="5">
                  <c:v>20398</c:v>
                </c:pt>
              </c:numCache>
            </c:numRef>
          </c:val>
        </c:ser>
        <c:ser>
          <c:idx val="2"/>
          <c:order val="2"/>
          <c:tx>
            <c:strRef>
              <c:f>Февраль2015!$B$86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Февраль2015!$C$83:$H$83</c:f>
              <c:numCache>
                <c:formatCode>[$-419]mmmm\ yyyy;@</c:formatCode>
                <c:ptCount val="6"/>
                <c:pt idx="0">
                  <c:v>41910</c:v>
                </c:pt>
                <c:pt idx="1">
                  <c:v>41940</c:v>
                </c:pt>
                <c:pt idx="2">
                  <c:v>41971</c:v>
                </c:pt>
                <c:pt idx="3">
                  <c:v>42001</c:v>
                </c:pt>
                <c:pt idx="4">
                  <c:v>42032</c:v>
                </c:pt>
                <c:pt idx="5">
                  <c:v>42063</c:v>
                </c:pt>
              </c:numCache>
            </c:numRef>
          </c:cat>
          <c:val>
            <c:numRef>
              <c:f>Февраль2015!$C$86:$H$86</c:f>
              <c:numCache>
                <c:formatCode>#,##0</c:formatCode>
                <c:ptCount val="6"/>
                <c:pt idx="0">
                  <c:v>7329</c:v>
                </c:pt>
                <c:pt idx="1">
                  <c:v>7349</c:v>
                </c:pt>
                <c:pt idx="2">
                  <c:v>7365</c:v>
                </c:pt>
                <c:pt idx="3">
                  <c:v>7486</c:v>
                </c:pt>
                <c:pt idx="4">
                  <c:v>7537</c:v>
                </c:pt>
                <c:pt idx="5">
                  <c:v>7683</c:v>
                </c:pt>
              </c:numCache>
            </c:numRef>
          </c:val>
        </c:ser>
        <c:ser>
          <c:idx val="3"/>
          <c:order val="3"/>
          <c:tx>
            <c:strRef>
              <c:f>Февраль2015!$B$87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Февраль2015!$C$83:$H$83</c:f>
              <c:numCache>
                <c:formatCode>[$-419]mmmm\ yyyy;@</c:formatCode>
                <c:ptCount val="6"/>
                <c:pt idx="0">
                  <c:v>41910</c:v>
                </c:pt>
                <c:pt idx="1">
                  <c:v>41940</c:v>
                </c:pt>
                <c:pt idx="2">
                  <c:v>41971</c:v>
                </c:pt>
                <c:pt idx="3">
                  <c:v>42001</c:v>
                </c:pt>
                <c:pt idx="4">
                  <c:v>42032</c:v>
                </c:pt>
                <c:pt idx="5">
                  <c:v>42063</c:v>
                </c:pt>
              </c:numCache>
            </c:numRef>
          </c:cat>
          <c:val>
            <c:numRef>
              <c:f>Февраль2015!$C$87:$H$87</c:f>
              <c:numCache>
                <c:formatCode>#,##0</c:formatCode>
                <c:ptCount val="6"/>
                <c:pt idx="0">
                  <c:v>5173</c:v>
                </c:pt>
                <c:pt idx="1">
                  <c:v>5158</c:v>
                </c:pt>
                <c:pt idx="2">
                  <c:v>5144</c:v>
                </c:pt>
                <c:pt idx="3">
                  <c:v>5142</c:v>
                </c:pt>
                <c:pt idx="4">
                  <c:v>5091</c:v>
                </c:pt>
                <c:pt idx="5">
                  <c:v>5023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69763584"/>
        <c:axId val="262596288"/>
        <c:axId val="0"/>
      </c:bar3DChart>
      <c:dateAx>
        <c:axId val="269763584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62596288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62596288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6976358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Март2015!$B$50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Март2015!$C$49:$I$49</c:f>
              <c:numCache>
                <c:formatCode>General</c:formatCode>
                <c:ptCount val="7"/>
                <c:pt idx="2" formatCode="[$-419]mmmm\ yyyy;@">
                  <c:v>40543</c:v>
                </c:pt>
                <c:pt idx="3" formatCode="[$-419]mmmm\ yyyy;@">
                  <c:v>40908</c:v>
                </c:pt>
                <c:pt idx="4" formatCode="[$-419]mmmm\ yyyy;@">
                  <c:v>41274</c:v>
                </c:pt>
                <c:pt idx="5" formatCode="[$-419]mmmm\ yyyy;@">
                  <c:v>41639</c:v>
                </c:pt>
                <c:pt idx="6" formatCode="[$-419]mmmm\ yyyy;@">
                  <c:v>42004</c:v>
                </c:pt>
              </c:numCache>
            </c:numRef>
          </c:cat>
          <c:val>
            <c:numRef>
              <c:f>Март2015!$C$50:$I$50</c:f>
              <c:numCache>
                <c:formatCode>General</c:formatCode>
                <c:ptCount val="7"/>
                <c:pt idx="2" formatCode="#,##0">
                  <c:v>714295</c:v>
                </c:pt>
                <c:pt idx="3" formatCode="#,##0">
                  <c:v>772175</c:v>
                </c:pt>
                <c:pt idx="4" formatCode="#,##0">
                  <c:v>805549</c:v>
                </c:pt>
                <c:pt idx="5" formatCode="#,##0">
                  <c:v>881844</c:v>
                </c:pt>
                <c:pt idx="6" formatCode="#,##0">
                  <c:v>944559</c:v>
                </c:pt>
              </c:numCache>
            </c:numRef>
          </c:val>
        </c:ser>
        <c:ser>
          <c:idx val="1"/>
          <c:order val="1"/>
          <c:tx>
            <c:strRef>
              <c:f>Март2015!$B$51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Март2015!$C$49:$I$49</c:f>
              <c:numCache>
                <c:formatCode>General</c:formatCode>
                <c:ptCount val="7"/>
                <c:pt idx="2" formatCode="[$-419]mmmm\ yyyy;@">
                  <c:v>40543</c:v>
                </c:pt>
                <c:pt idx="3" formatCode="[$-419]mmmm\ yyyy;@">
                  <c:v>40908</c:v>
                </c:pt>
                <c:pt idx="4" formatCode="[$-419]mmmm\ yyyy;@">
                  <c:v>41274</c:v>
                </c:pt>
                <c:pt idx="5" formatCode="[$-419]mmmm\ yyyy;@">
                  <c:v>41639</c:v>
                </c:pt>
                <c:pt idx="6" formatCode="[$-419]mmmm\ yyyy;@">
                  <c:v>42004</c:v>
                </c:pt>
              </c:numCache>
            </c:numRef>
          </c:cat>
          <c:val>
            <c:numRef>
              <c:f>Март2015!$C$51:$I$51</c:f>
              <c:numCache>
                <c:formatCode>General</c:formatCode>
                <c:ptCount val="7"/>
                <c:pt idx="2" formatCode="#,##0">
                  <c:v>17170</c:v>
                </c:pt>
                <c:pt idx="3" formatCode="#,##0">
                  <c:v>16850</c:v>
                </c:pt>
                <c:pt idx="4" formatCode="#,##0">
                  <c:v>17821</c:v>
                </c:pt>
                <c:pt idx="5" formatCode="#,##0">
                  <c:v>19539</c:v>
                </c:pt>
                <c:pt idx="6" formatCode="#,##0">
                  <c:v>20178</c:v>
                </c:pt>
              </c:numCache>
            </c:numRef>
          </c:val>
        </c:ser>
        <c:ser>
          <c:idx val="2"/>
          <c:order val="2"/>
          <c:tx>
            <c:strRef>
              <c:f>Март2015!$B$52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Март2015!$C$49:$I$49</c:f>
              <c:numCache>
                <c:formatCode>General</c:formatCode>
                <c:ptCount val="7"/>
                <c:pt idx="2" formatCode="[$-419]mmmm\ yyyy;@">
                  <c:v>40543</c:v>
                </c:pt>
                <c:pt idx="3" formatCode="[$-419]mmmm\ yyyy;@">
                  <c:v>40908</c:v>
                </c:pt>
                <c:pt idx="4" formatCode="[$-419]mmmm\ yyyy;@">
                  <c:v>41274</c:v>
                </c:pt>
                <c:pt idx="5" formatCode="[$-419]mmmm\ yyyy;@">
                  <c:v>41639</c:v>
                </c:pt>
                <c:pt idx="6" formatCode="[$-419]mmmm\ yyyy;@">
                  <c:v>42004</c:v>
                </c:pt>
              </c:numCache>
            </c:numRef>
          </c:cat>
          <c:val>
            <c:numRef>
              <c:f>Март2015!$C$52:$I$52</c:f>
              <c:numCache>
                <c:formatCode>General</c:formatCode>
                <c:ptCount val="7"/>
                <c:pt idx="2" formatCode="#,##0">
                  <c:v>4295</c:v>
                </c:pt>
                <c:pt idx="3" formatCode="#,##0">
                  <c:v>5058</c:v>
                </c:pt>
                <c:pt idx="4" formatCode="#,##0">
                  <c:v>5876</c:v>
                </c:pt>
                <c:pt idx="5" formatCode="#,##0">
                  <c:v>6957</c:v>
                </c:pt>
                <c:pt idx="6" formatCode="#,##0">
                  <c:v>7486</c:v>
                </c:pt>
              </c:numCache>
            </c:numRef>
          </c:val>
        </c:ser>
        <c:ser>
          <c:idx val="3"/>
          <c:order val="3"/>
          <c:tx>
            <c:strRef>
              <c:f>Март2015!$B$53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Март2015!$C$49:$I$49</c:f>
              <c:numCache>
                <c:formatCode>General</c:formatCode>
                <c:ptCount val="7"/>
                <c:pt idx="2" formatCode="[$-419]mmmm\ yyyy;@">
                  <c:v>40543</c:v>
                </c:pt>
                <c:pt idx="3" formatCode="[$-419]mmmm\ yyyy;@">
                  <c:v>40908</c:v>
                </c:pt>
                <c:pt idx="4" formatCode="[$-419]mmmm\ yyyy;@">
                  <c:v>41274</c:v>
                </c:pt>
                <c:pt idx="5" formatCode="[$-419]mmmm\ yyyy;@">
                  <c:v>41639</c:v>
                </c:pt>
                <c:pt idx="6" formatCode="[$-419]mmmm\ yyyy;@">
                  <c:v>42004</c:v>
                </c:pt>
              </c:numCache>
            </c:numRef>
          </c:cat>
          <c:val>
            <c:numRef>
              <c:f>Март2015!$C$53:$I$53</c:f>
              <c:numCache>
                <c:formatCode>General</c:formatCode>
                <c:ptCount val="7"/>
                <c:pt idx="2" formatCode="#,##0">
                  <c:v>5348</c:v>
                </c:pt>
                <c:pt idx="3" formatCode="#,##0">
                  <c:v>5242</c:v>
                </c:pt>
                <c:pt idx="4" formatCode="#,##0">
                  <c:v>5261</c:v>
                </c:pt>
                <c:pt idx="5" formatCode="#,##0">
                  <c:v>5182</c:v>
                </c:pt>
                <c:pt idx="6" formatCode="#,##0">
                  <c:v>5142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77060608"/>
        <c:axId val="262599744"/>
        <c:axId val="0"/>
      </c:bar3DChart>
      <c:dateAx>
        <c:axId val="27706060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62599744"/>
        <c:crosses val="autoZero"/>
        <c:auto val="1"/>
        <c:lblOffset val="100"/>
        <c:baseTimeUnit val="years"/>
        <c:majorUnit val="1"/>
        <c:minorUnit val="1"/>
      </c:dateAx>
      <c:valAx>
        <c:axId val="262599744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7706060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Март2015!$B$84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Март2015!$C$83:$H$83</c:f>
              <c:numCache>
                <c:formatCode>[$-419]mmmm\ yyyy;@</c:formatCode>
                <c:ptCount val="6"/>
                <c:pt idx="0">
                  <c:v>41940</c:v>
                </c:pt>
                <c:pt idx="1">
                  <c:v>41971</c:v>
                </c:pt>
                <c:pt idx="2">
                  <c:v>42001</c:v>
                </c:pt>
                <c:pt idx="3">
                  <c:v>42032</c:v>
                </c:pt>
                <c:pt idx="4">
                  <c:v>42063</c:v>
                </c:pt>
                <c:pt idx="5">
                  <c:v>42091</c:v>
                </c:pt>
              </c:numCache>
            </c:numRef>
          </c:cat>
          <c:val>
            <c:numRef>
              <c:f>Март2015!$C$84:$H$84</c:f>
              <c:numCache>
                <c:formatCode>#,##0</c:formatCode>
                <c:ptCount val="6"/>
                <c:pt idx="0">
                  <c:v>916806</c:v>
                </c:pt>
                <c:pt idx="1">
                  <c:v>922106</c:v>
                </c:pt>
                <c:pt idx="2">
                  <c:v>945143</c:v>
                </c:pt>
                <c:pt idx="3">
                  <c:v>950502</c:v>
                </c:pt>
                <c:pt idx="4">
                  <c:v>964598</c:v>
                </c:pt>
                <c:pt idx="5">
                  <c:v>965577</c:v>
                </c:pt>
              </c:numCache>
            </c:numRef>
          </c:val>
        </c:ser>
        <c:ser>
          <c:idx val="1"/>
          <c:order val="1"/>
          <c:tx>
            <c:strRef>
              <c:f>Март2015!$B$85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Март2015!$C$83:$H$83</c:f>
              <c:numCache>
                <c:formatCode>[$-419]mmmm\ yyyy;@</c:formatCode>
                <c:ptCount val="6"/>
                <c:pt idx="0">
                  <c:v>41940</c:v>
                </c:pt>
                <c:pt idx="1">
                  <c:v>41971</c:v>
                </c:pt>
                <c:pt idx="2">
                  <c:v>42001</c:v>
                </c:pt>
                <c:pt idx="3">
                  <c:v>42032</c:v>
                </c:pt>
                <c:pt idx="4">
                  <c:v>42063</c:v>
                </c:pt>
                <c:pt idx="5">
                  <c:v>42091</c:v>
                </c:pt>
              </c:numCache>
            </c:numRef>
          </c:cat>
          <c:val>
            <c:numRef>
              <c:f>Март2015!$C$85:$H$85</c:f>
              <c:numCache>
                <c:formatCode>#,##0</c:formatCode>
                <c:ptCount val="6"/>
                <c:pt idx="0">
                  <c:v>19924</c:v>
                </c:pt>
                <c:pt idx="1">
                  <c:v>19972</c:v>
                </c:pt>
                <c:pt idx="2">
                  <c:v>20178</c:v>
                </c:pt>
                <c:pt idx="3">
                  <c:v>20249</c:v>
                </c:pt>
                <c:pt idx="4">
                  <c:v>20398</c:v>
                </c:pt>
                <c:pt idx="5">
                  <c:v>20587</c:v>
                </c:pt>
              </c:numCache>
            </c:numRef>
          </c:val>
        </c:ser>
        <c:ser>
          <c:idx val="2"/>
          <c:order val="2"/>
          <c:tx>
            <c:strRef>
              <c:f>Март2015!$B$86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Март2015!$C$83:$H$83</c:f>
              <c:numCache>
                <c:formatCode>[$-419]mmmm\ yyyy;@</c:formatCode>
                <c:ptCount val="6"/>
                <c:pt idx="0">
                  <c:v>41940</c:v>
                </c:pt>
                <c:pt idx="1">
                  <c:v>41971</c:v>
                </c:pt>
                <c:pt idx="2">
                  <c:v>42001</c:v>
                </c:pt>
                <c:pt idx="3">
                  <c:v>42032</c:v>
                </c:pt>
                <c:pt idx="4">
                  <c:v>42063</c:v>
                </c:pt>
                <c:pt idx="5">
                  <c:v>42091</c:v>
                </c:pt>
              </c:numCache>
            </c:numRef>
          </c:cat>
          <c:val>
            <c:numRef>
              <c:f>Март2015!$C$86:$H$86</c:f>
              <c:numCache>
                <c:formatCode>#,##0</c:formatCode>
                <c:ptCount val="6"/>
                <c:pt idx="0">
                  <c:v>7349</c:v>
                </c:pt>
                <c:pt idx="1">
                  <c:v>7365</c:v>
                </c:pt>
                <c:pt idx="2">
                  <c:v>7486</c:v>
                </c:pt>
                <c:pt idx="3">
                  <c:v>7537</c:v>
                </c:pt>
                <c:pt idx="4">
                  <c:v>7683</c:v>
                </c:pt>
                <c:pt idx="5">
                  <c:v>8231</c:v>
                </c:pt>
              </c:numCache>
            </c:numRef>
          </c:val>
        </c:ser>
        <c:ser>
          <c:idx val="3"/>
          <c:order val="3"/>
          <c:tx>
            <c:strRef>
              <c:f>Март2015!$B$87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Март2015!$C$83:$H$83</c:f>
              <c:numCache>
                <c:formatCode>[$-419]mmmm\ yyyy;@</c:formatCode>
                <c:ptCount val="6"/>
                <c:pt idx="0">
                  <c:v>41940</c:v>
                </c:pt>
                <c:pt idx="1">
                  <c:v>41971</c:v>
                </c:pt>
                <c:pt idx="2">
                  <c:v>42001</c:v>
                </c:pt>
                <c:pt idx="3">
                  <c:v>42032</c:v>
                </c:pt>
                <c:pt idx="4">
                  <c:v>42063</c:v>
                </c:pt>
                <c:pt idx="5">
                  <c:v>42091</c:v>
                </c:pt>
              </c:numCache>
            </c:numRef>
          </c:cat>
          <c:val>
            <c:numRef>
              <c:f>Март2015!$C$87:$H$87</c:f>
              <c:numCache>
                <c:formatCode>#,##0</c:formatCode>
                <c:ptCount val="6"/>
                <c:pt idx="0">
                  <c:v>5158</c:v>
                </c:pt>
                <c:pt idx="1">
                  <c:v>5144</c:v>
                </c:pt>
                <c:pt idx="2">
                  <c:v>5142</c:v>
                </c:pt>
                <c:pt idx="3">
                  <c:v>5091</c:v>
                </c:pt>
                <c:pt idx="4">
                  <c:v>5023</c:v>
                </c:pt>
                <c:pt idx="5">
                  <c:v>5043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86137856"/>
        <c:axId val="262602048"/>
        <c:axId val="0"/>
      </c:bar3DChart>
      <c:dateAx>
        <c:axId val="286137856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62602048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62602048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8613785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Апрель2015!$B$50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Апрель2015!$C$49:$I$49</c:f>
              <c:numCache>
                <c:formatCode>General</c:formatCode>
                <c:ptCount val="7"/>
                <c:pt idx="2" formatCode="[$-419]mmmm\ yyyy;@">
                  <c:v>40543</c:v>
                </c:pt>
                <c:pt idx="3" formatCode="[$-419]mmmm\ yyyy;@">
                  <c:v>40908</c:v>
                </c:pt>
                <c:pt idx="4" formatCode="[$-419]mmmm\ yyyy;@">
                  <c:v>41274</c:v>
                </c:pt>
                <c:pt idx="5" formatCode="[$-419]mmmm\ yyyy;@">
                  <c:v>41639</c:v>
                </c:pt>
                <c:pt idx="6" formatCode="[$-419]mmmm\ yyyy;@">
                  <c:v>42004</c:v>
                </c:pt>
              </c:numCache>
            </c:numRef>
          </c:cat>
          <c:val>
            <c:numRef>
              <c:f>Апрель2015!$C$50:$I$50</c:f>
              <c:numCache>
                <c:formatCode>General</c:formatCode>
                <c:ptCount val="7"/>
                <c:pt idx="2" formatCode="#,##0">
                  <c:v>714295</c:v>
                </c:pt>
                <c:pt idx="3" formatCode="#,##0">
                  <c:v>772175</c:v>
                </c:pt>
                <c:pt idx="4" formatCode="#,##0">
                  <c:v>805549</c:v>
                </c:pt>
                <c:pt idx="5" formatCode="#,##0">
                  <c:v>881844</c:v>
                </c:pt>
                <c:pt idx="6" formatCode="#,##0">
                  <c:v>944559</c:v>
                </c:pt>
              </c:numCache>
            </c:numRef>
          </c:val>
        </c:ser>
        <c:ser>
          <c:idx val="1"/>
          <c:order val="1"/>
          <c:tx>
            <c:strRef>
              <c:f>Апрель2015!$B$51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Апрель2015!$C$49:$I$49</c:f>
              <c:numCache>
                <c:formatCode>General</c:formatCode>
                <c:ptCount val="7"/>
                <c:pt idx="2" formatCode="[$-419]mmmm\ yyyy;@">
                  <c:v>40543</c:v>
                </c:pt>
                <c:pt idx="3" formatCode="[$-419]mmmm\ yyyy;@">
                  <c:v>40908</c:v>
                </c:pt>
                <c:pt idx="4" formatCode="[$-419]mmmm\ yyyy;@">
                  <c:v>41274</c:v>
                </c:pt>
                <c:pt idx="5" formatCode="[$-419]mmmm\ yyyy;@">
                  <c:v>41639</c:v>
                </c:pt>
                <c:pt idx="6" formatCode="[$-419]mmmm\ yyyy;@">
                  <c:v>42004</c:v>
                </c:pt>
              </c:numCache>
            </c:numRef>
          </c:cat>
          <c:val>
            <c:numRef>
              <c:f>Апрель2015!$C$51:$I$51</c:f>
              <c:numCache>
                <c:formatCode>General</c:formatCode>
                <c:ptCount val="7"/>
                <c:pt idx="2" formatCode="#,##0">
                  <c:v>17170</c:v>
                </c:pt>
                <c:pt idx="3" formatCode="#,##0">
                  <c:v>16850</c:v>
                </c:pt>
                <c:pt idx="4" formatCode="#,##0">
                  <c:v>17821</c:v>
                </c:pt>
                <c:pt idx="5" formatCode="#,##0">
                  <c:v>19539</c:v>
                </c:pt>
                <c:pt idx="6" formatCode="#,##0">
                  <c:v>20178</c:v>
                </c:pt>
              </c:numCache>
            </c:numRef>
          </c:val>
        </c:ser>
        <c:ser>
          <c:idx val="2"/>
          <c:order val="2"/>
          <c:tx>
            <c:strRef>
              <c:f>Апрель2015!$B$52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Апрель2015!$C$49:$I$49</c:f>
              <c:numCache>
                <c:formatCode>General</c:formatCode>
                <c:ptCount val="7"/>
                <c:pt idx="2" formatCode="[$-419]mmmm\ yyyy;@">
                  <c:v>40543</c:v>
                </c:pt>
                <c:pt idx="3" formatCode="[$-419]mmmm\ yyyy;@">
                  <c:v>40908</c:v>
                </c:pt>
                <c:pt idx="4" formatCode="[$-419]mmmm\ yyyy;@">
                  <c:v>41274</c:v>
                </c:pt>
                <c:pt idx="5" formatCode="[$-419]mmmm\ yyyy;@">
                  <c:v>41639</c:v>
                </c:pt>
                <c:pt idx="6" formatCode="[$-419]mmmm\ yyyy;@">
                  <c:v>42004</c:v>
                </c:pt>
              </c:numCache>
            </c:numRef>
          </c:cat>
          <c:val>
            <c:numRef>
              <c:f>Апрель2015!$C$52:$I$52</c:f>
              <c:numCache>
                <c:formatCode>General</c:formatCode>
                <c:ptCount val="7"/>
                <c:pt idx="2" formatCode="#,##0">
                  <c:v>4295</c:v>
                </c:pt>
                <c:pt idx="3" formatCode="#,##0">
                  <c:v>5058</c:v>
                </c:pt>
                <c:pt idx="4" formatCode="#,##0">
                  <c:v>5876</c:v>
                </c:pt>
                <c:pt idx="5" formatCode="#,##0">
                  <c:v>6957</c:v>
                </c:pt>
                <c:pt idx="6" formatCode="#,##0">
                  <c:v>7486</c:v>
                </c:pt>
              </c:numCache>
            </c:numRef>
          </c:val>
        </c:ser>
        <c:ser>
          <c:idx val="3"/>
          <c:order val="3"/>
          <c:tx>
            <c:strRef>
              <c:f>Апрель2015!$B$53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Апрель2015!$C$49:$I$49</c:f>
              <c:numCache>
                <c:formatCode>General</c:formatCode>
                <c:ptCount val="7"/>
                <c:pt idx="2" formatCode="[$-419]mmmm\ yyyy;@">
                  <c:v>40543</c:v>
                </c:pt>
                <c:pt idx="3" formatCode="[$-419]mmmm\ yyyy;@">
                  <c:v>40908</c:v>
                </c:pt>
                <c:pt idx="4" formatCode="[$-419]mmmm\ yyyy;@">
                  <c:v>41274</c:v>
                </c:pt>
                <c:pt idx="5" formatCode="[$-419]mmmm\ yyyy;@">
                  <c:v>41639</c:v>
                </c:pt>
                <c:pt idx="6" formatCode="[$-419]mmmm\ yyyy;@">
                  <c:v>42004</c:v>
                </c:pt>
              </c:numCache>
            </c:numRef>
          </c:cat>
          <c:val>
            <c:numRef>
              <c:f>Апрель2015!$C$53:$I$53</c:f>
              <c:numCache>
                <c:formatCode>General</c:formatCode>
                <c:ptCount val="7"/>
                <c:pt idx="2" formatCode="#,##0">
                  <c:v>5348</c:v>
                </c:pt>
                <c:pt idx="3" formatCode="#,##0">
                  <c:v>5242</c:v>
                </c:pt>
                <c:pt idx="4" formatCode="#,##0">
                  <c:v>5261</c:v>
                </c:pt>
                <c:pt idx="5" formatCode="#,##0">
                  <c:v>5182</c:v>
                </c:pt>
                <c:pt idx="6" formatCode="#,##0">
                  <c:v>5142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86247424"/>
        <c:axId val="263882432"/>
        <c:axId val="0"/>
      </c:bar3DChart>
      <c:dateAx>
        <c:axId val="28624742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63882432"/>
        <c:crosses val="autoZero"/>
        <c:auto val="1"/>
        <c:lblOffset val="100"/>
        <c:baseTimeUnit val="years"/>
        <c:majorUnit val="1"/>
        <c:minorUnit val="1"/>
      </c:dateAx>
      <c:valAx>
        <c:axId val="263882432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8624742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Апрель2015!$B$84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Апрель2015!$C$83:$H$83</c:f>
              <c:numCache>
                <c:formatCode>[$-419]mmmm\ yyyy;@</c:formatCode>
                <c:ptCount val="6"/>
                <c:pt idx="0">
                  <c:v>41971</c:v>
                </c:pt>
                <c:pt idx="1">
                  <c:v>42001</c:v>
                </c:pt>
                <c:pt idx="2">
                  <c:v>42032</c:v>
                </c:pt>
                <c:pt idx="3">
                  <c:v>42063</c:v>
                </c:pt>
                <c:pt idx="4">
                  <c:v>42093</c:v>
                </c:pt>
                <c:pt idx="5">
                  <c:v>42124</c:v>
                </c:pt>
              </c:numCache>
            </c:numRef>
          </c:cat>
          <c:val>
            <c:numRef>
              <c:f>Апрель2015!$C$84:$H$84</c:f>
              <c:numCache>
                <c:formatCode>#,##0</c:formatCode>
                <c:ptCount val="6"/>
                <c:pt idx="0">
                  <c:v>922106</c:v>
                </c:pt>
                <c:pt idx="1">
                  <c:v>945143</c:v>
                </c:pt>
                <c:pt idx="2">
                  <c:v>950502</c:v>
                </c:pt>
                <c:pt idx="3">
                  <c:v>964598</c:v>
                </c:pt>
                <c:pt idx="4">
                  <c:v>965577</c:v>
                </c:pt>
                <c:pt idx="5">
                  <c:v>971876</c:v>
                </c:pt>
              </c:numCache>
            </c:numRef>
          </c:val>
        </c:ser>
        <c:ser>
          <c:idx val="1"/>
          <c:order val="1"/>
          <c:tx>
            <c:strRef>
              <c:f>Апрель2015!$B$85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Апрель2015!$C$83:$H$83</c:f>
              <c:numCache>
                <c:formatCode>[$-419]mmmm\ yyyy;@</c:formatCode>
                <c:ptCount val="6"/>
                <c:pt idx="0">
                  <c:v>41971</c:v>
                </c:pt>
                <c:pt idx="1">
                  <c:v>42001</c:v>
                </c:pt>
                <c:pt idx="2">
                  <c:v>42032</c:v>
                </c:pt>
                <c:pt idx="3">
                  <c:v>42063</c:v>
                </c:pt>
                <c:pt idx="4">
                  <c:v>42093</c:v>
                </c:pt>
                <c:pt idx="5">
                  <c:v>42124</c:v>
                </c:pt>
              </c:numCache>
            </c:numRef>
          </c:cat>
          <c:val>
            <c:numRef>
              <c:f>Апрель2015!$C$85:$H$85</c:f>
              <c:numCache>
                <c:formatCode>#,##0</c:formatCode>
                <c:ptCount val="6"/>
                <c:pt idx="0">
                  <c:v>19972</c:v>
                </c:pt>
                <c:pt idx="1">
                  <c:v>20178</c:v>
                </c:pt>
                <c:pt idx="2">
                  <c:v>20249</c:v>
                </c:pt>
                <c:pt idx="3">
                  <c:v>20398</c:v>
                </c:pt>
                <c:pt idx="4">
                  <c:v>20587</c:v>
                </c:pt>
                <c:pt idx="5">
                  <c:v>20753</c:v>
                </c:pt>
              </c:numCache>
            </c:numRef>
          </c:val>
        </c:ser>
        <c:ser>
          <c:idx val="2"/>
          <c:order val="2"/>
          <c:tx>
            <c:strRef>
              <c:f>Апрель2015!$B$86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Апрель2015!$C$83:$H$83</c:f>
              <c:numCache>
                <c:formatCode>[$-419]mmmm\ yyyy;@</c:formatCode>
                <c:ptCount val="6"/>
                <c:pt idx="0">
                  <c:v>41971</c:v>
                </c:pt>
                <c:pt idx="1">
                  <c:v>42001</c:v>
                </c:pt>
                <c:pt idx="2">
                  <c:v>42032</c:v>
                </c:pt>
                <c:pt idx="3">
                  <c:v>42063</c:v>
                </c:pt>
                <c:pt idx="4">
                  <c:v>42093</c:v>
                </c:pt>
                <c:pt idx="5">
                  <c:v>42124</c:v>
                </c:pt>
              </c:numCache>
            </c:numRef>
          </c:cat>
          <c:val>
            <c:numRef>
              <c:f>Апрель2015!$C$86:$H$86</c:f>
              <c:numCache>
                <c:formatCode>#,##0</c:formatCode>
                <c:ptCount val="6"/>
                <c:pt idx="0">
                  <c:v>7365</c:v>
                </c:pt>
                <c:pt idx="1">
                  <c:v>7486</c:v>
                </c:pt>
                <c:pt idx="2">
                  <c:v>7537</c:v>
                </c:pt>
                <c:pt idx="3">
                  <c:v>7683</c:v>
                </c:pt>
                <c:pt idx="4">
                  <c:v>8231</c:v>
                </c:pt>
                <c:pt idx="5">
                  <c:v>8355</c:v>
                </c:pt>
              </c:numCache>
            </c:numRef>
          </c:val>
        </c:ser>
        <c:ser>
          <c:idx val="3"/>
          <c:order val="3"/>
          <c:tx>
            <c:strRef>
              <c:f>Апрель2015!$B$87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Апрель2015!$C$83:$H$83</c:f>
              <c:numCache>
                <c:formatCode>[$-419]mmmm\ yyyy;@</c:formatCode>
                <c:ptCount val="6"/>
                <c:pt idx="0">
                  <c:v>41971</c:v>
                </c:pt>
                <c:pt idx="1">
                  <c:v>42001</c:v>
                </c:pt>
                <c:pt idx="2">
                  <c:v>42032</c:v>
                </c:pt>
                <c:pt idx="3">
                  <c:v>42063</c:v>
                </c:pt>
                <c:pt idx="4">
                  <c:v>42093</c:v>
                </c:pt>
                <c:pt idx="5">
                  <c:v>42124</c:v>
                </c:pt>
              </c:numCache>
            </c:numRef>
          </c:cat>
          <c:val>
            <c:numRef>
              <c:f>Апрель2015!$C$87:$H$87</c:f>
              <c:numCache>
                <c:formatCode>#,##0</c:formatCode>
                <c:ptCount val="6"/>
                <c:pt idx="0">
                  <c:v>5144</c:v>
                </c:pt>
                <c:pt idx="1">
                  <c:v>5142</c:v>
                </c:pt>
                <c:pt idx="2">
                  <c:v>5091</c:v>
                </c:pt>
                <c:pt idx="3">
                  <c:v>5023</c:v>
                </c:pt>
                <c:pt idx="4">
                  <c:v>5043</c:v>
                </c:pt>
                <c:pt idx="5">
                  <c:v>4971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86316032"/>
        <c:axId val="263884736"/>
        <c:axId val="0"/>
      </c:bar3DChart>
      <c:dateAx>
        <c:axId val="286316032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63884736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63884736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8631603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Май2015!$B$50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Май2015!$C$49:$I$49</c:f>
              <c:numCache>
                <c:formatCode>General</c:formatCode>
                <c:ptCount val="7"/>
                <c:pt idx="2" formatCode="[$-419]mmmm\ yyyy;@">
                  <c:v>40543</c:v>
                </c:pt>
                <c:pt idx="3" formatCode="[$-419]mmmm\ yyyy;@">
                  <c:v>40908</c:v>
                </c:pt>
                <c:pt idx="4" formatCode="[$-419]mmmm\ yyyy;@">
                  <c:v>41274</c:v>
                </c:pt>
                <c:pt idx="5" formatCode="[$-419]mmmm\ yyyy;@">
                  <c:v>41639</c:v>
                </c:pt>
                <c:pt idx="6" formatCode="[$-419]mmmm\ yyyy;@">
                  <c:v>42004</c:v>
                </c:pt>
              </c:numCache>
            </c:numRef>
          </c:cat>
          <c:val>
            <c:numRef>
              <c:f>Май2015!$C$50:$I$50</c:f>
              <c:numCache>
                <c:formatCode>General</c:formatCode>
                <c:ptCount val="7"/>
                <c:pt idx="2" formatCode="#,##0">
                  <c:v>714295</c:v>
                </c:pt>
                <c:pt idx="3" formatCode="#,##0">
                  <c:v>772175</c:v>
                </c:pt>
                <c:pt idx="4" formatCode="#,##0">
                  <c:v>805549</c:v>
                </c:pt>
                <c:pt idx="5" formatCode="#,##0">
                  <c:v>881844</c:v>
                </c:pt>
                <c:pt idx="6" formatCode="#,##0">
                  <c:v>944559</c:v>
                </c:pt>
              </c:numCache>
            </c:numRef>
          </c:val>
        </c:ser>
        <c:ser>
          <c:idx val="1"/>
          <c:order val="1"/>
          <c:tx>
            <c:strRef>
              <c:f>Май2015!$B$51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Май2015!$C$49:$I$49</c:f>
              <c:numCache>
                <c:formatCode>General</c:formatCode>
                <c:ptCount val="7"/>
                <c:pt idx="2" formatCode="[$-419]mmmm\ yyyy;@">
                  <c:v>40543</c:v>
                </c:pt>
                <c:pt idx="3" formatCode="[$-419]mmmm\ yyyy;@">
                  <c:v>40908</c:v>
                </c:pt>
                <c:pt idx="4" formatCode="[$-419]mmmm\ yyyy;@">
                  <c:v>41274</c:v>
                </c:pt>
                <c:pt idx="5" formatCode="[$-419]mmmm\ yyyy;@">
                  <c:v>41639</c:v>
                </c:pt>
                <c:pt idx="6" formatCode="[$-419]mmmm\ yyyy;@">
                  <c:v>42004</c:v>
                </c:pt>
              </c:numCache>
            </c:numRef>
          </c:cat>
          <c:val>
            <c:numRef>
              <c:f>Май2015!$C$51:$I$51</c:f>
              <c:numCache>
                <c:formatCode>General</c:formatCode>
                <c:ptCount val="7"/>
                <c:pt idx="2" formatCode="#,##0">
                  <c:v>17170</c:v>
                </c:pt>
                <c:pt idx="3" formatCode="#,##0">
                  <c:v>16850</c:v>
                </c:pt>
                <c:pt idx="4" formatCode="#,##0">
                  <c:v>17821</c:v>
                </c:pt>
                <c:pt idx="5" formatCode="#,##0">
                  <c:v>19539</c:v>
                </c:pt>
                <c:pt idx="6" formatCode="#,##0">
                  <c:v>20178</c:v>
                </c:pt>
              </c:numCache>
            </c:numRef>
          </c:val>
        </c:ser>
        <c:ser>
          <c:idx val="2"/>
          <c:order val="2"/>
          <c:tx>
            <c:strRef>
              <c:f>Май2015!$B$52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Май2015!$C$49:$I$49</c:f>
              <c:numCache>
                <c:formatCode>General</c:formatCode>
                <c:ptCount val="7"/>
                <c:pt idx="2" formatCode="[$-419]mmmm\ yyyy;@">
                  <c:v>40543</c:v>
                </c:pt>
                <c:pt idx="3" formatCode="[$-419]mmmm\ yyyy;@">
                  <c:v>40908</c:v>
                </c:pt>
                <c:pt idx="4" formatCode="[$-419]mmmm\ yyyy;@">
                  <c:v>41274</c:v>
                </c:pt>
                <c:pt idx="5" formatCode="[$-419]mmmm\ yyyy;@">
                  <c:v>41639</c:v>
                </c:pt>
                <c:pt idx="6" formatCode="[$-419]mmmm\ yyyy;@">
                  <c:v>42004</c:v>
                </c:pt>
              </c:numCache>
            </c:numRef>
          </c:cat>
          <c:val>
            <c:numRef>
              <c:f>Май2015!$C$52:$I$52</c:f>
              <c:numCache>
                <c:formatCode>General</c:formatCode>
                <c:ptCount val="7"/>
                <c:pt idx="2" formatCode="#,##0">
                  <c:v>4295</c:v>
                </c:pt>
                <c:pt idx="3" formatCode="#,##0">
                  <c:v>5058</c:v>
                </c:pt>
                <c:pt idx="4" formatCode="#,##0">
                  <c:v>5876</c:v>
                </c:pt>
                <c:pt idx="5" formatCode="#,##0">
                  <c:v>6957</c:v>
                </c:pt>
                <c:pt idx="6" formatCode="#,##0">
                  <c:v>7486</c:v>
                </c:pt>
              </c:numCache>
            </c:numRef>
          </c:val>
        </c:ser>
        <c:ser>
          <c:idx val="3"/>
          <c:order val="3"/>
          <c:tx>
            <c:strRef>
              <c:f>Май2015!$B$53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Май2015!$C$49:$I$49</c:f>
              <c:numCache>
                <c:formatCode>General</c:formatCode>
                <c:ptCount val="7"/>
                <c:pt idx="2" formatCode="[$-419]mmmm\ yyyy;@">
                  <c:v>40543</c:v>
                </c:pt>
                <c:pt idx="3" formatCode="[$-419]mmmm\ yyyy;@">
                  <c:v>40908</c:v>
                </c:pt>
                <c:pt idx="4" formatCode="[$-419]mmmm\ yyyy;@">
                  <c:v>41274</c:v>
                </c:pt>
                <c:pt idx="5" formatCode="[$-419]mmmm\ yyyy;@">
                  <c:v>41639</c:v>
                </c:pt>
                <c:pt idx="6" formatCode="[$-419]mmmm\ yyyy;@">
                  <c:v>42004</c:v>
                </c:pt>
              </c:numCache>
            </c:numRef>
          </c:cat>
          <c:val>
            <c:numRef>
              <c:f>Май2015!$C$53:$I$53</c:f>
              <c:numCache>
                <c:formatCode>General</c:formatCode>
                <c:ptCount val="7"/>
                <c:pt idx="2" formatCode="#,##0">
                  <c:v>5348</c:v>
                </c:pt>
                <c:pt idx="3" formatCode="#,##0">
                  <c:v>5242</c:v>
                </c:pt>
                <c:pt idx="4" formatCode="#,##0">
                  <c:v>5261</c:v>
                </c:pt>
                <c:pt idx="5" formatCode="#,##0">
                  <c:v>5182</c:v>
                </c:pt>
                <c:pt idx="6" formatCode="#,##0">
                  <c:v>5142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65903104"/>
        <c:axId val="263887616"/>
        <c:axId val="0"/>
      </c:bar3DChart>
      <c:dateAx>
        <c:axId val="26590310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63887616"/>
        <c:crosses val="autoZero"/>
        <c:auto val="1"/>
        <c:lblOffset val="100"/>
        <c:baseTimeUnit val="years"/>
        <c:majorUnit val="1"/>
        <c:minorUnit val="1"/>
      </c:dateAx>
      <c:valAx>
        <c:axId val="263887616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65903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Май2015!$B$84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Май2015!$C$83:$H$83</c:f>
              <c:numCache>
                <c:formatCode>[$-419]mmmm\ yyyy;@</c:formatCode>
                <c:ptCount val="6"/>
                <c:pt idx="0">
                  <c:v>42001</c:v>
                </c:pt>
                <c:pt idx="1">
                  <c:v>42032</c:v>
                </c:pt>
                <c:pt idx="2">
                  <c:v>42063</c:v>
                </c:pt>
                <c:pt idx="3">
                  <c:v>42093</c:v>
                </c:pt>
                <c:pt idx="4">
                  <c:v>42124</c:v>
                </c:pt>
                <c:pt idx="5">
                  <c:v>42154</c:v>
                </c:pt>
              </c:numCache>
            </c:numRef>
          </c:cat>
          <c:val>
            <c:numRef>
              <c:f>Май2015!$C$84:$H$84</c:f>
              <c:numCache>
                <c:formatCode>#,##0</c:formatCode>
                <c:ptCount val="6"/>
                <c:pt idx="0">
                  <c:v>945143</c:v>
                </c:pt>
                <c:pt idx="1">
                  <c:v>950502</c:v>
                </c:pt>
                <c:pt idx="2">
                  <c:v>964598</c:v>
                </c:pt>
                <c:pt idx="3">
                  <c:v>965577</c:v>
                </c:pt>
                <c:pt idx="4">
                  <c:v>971876</c:v>
                </c:pt>
                <c:pt idx="5">
                  <c:v>975467</c:v>
                </c:pt>
              </c:numCache>
            </c:numRef>
          </c:val>
        </c:ser>
        <c:ser>
          <c:idx val="1"/>
          <c:order val="1"/>
          <c:tx>
            <c:strRef>
              <c:f>Май2015!$B$85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Май2015!$C$83:$H$83</c:f>
              <c:numCache>
                <c:formatCode>[$-419]mmmm\ yyyy;@</c:formatCode>
                <c:ptCount val="6"/>
                <c:pt idx="0">
                  <c:v>42001</c:v>
                </c:pt>
                <c:pt idx="1">
                  <c:v>42032</c:v>
                </c:pt>
                <c:pt idx="2">
                  <c:v>42063</c:v>
                </c:pt>
                <c:pt idx="3">
                  <c:v>42093</c:v>
                </c:pt>
                <c:pt idx="4">
                  <c:v>42124</c:v>
                </c:pt>
                <c:pt idx="5">
                  <c:v>42154</c:v>
                </c:pt>
              </c:numCache>
            </c:numRef>
          </c:cat>
          <c:val>
            <c:numRef>
              <c:f>Май2015!$C$85:$H$85</c:f>
              <c:numCache>
                <c:formatCode>#,##0</c:formatCode>
                <c:ptCount val="6"/>
                <c:pt idx="0">
                  <c:v>20178</c:v>
                </c:pt>
                <c:pt idx="1">
                  <c:v>20249</c:v>
                </c:pt>
                <c:pt idx="2">
                  <c:v>20398</c:v>
                </c:pt>
                <c:pt idx="3">
                  <c:v>20587</c:v>
                </c:pt>
                <c:pt idx="4">
                  <c:v>20753</c:v>
                </c:pt>
                <c:pt idx="5">
                  <c:v>20771</c:v>
                </c:pt>
              </c:numCache>
            </c:numRef>
          </c:val>
        </c:ser>
        <c:ser>
          <c:idx val="2"/>
          <c:order val="2"/>
          <c:tx>
            <c:strRef>
              <c:f>Май2015!$B$86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Май2015!$C$83:$H$83</c:f>
              <c:numCache>
                <c:formatCode>[$-419]mmmm\ yyyy;@</c:formatCode>
                <c:ptCount val="6"/>
                <c:pt idx="0">
                  <c:v>42001</c:v>
                </c:pt>
                <c:pt idx="1">
                  <c:v>42032</c:v>
                </c:pt>
                <c:pt idx="2">
                  <c:v>42063</c:v>
                </c:pt>
                <c:pt idx="3">
                  <c:v>42093</c:v>
                </c:pt>
                <c:pt idx="4">
                  <c:v>42124</c:v>
                </c:pt>
                <c:pt idx="5">
                  <c:v>42154</c:v>
                </c:pt>
              </c:numCache>
            </c:numRef>
          </c:cat>
          <c:val>
            <c:numRef>
              <c:f>Май2015!$C$86:$H$86</c:f>
              <c:numCache>
                <c:formatCode>#,##0</c:formatCode>
                <c:ptCount val="6"/>
                <c:pt idx="0">
                  <c:v>7486</c:v>
                </c:pt>
                <c:pt idx="1">
                  <c:v>7537</c:v>
                </c:pt>
                <c:pt idx="2">
                  <c:v>7683</c:v>
                </c:pt>
                <c:pt idx="3">
                  <c:v>8231</c:v>
                </c:pt>
                <c:pt idx="4">
                  <c:v>8355</c:v>
                </c:pt>
                <c:pt idx="5">
                  <c:v>8400</c:v>
                </c:pt>
              </c:numCache>
            </c:numRef>
          </c:val>
        </c:ser>
        <c:ser>
          <c:idx val="3"/>
          <c:order val="3"/>
          <c:tx>
            <c:strRef>
              <c:f>Май2015!$B$87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Май2015!$C$83:$H$83</c:f>
              <c:numCache>
                <c:formatCode>[$-419]mmmm\ yyyy;@</c:formatCode>
                <c:ptCount val="6"/>
                <c:pt idx="0">
                  <c:v>42001</c:v>
                </c:pt>
                <c:pt idx="1">
                  <c:v>42032</c:v>
                </c:pt>
                <c:pt idx="2">
                  <c:v>42063</c:v>
                </c:pt>
                <c:pt idx="3">
                  <c:v>42093</c:v>
                </c:pt>
                <c:pt idx="4">
                  <c:v>42124</c:v>
                </c:pt>
                <c:pt idx="5">
                  <c:v>42154</c:v>
                </c:pt>
              </c:numCache>
            </c:numRef>
          </c:cat>
          <c:val>
            <c:numRef>
              <c:f>Май2015!$C$87:$H$87</c:f>
              <c:numCache>
                <c:formatCode>#,##0</c:formatCode>
                <c:ptCount val="6"/>
                <c:pt idx="0">
                  <c:v>5142</c:v>
                </c:pt>
                <c:pt idx="1">
                  <c:v>5091</c:v>
                </c:pt>
                <c:pt idx="2">
                  <c:v>5023</c:v>
                </c:pt>
                <c:pt idx="3">
                  <c:v>5043</c:v>
                </c:pt>
                <c:pt idx="4">
                  <c:v>4971</c:v>
                </c:pt>
                <c:pt idx="5">
                  <c:v>4915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86866432"/>
        <c:axId val="263899392"/>
        <c:axId val="0"/>
      </c:bar3DChart>
      <c:dateAx>
        <c:axId val="286866432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63899392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63899392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8686643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Июнь2015!$B$50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Июнь2015!$C$49:$I$49</c:f>
              <c:numCache>
                <c:formatCode>General</c:formatCode>
                <c:ptCount val="7"/>
                <c:pt idx="2" formatCode="[$-419]mmmm\ yyyy;@">
                  <c:v>40543</c:v>
                </c:pt>
                <c:pt idx="3" formatCode="[$-419]mmmm\ yyyy;@">
                  <c:v>40908</c:v>
                </c:pt>
                <c:pt idx="4" formatCode="[$-419]mmmm\ yyyy;@">
                  <c:v>41274</c:v>
                </c:pt>
                <c:pt idx="5" formatCode="[$-419]mmmm\ yyyy;@">
                  <c:v>41639</c:v>
                </c:pt>
                <c:pt idx="6" formatCode="[$-419]mmmm\ yyyy;@">
                  <c:v>42004</c:v>
                </c:pt>
              </c:numCache>
            </c:numRef>
          </c:cat>
          <c:val>
            <c:numRef>
              <c:f>Июнь2015!$C$50:$I$50</c:f>
              <c:numCache>
                <c:formatCode>General</c:formatCode>
                <c:ptCount val="7"/>
                <c:pt idx="2" formatCode="#,##0">
                  <c:v>714295</c:v>
                </c:pt>
                <c:pt idx="3" formatCode="#,##0">
                  <c:v>772175</c:v>
                </c:pt>
                <c:pt idx="4" formatCode="#,##0">
                  <c:v>805549</c:v>
                </c:pt>
                <c:pt idx="5" formatCode="#,##0">
                  <c:v>881844</c:v>
                </c:pt>
                <c:pt idx="6" formatCode="#,##0">
                  <c:v>944559</c:v>
                </c:pt>
              </c:numCache>
            </c:numRef>
          </c:val>
        </c:ser>
        <c:ser>
          <c:idx val="1"/>
          <c:order val="1"/>
          <c:tx>
            <c:strRef>
              <c:f>Июнь2015!$B$51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Июнь2015!$C$49:$I$49</c:f>
              <c:numCache>
                <c:formatCode>General</c:formatCode>
                <c:ptCount val="7"/>
                <c:pt idx="2" formatCode="[$-419]mmmm\ yyyy;@">
                  <c:v>40543</c:v>
                </c:pt>
                <c:pt idx="3" formatCode="[$-419]mmmm\ yyyy;@">
                  <c:v>40908</c:v>
                </c:pt>
                <c:pt idx="4" formatCode="[$-419]mmmm\ yyyy;@">
                  <c:v>41274</c:v>
                </c:pt>
                <c:pt idx="5" formatCode="[$-419]mmmm\ yyyy;@">
                  <c:v>41639</c:v>
                </c:pt>
                <c:pt idx="6" formatCode="[$-419]mmmm\ yyyy;@">
                  <c:v>42004</c:v>
                </c:pt>
              </c:numCache>
            </c:numRef>
          </c:cat>
          <c:val>
            <c:numRef>
              <c:f>Июнь2015!$C$51:$I$51</c:f>
              <c:numCache>
                <c:formatCode>General</c:formatCode>
                <c:ptCount val="7"/>
                <c:pt idx="2" formatCode="#,##0">
                  <c:v>17170</c:v>
                </c:pt>
                <c:pt idx="3" formatCode="#,##0">
                  <c:v>16850</c:v>
                </c:pt>
                <c:pt idx="4" formatCode="#,##0">
                  <c:v>17821</c:v>
                </c:pt>
                <c:pt idx="5" formatCode="#,##0">
                  <c:v>19539</c:v>
                </c:pt>
                <c:pt idx="6" formatCode="#,##0">
                  <c:v>20178</c:v>
                </c:pt>
              </c:numCache>
            </c:numRef>
          </c:val>
        </c:ser>
        <c:ser>
          <c:idx val="2"/>
          <c:order val="2"/>
          <c:tx>
            <c:strRef>
              <c:f>Июнь2015!$B$52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Июнь2015!$C$49:$I$49</c:f>
              <c:numCache>
                <c:formatCode>General</c:formatCode>
                <c:ptCount val="7"/>
                <c:pt idx="2" formatCode="[$-419]mmmm\ yyyy;@">
                  <c:v>40543</c:v>
                </c:pt>
                <c:pt idx="3" formatCode="[$-419]mmmm\ yyyy;@">
                  <c:v>40908</c:v>
                </c:pt>
                <c:pt idx="4" formatCode="[$-419]mmmm\ yyyy;@">
                  <c:v>41274</c:v>
                </c:pt>
                <c:pt idx="5" formatCode="[$-419]mmmm\ yyyy;@">
                  <c:v>41639</c:v>
                </c:pt>
                <c:pt idx="6" formatCode="[$-419]mmmm\ yyyy;@">
                  <c:v>42004</c:v>
                </c:pt>
              </c:numCache>
            </c:numRef>
          </c:cat>
          <c:val>
            <c:numRef>
              <c:f>Июнь2015!$C$52:$I$52</c:f>
              <c:numCache>
                <c:formatCode>General</c:formatCode>
                <c:ptCount val="7"/>
                <c:pt idx="2" formatCode="#,##0">
                  <c:v>4295</c:v>
                </c:pt>
                <c:pt idx="3" formatCode="#,##0">
                  <c:v>5058</c:v>
                </c:pt>
                <c:pt idx="4" formatCode="#,##0">
                  <c:v>5876</c:v>
                </c:pt>
                <c:pt idx="5" formatCode="#,##0">
                  <c:v>6957</c:v>
                </c:pt>
                <c:pt idx="6" formatCode="#,##0">
                  <c:v>7486</c:v>
                </c:pt>
              </c:numCache>
            </c:numRef>
          </c:val>
        </c:ser>
        <c:ser>
          <c:idx val="3"/>
          <c:order val="3"/>
          <c:tx>
            <c:strRef>
              <c:f>Июнь2015!$B$53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Июнь2015!$C$49:$I$49</c:f>
              <c:numCache>
                <c:formatCode>General</c:formatCode>
                <c:ptCount val="7"/>
                <c:pt idx="2" formatCode="[$-419]mmmm\ yyyy;@">
                  <c:v>40543</c:v>
                </c:pt>
                <c:pt idx="3" formatCode="[$-419]mmmm\ yyyy;@">
                  <c:v>40908</c:v>
                </c:pt>
                <c:pt idx="4" formatCode="[$-419]mmmm\ yyyy;@">
                  <c:v>41274</c:v>
                </c:pt>
                <c:pt idx="5" formatCode="[$-419]mmmm\ yyyy;@">
                  <c:v>41639</c:v>
                </c:pt>
                <c:pt idx="6" formatCode="[$-419]mmmm\ yyyy;@">
                  <c:v>42004</c:v>
                </c:pt>
              </c:numCache>
            </c:numRef>
          </c:cat>
          <c:val>
            <c:numRef>
              <c:f>Июнь2015!$C$53:$I$53</c:f>
              <c:numCache>
                <c:formatCode>General</c:formatCode>
                <c:ptCount val="7"/>
                <c:pt idx="2" formatCode="#,##0">
                  <c:v>5348</c:v>
                </c:pt>
                <c:pt idx="3" formatCode="#,##0">
                  <c:v>5242</c:v>
                </c:pt>
                <c:pt idx="4" formatCode="#,##0">
                  <c:v>5261</c:v>
                </c:pt>
                <c:pt idx="5" formatCode="#,##0">
                  <c:v>5182</c:v>
                </c:pt>
                <c:pt idx="6" formatCode="#,##0">
                  <c:v>5142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69272576"/>
        <c:axId val="263901696"/>
        <c:axId val="0"/>
      </c:bar3DChart>
      <c:dateAx>
        <c:axId val="26927257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63901696"/>
        <c:crosses val="autoZero"/>
        <c:auto val="1"/>
        <c:lblOffset val="100"/>
        <c:baseTimeUnit val="years"/>
        <c:majorUnit val="1"/>
        <c:minorUnit val="1"/>
      </c:dateAx>
      <c:valAx>
        <c:axId val="263901696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6927257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Июнь2015!$B$84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Июнь2015!$C$83:$H$83</c:f>
              <c:numCache>
                <c:formatCode>[$-419]mmmm\ yyyy;@</c:formatCode>
                <c:ptCount val="6"/>
                <c:pt idx="0">
                  <c:v>42032</c:v>
                </c:pt>
                <c:pt idx="1">
                  <c:v>42063</c:v>
                </c:pt>
                <c:pt idx="2">
                  <c:v>42093</c:v>
                </c:pt>
                <c:pt idx="3">
                  <c:v>42124</c:v>
                </c:pt>
                <c:pt idx="4">
                  <c:v>42154</c:v>
                </c:pt>
                <c:pt idx="5">
                  <c:v>42185</c:v>
                </c:pt>
              </c:numCache>
            </c:numRef>
          </c:cat>
          <c:val>
            <c:numRef>
              <c:f>Июнь2015!$C$84:$H$84</c:f>
              <c:numCache>
                <c:formatCode>#,##0</c:formatCode>
                <c:ptCount val="6"/>
                <c:pt idx="0">
                  <c:v>950502</c:v>
                </c:pt>
                <c:pt idx="1">
                  <c:v>964598</c:v>
                </c:pt>
                <c:pt idx="2">
                  <c:v>965577</c:v>
                </c:pt>
                <c:pt idx="3">
                  <c:v>971876</c:v>
                </c:pt>
                <c:pt idx="4">
                  <c:v>975467</c:v>
                </c:pt>
                <c:pt idx="5">
                  <c:v>980206</c:v>
                </c:pt>
              </c:numCache>
            </c:numRef>
          </c:val>
        </c:ser>
        <c:ser>
          <c:idx val="1"/>
          <c:order val="1"/>
          <c:tx>
            <c:strRef>
              <c:f>Июнь2015!$B$85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Июнь2015!$C$83:$H$83</c:f>
              <c:numCache>
                <c:formatCode>[$-419]mmmm\ yyyy;@</c:formatCode>
                <c:ptCount val="6"/>
                <c:pt idx="0">
                  <c:v>42032</c:v>
                </c:pt>
                <c:pt idx="1">
                  <c:v>42063</c:v>
                </c:pt>
                <c:pt idx="2">
                  <c:v>42093</c:v>
                </c:pt>
                <c:pt idx="3">
                  <c:v>42124</c:v>
                </c:pt>
                <c:pt idx="4">
                  <c:v>42154</c:v>
                </c:pt>
                <c:pt idx="5">
                  <c:v>42185</c:v>
                </c:pt>
              </c:numCache>
            </c:numRef>
          </c:cat>
          <c:val>
            <c:numRef>
              <c:f>Июнь2015!$C$85:$H$85</c:f>
              <c:numCache>
                <c:formatCode>#,##0</c:formatCode>
                <c:ptCount val="6"/>
                <c:pt idx="0">
                  <c:v>20249</c:v>
                </c:pt>
                <c:pt idx="1">
                  <c:v>20398</c:v>
                </c:pt>
                <c:pt idx="2">
                  <c:v>20587</c:v>
                </c:pt>
                <c:pt idx="3">
                  <c:v>20753</c:v>
                </c:pt>
                <c:pt idx="4">
                  <c:v>20771</c:v>
                </c:pt>
                <c:pt idx="5">
                  <c:v>20872</c:v>
                </c:pt>
              </c:numCache>
            </c:numRef>
          </c:val>
        </c:ser>
        <c:ser>
          <c:idx val="2"/>
          <c:order val="2"/>
          <c:tx>
            <c:strRef>
              <c:f>Июнь2015!$B$86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Июнь2015!$C$83:$H$83</c:f>
              <c:numCache>
                <c:formatCode>[$-419]mmmm\ yyyy;@</c:formatCode>
                <c:ptCount val="6"/>
                <c:pt idx="0">
                  <c:v>42032</c:v>
                </c:pt>
                <c:pt idx="1">
                  <c:v>42063</c:v>
                </c:pt>
                <c:pt idx="2">
                  <c:v>42093</c:v>
                </c:pt>
                <c:pt idx="3">
                  <c:v>42124</c:v>
                </c:pt>
                <c:pt idx="4">
                  <c:v>42154</c:v>
                </c:pt>
                <c:pt idx="5">
                  <c:v>42185</c:v>
                </c:pt>
              </c:numCache>
            </c:numRef>
          </c:cat>
          <c:val>
            <c:numRef>
              <c:f>Июнь2015!$C$86:$H$86</c:f>
              <c:numCache>
                <c:formatCode>#,##0</c:formatCode>
                <c:ptCount val="6"/>
                <c:pt idx="0">
                  <c:v>7537</c:v>
                </c:pt>
                <c:pt idx="1">
                  <c:v>7683</c:v>
                </c:pt>
                <c:pt idx="2">
                  <c:v>8231</c:v>
                </c:pt>
                <c:pt idx="3">
                  <c:v>8355</c:v>
                </c:pt>
                <c:pt idx="4">
                  <c:v>8400</c:v>
                </c:pt>
                <c:pt idx="5">
                  <c:v>8385</c:v>
                </c:pt>
              </c:numCache>
            </c:numRef>
          </c:val>
        </c:ser>
        <c:ser>
          <c:idx val="3"/>
          <c:order val="3"/>
          <c:tx>
            <c:strRef>
              <c:f>Июнь2015!$B$87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Июнь2015!$C$83:$H$83</c:f>
              <c:numCache>
                <c:formatCode>[$-419]mmmm\ yyyy;@</c:formatCode>
                <c:ptCount val="6"/>
                <c:pt idx="0">
                  <c:v>42032</c:v>
                </c:pt>
                <c:pt idx="1">
                  <c:v>42063</c:v>
                </c:pt>
                <c:pt idx="2">
                  <c:v>42093</c:v>
                </c:pt>
                <c:pt idx="3">
                  <c:v>42124</c:v>
                </c:pt>
                <c:pt idx="4">
                  <c:v>42154</c:v>
                </c:pt>
                <c:pt idx="5">
                  <c:v>42185</c:v>
                </c:pt>
              </c:numCache>
            </c:numRef>
          </c:cat>
          <c:val>
            <c:numRef>
              <c:f>Июнь2015!$C$87:$H$87</c:f>
              <c:numCache>
                <c:formatCode>#,##0</c:formatCode>
                <c:ptCount val="6"/>
                <c:pt idx="0">
                  <c:v>5091</c:v>
                </c:pt>
                <c:pt idx="1">
                  <c:v>5023</c:v>
                </c:pt>
                <c:pt idx="2">
                  <c:v>5043</c:v>
                </c:pt>
                <c:pt idx="3">
                  <c:v>4971</c:v>
                </c:pt>
                <c:pt idx="4">
                  <c:v>4915</c:v>
                </c:pt>
                <c:pt idx="5">
                  <c:v>4856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69271040"/>
        <c:axId val="264979008"/>
        <c:axId val="0"/>
      </c:bar3DChart>
      <c:dateAx>
        <c:axId val="269271040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64979008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64979008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6927104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Июль2015!$B$50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Июль2015!$C$49:$I$49</c:f>
              <c:numCache>
                <c:formatCode>General</c:formatCode>
                <c:ptCount val="7"/>
                <c:pt idx="2" formatCode="[$-419]mmmm\ yyyy;@">
                  <c:v>40543</c:v>
                </c:pt>
                <c:pt idx="3" formatCode="[$-419]mmmm\ yyyy;@">
                  <c:v>40908</c:v>
                </c:pt>
                <c:pt idx="4" formatCode="[$-419]mmmm\ yyyy;@">
                  <c:v>41274</c:v>
                </c:pt>
                <c:pt idx="5" formatCode="[$-419]mmmm\ yyyy;@">
                  <c:v>41639</c:v>
                </c:pt>
                <c:pt idx="6" formatCode="[$-419]mmmm\ yyyy;@">
                  <c:v>42004</c:v>
                </c:pt>
              </c:numCache>
            </c:numRef>
          </c:cat>
          <c:val>
            <c:numRef>
              <c:f>Июль2015!$C$50:$I$50</c:f>
              <c:numCache>
                <c:formatCode>General</c:formatCode>
                <c:ptCount val="7"/>
                <c:pt idx="2" formatCode="#,##0">
                  <c:v>714295</c:v>
                </c:pt>
                <c:pt idx="3" formatCode="#,##0">
                  <c:v>772175</c:v>
                </c:pt>
                <c:pt idx="4" formatCode="#,##0">
                  <c:v>805549</c:v>
                </c:pt>
                <c:pt idx="5" formatCode="#,##0">
                  <c:v>881844</c:v>
                </c:pt>
                <c:pt idx="6" formatCode="#,##0">
                  <c:v>944559</c:v>
                </c:pt>
              </c:numCache>
            </c:numRef>
          </c:val>
        </c:ser>
        <c:ser>
          <c:idx val="1"/>
          <c:order val="1"/>
          <c:tx>
            <c:strRef>
              <c:f>Июль2015!$B$51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Июль2015!$C$49:$I$49</c:f>
              <c:numCache>
                <c:formatCode>General</c:formatCode>
                <c:ptCount val="7"/>
                <c:pt idx="2" formatCode="[$-419]mmmm\ yyyy;@">
                  <c:v>40543</c:v>
                </c:pt>
                <c:pt idx="3" formatCode="[$-419]mmmm\ yyyy;@">
                  <c:v>40908</c:v>
                </c:pt>
                <c:pt idx="4" formatCode="[$-419]mmmm\ yyyy;@">
                  <c:v>41274</c:v>
                </c:pt>
                <c:pt idx="5" formatCode="[$-419]mmmm\ yyyy;@">
                  <c:v>41639</c:v>
                </c:pt>
                <c:pt idx="6" formatCode="[$-419]mmmm\ yyyy;@">
                  <c:v>42004</c:v>
                </c:pt>
              </c:numCache>
            </c:numRef>
          </c:cat>
          <c:val>
            <c:numRef>
              <c:f>Июль2015!$C$51:$I$51</c:f>
              <c:numCache>
                <c:formatCode>General</c:formatCode>
                <c:ptCount val="7"/>
                <c:pt idx="2" formatCode="#,##0">
                  <c:v>17170</c:v>
                </c:pt>
                <c:pt idx="3" formatCode="#,##0">
                  <c:v>16850</c:v>
                </c:pt>
                <c:pt idx="4" formatCode="#,##0">
                  <c:v>17821</c:v>
                </c:pt>
                <c:pt idx="5" formatCode="#,##0">
                  <c:v>19539</c:v>
                </c:pt>
                <c:pt idx="6" formatCode="#,##0">
                  <c:v>20178</c:v>
                </c:pt>
              </c:numCache>
            </c:numRef>
          </c:val>
        </c:ser>
        <c:ser>
          <c:idx val="2"/>
          <c:order val="2"/>
          <c:tx>
            <c:strRef>
              <c:f>Июль2015!$B$52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Июль2015!$C$49:$I$49</c:f>
              <c:numCache>
                <c:formatCode>General</c:formatCode>
                <c:ptCount val="7"/>
                <c:pt idx="2" formatCode="[$-419]mmmm\ yyyy;@">
                  <c:v>40543</c:v>
                </c:pt>
                <c:pt idx="3" formatCode="[$-419]mmmm\ yyyy;@">
                  <c:v>40908</c:v>
                </c:pt>
                <c:pt idx="4" formatCode="[$-419]mmmm\ yyyy;@">
                  <c:v>41274</c:v>
                </c:pt>
                <c:pt idx="5" formatCode="[$-419]mmmm\ yyyy;@">
                  <c:v>41639</c:v>
                </c:pt>
                <c:pt idx="6" formatCode="[$-419]mmmm\ yyyy;@">
                  <c:v>42004</c:v>
                </c:pt>
              </c:numCache>
            </c:numRef>
          </c:cat>
          <c:val>
            <c:numRef>
              <c:f>Июль2015!$C$52:$I$52</c:f>
              <c:numCache>
                <c:formatCode>General</c:formatCode>
                <c:ptCount val="7"/>
                <c:pt idx="2" formatCode="#,##0">
                  <c:v>4295</c:v>
                </c:pt>
                <c:pt idx="3" formatCode="#,##0">
                  <c:v>5058</c:v>
                </c:pt>
                <c:pt idx="4" formatCode="#,##0">
                  <c:v>5876</c:v>
                </c:pt>
                <c:pt idx="5" formatCode="#,##0">
                  <c:v>6957</c:v>
                </c:pt>
                <c:pt idx="6" formatCode="#,##0">
                  <c:v>7486</c:v>
                </c:pt>
              </c:numCache>
            </c:numRef>
          </c:val>
        </c:ser>
        <c:ser>
          <c:idx val="3"/>
          <c:order val="3"/>
          <c:tx>
            <c:strRef>
              <c:f>Июль2015!$B$53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Июль2015!$C$49:$I$49</c:f>
              <c:numCache>
                <c:formatCode>General</c:formatCode>
                <c:ptCount val="7"/>
                <c:pt idx="2" formatCode="[$-419]mmmm\ yyyy;@">
                  <c:v>40543</c:v>
                </c:pt>
                <c:pt idx="3" formatCode="[$-419]mmmm\ yyyy;@">
                  <c:v>40908</c:v>
                </c:pt>
                <c:pt idx="4" formatCode="[$-419]mmmm\ yyyy;@">
                  <c:v>41274</c:v>
                </c:pt>
                <c:pt idx="5" formatCode="[$-419]mmmm\ yyyy;@">
                  <c:v>41639</c:v>
                </c:pt>
                <c:pt idx="6" formatCode="[$-419]mmmm\ yyyy;@">
                  <c:v>42004</c:v>
                </c:pt>
              </c:numCache>
            </c:numRef>
          </c:cat>
          <c:val>
            <c:numRef>
              <c:f>Июль2015!$C$53:$I$53</c:f>
              <c:numCache>
                <c:formatCode>General</c:formatCode>
                <c:ptCount val="7"/>
                <c:pt idx="2" formatCode="#,##0">
                  <c:v>5348</c:v>
                </c:pt>
                <c:pt idx="3" formatCode="#,##0">
                  <c:v>5242</c:v>
                </c:pt>
                <c:pt idx="4" formatCode="#,##0">
                  <c:v>5261</c:v>
                </c:pt>
                <c:pt idx="5" formatCode="#,##0">
                  <c:v>5182</c:v>
                </c:pt>
                <c:pt idx="6" formatCode="#,##0">
                  <c:v>5142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69645312"/>
        <c:axId val="264981888"/>
        <c:axId val="0"/>
      </c:bar3DChart>
      <c:dateAx>
        <c:axId val="26964531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64981888"/>
        <c:crosses val="autoZero"/>
        <c:auto val="1"/>
        <c:lblOffset val="100"/>
        <c:baseTimeUnit val="years"/>
        <c:majorUnit val="1"/>
        <c:minorUnit val="1"/>
      </c:dateAx>
      <c:valAx>
        <c:axId val="264981888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6964531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Июль2015!$B$84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Июль2015!$C$83:$H$83</c:f>
              <c:numCache>
                <c:formatCode>[$-419]mmmm\ yyyy;@</c:formatCode>
                <c:ptCount val="6"/>
                <c:pt idx="0">
                  <c:v>42063</c:v>
                </c:pt>
                <c:pt idx="1">
                  <c:v>42093</c:v>
                </c:pt>
                <c:pt idx="2">
                  <c:v>42124</c:v>
                </c:pt>
                <c:pt idx="3">
                  <c:v>42154</c:v>
                </c:pt>
                <c:pt idx="4">
                  <c:v>42185</c:v>
                </c:pt>
                <c:pt idx="5">
                  <c:v>42215</c:v>
                </c:pt>
              </c:numCache>
            </c:numRef>
          </c:cat>
          <c:val>
            <c:numRef>
              <c:f>Июль2015!$C$84:$H$84</c:f>
              <c:numCache>
                <c:formatCode>#,##0</c:formatCode>
                <c:ptCount val="6"/>
                <c:pt idx="0">
                  <c:v>964598</c:v>
                </c:pt>
                <c:pt idx="1">
                  <c:v>965577</c:v>
                </c:pt>
                <c:pt idx="2">
                  <c:v>971876</c:v>
                </c:pt>
                <c:pt idx="3">
                  <c:v>975467</c:v>
                </c:pt>
                <c:pt idx="4">
                  <c:v>980206</c:v>
                </c:pt>
                <c:pt idx="5">
                  <c:v>984614</c:v>
                </c:pt>
              </c:numCache>
            </c:numRef>
          </c:val>
        </c:ser>
        <c:ser>
          <c:idx val="1"/>
          <c:order val="1"/>
          <c:tx>
            <c:strRef>
              <c:f>Июль2015!$B$85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Июль2015!$C$83:$H$83</c:f>
              <c:numCache>
                <c:formatCode>[$-419]mmmm\ yyyy;@</c:formatCode>
                <c:ptCount val="6"/>
                <c:pt idx="0">
                  <c:v>42063</c:v>
                </c:pt>
                <c:pt idx="1">
                  <c:v>42093</c:v>
                </c:pt>
                <c:pt idx="2">
                  <c:v>42124</c:v>
                </c:pt>
                <c:pt idx="3">
                  <c:v>42154</c:v>
                </c:pt>
                <c:pt idx="4">
                  <c:v>42185</c:v>
                </c:pt>
                <c:pt idx="5">
                  <c:v>42215</c:v>
                </c:pt>
              </c:numCache>
            </c:numRef>
          </c:cat>
          <c:val>
            <c:numRef>
              <c:f>Июль2015!$C$85:$H$85</c:f>
              <c:numCache>
                <c:formatCode>#,##0</c:formatCode>
                <c:ptCount val="6"/>
                <c:pt idx="0">
                  <c:v>20398</c:v>
                </c:pt>
                <c:pt idx="1">
                  <c:v>20587</c:v>
                </c:pt>
                <c:pt idx="2">
                  <c:v>20753</c:v>
                </c:pt>
                <c:pt idx="3">
                  <c:v>20771</c:v>
                </c:pt>
                <c:pt idx="4">
                  <c:v>20872</c:v>
                </c:pt>
                <c:pt idx="5">
                  <c:v>20904</c:v>
                </c:pt>
              </c:numCache>
            </c:numRef>
          </c:val>
        </c:ser>
        <c:ser>
          <c:idx val="2"/>
          <c:order val="2"/>
          <c:tx>
            <c:strRef>
              <c:f>Июль2015!$B$86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Июль2015!$C$83:$H$83</c:f>
              <c:numCache>
                <c:formatCode>[$-419]mmmm\ yyyy;@</c:formatCode>
                <c:ptCount val="6"/>
                <c:pt idx="0">
                  <c:v>42063</c:v>
                </c:pt>
                <c:pt idx="1">
                  <c:v>42093</c:v>
                </c:pt>
                <c:pt idx="2">
                  <c:v>42124</c:v>
                </c:pt>
                <c:pt idx="3">
                  <c:v>42154</c:v>
                </c:pt>
                <c:pt idx="4">
                  <c:v>42185</c:v>
                </c:pt>
                <c:pt idx="5">
                  <c:v>42215</c:v>
                </c:pt>
              </c:numCache>
            </c:numRef>
          </c:cat>
          <c:val>
            <c:numRef>
              <c:f>Июль2015!$C$86:$H$86</c:f>
              <c:numCache>
                <c:formatCode>#,##0</c:formatCode>
                <c:ptCount val="6"/>
                <c:pt idx="0">
                  <c:v>7683</c:v>
                </c:pt>
                <c:pt idx="1">
                  <c:v>8231</c:v>
                </c:pt>
                <c:pt idx="2">
                  <c:v>8355</c:v>
                </c:pt>
                <c:pt idx="3">
                  <c:v>8400</c:v>
                </c:pt>
                <c:pt idx="4">
                  <c:v>8385</c:v>
                </c:pt>
                <c:pt idx="5">
                  <c:v>8823</c:v>
                </c:pt>
              </c:numCache>
            </c:numRef>
          </c:val>
        </c:ser>
        <c:ser>
          <c:idx val="3"/>
          <c:order val="3"/>
          <c:tx>
            <c:strRef>
              <c:f>Июль2015!$B$87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Июль2015!$C$83:$H$83</c:f>
              <c:numCache>
                <c:formatCode>[$-419]mmmm\ yyyy;@</c:formatCode>
                <c:ptCount val="6"/>
                <c:pt idx="0">
                  <c:v>42063</c:v>
                </c:pt>
                <c:pt idx="1">
                  <c:v>42093</c:v>
                </c:pt>
                <c:pt idx="2">
                  <c:v>42124</c:v>
                </c:pt>
                <c:pt idx="3">
                  <c:v>42154</c:v>
                </c:pt>
                <c:pt idx="4">
                  <c:v>42185</c:v>
                </c:pt>
                <c:pt idx="5">
                  <c:v>42215</c:v>
                </c:pt>
              </c:numCache>
            </c:numRef>
          </c:cat>
          <c:val>
            <c:numRef>
              <c:f>Июль2015!$C$87:$H$87</c:f>
              <c:numCache>
                <c:formatCode>#,##0</c:formatCode>
                <c:ptCount val="6"/>
                <c:pt idx="0">
                  <c:v>5023</c:v>
                </c:pt>
                <c:pt idx="1">
                  <c:v>5043</c:v>
                </c:pt>
                <c:pt idx="2">
                  <c:v>4971</c:v>
                </c:pt>
                <c:pt idx="3">
                  <c:v>4915</c:v>
                </c:pt>
                <c:pt idx="4">
                  <c:v>4856</c:v>
                </c:pt>
                <c:pt idx="5">
                  <c:v>4715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69644288"/>
        <c:axId val="264985920"/>
        <c:axId val="0"/>
      </c:bar3DChart>
      <c:dateAx>
        <c:axId val="269644288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64985920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64985920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696442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Август2015!$B$50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Август2015!$C$49:$I$49</c:f>
              <c:numCache>
                <c:formatCode>General</c:formatCode>
                <c:ptCount val="7"/>
                <c:pt idx="2" formatCode="[$-419]mmmm\ yyyy;@">
                  <c:v>40543</c:v>
                </c:pt>
                <c:pt idx="3" formatCode="[$-419]mmmm\ yyyy;@">
                  <c:v>40908</c:v>
                </c:pt>
                <c:pt idx="4" formatCode="[$-419]mmmm\ yyyy;@">
                  <c:v>41274</c:v>
                </c:pt>
                <c:pt idx="5" formatCode="[$-419]mmmm\ yyyy;@">
                  <c:v>41639</c:v>
                </c:pt>
                <c:pt idx="6" formatCode="[$-419]mmmm\ yyyy;@">
                  <c:v>42004</c:v>
                </c:pt>
              </c:numCache>
            </c:numRef>
          </c:cat>
          <c:val>
            <c:numRef>
              <c:f>Август2015!$C$50:$I$50</c:f>
              <c:numCache>
                <c:formatCode>General</c:formatCode>
                <c:ptCount val="7"/>
                <c:pt idx="2" formatCode="#,##0">
                  <c:v>714295</c:v>
                </c:pt>
                <c:pt idx="3" formatCode="#,##0">
                  <c:v>772175</c:v>
                </c:pt>
                <c:pt idx="4" formatCode="#,##0">
                  <c:v>805549</c:v>
                </c:pt>
                <c:pt idx="5" formatCode="#,##0">
                  <c:v>881844</c:v>
                </c:pt>
                <c:pt idx="6" formatCode="#,##0">
                  <c:v>944559</c:v>
                </c:pt>
              </c:numCache>
            </c:numRef>
          </c:val>
        </c:ser>
        <c:ser>
          <c:idx val="1"/>
          <c:order val="1"/>
          <c:tx>
            <c:strRef>
              <c:f>Август2015!$B$51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Август2015!$C$49:$I$49</c:f>
              <c:numCache>
                <c:formatCode>General</c:formatCode>
                <c:ptCount val="7"/>
                <c:pt idx="2" formatCode="[$-419]mmmm\ yyyy;@">
                  <c:v>40543</c:v>
                </c:pt>
                <c:pt idx="3" formatCode="[$-419]mmmm\ yyyy;@">
                  <c:v>40908</c:v>
                </c:pt>
                <c:pt idx="4" formatCode="[$-419]mmmm\ yyyy;@">
                  <c:v>41274</c:v>
                </c:pt>
                <c:pt idx="5" formatCode="[$-419]mmmm\ yyyy;@">
                  <c:v>41639</c:v>
                </c:pt>
                <c:pt idx="6" formatCode="[$-419]mmmm\ yyyy;@">
                  <c:v>42004</c:v>
                </c:pt>
              </c:numCache>
            </c:numRef>
          </c:cat>
          <c:val>
            <c:numRef>
              <c:f>Август2015!$C$51:$I$51</c:f>
              <c:numCache>
                <c:formatCode>General</c:formatCode>
                <c:ptCount val="7"/>
                <c:pt idx="2" formatCode="#,##0">
                  <c:v>17170</c:v>
                </c:pt>
                <c:pt idx="3" formatCode="#,##0">
                  <c:v>16850</c:v>
                </c:pt>
                <c:pt idx="4" formatCode="#,##0">
                  <c:v>17821</c:v>
                </c:pt>
                <c:pt idx="5" formatCode="#,##0">
                  <c:v>19539</c:v>
                </c:pt>
                <c:pt idx="6" formatCode="#,##0">
                  <c:v>20178</c:v>
                </c:pt>
              </c:numCache>
            </c:numRef>
          </c:val>
        </c:ser>
        <c:ser>
          <c:idx val="2"/>
          <c:order val="2"/>
          <c:tx>
            <c:strRef>
              <c:f>Август2015!$B$52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Август2015!$C$49:$I$49</c:f>
              <c:numCache>
                <c:formatCode>General</c:formatCode>
                <c:ptCount val="7"/>
                <c:pt idx="2" formatCode="[$-419]mmmm\ yyyy;@">
                  <c:v>40543</c:v>
                </c:pt>
                <c:pt idx="3" formatCode="[$-419]mmmm\ yyyy;@">
                  <c:v>40908</c:v>
                </c:pt>
                <c:pt idx="4" formatCode="[$-419]mmmm\ yyyy;@">
                  <c:v>41274</c:v>
                </c:pt>
                <c:pt idx="5" formatCode="[$-419]mmmm\ yyyy;@">
                  <c:v>41639</c:v>
                </c:pt>
                <c:pt idx="6" formatCode="[$-419]mmmm\ yyyy;@">
                  <c:v>42004</c:v>
                </c:pt>
              </c:numCache>
            </c:numRef>
          </c:cat>
          <c:val>
            <c:numRef>
              <c:f>Август2015!$C$52:$I$52</c:f>
              <c:numCache>
                <c:formatCode>General</c:formatCode>
                <c:ptCount val="7"/>
                <c:pt idx="2" formatCode="#,##0">
                  <c:v>4295</c:v>
                </c:pt>
                <c:pt idx="3" formatCode="#,##0">
                  <c:v>5058</c:v>
                </c:pt>
                <c:pt idx="4" formatCode="#,##0">
                  <c:v>5876</c:v>
                </c:pt>
                <c:pt idx="5" formatCode="#,##0">
                  <c:v>6957</c:v>
                </c:pt>
                <c:pt idx="6" formatCode="#,##0">
                  <c:v>7486</c:v>
                </c:pt>
              </c:numCache>
            </c:numRef>
          </c:val>
        </c:ser>
        <c:ser>
          <c:idx val="3"/>
          <c:order val="3"/>
          <c:tx>
            <c:strRef>
              <c:f>Август2015!$B$53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Август2015!$C$49:$I$49</c:f>
              <c:numCache>
                <c:formatCode>General</c:formatCode>
                <c:ptCount val="7"/>
                <c:pt idx="2" formatCode="[$-419]mmmm\ yyyy;@">
                  <c:v>40543</c:v>
                </c:pt>
                <c:pt idx="3" formatCode="[$-419]mmmm\ yyyy;@">
                  <c:v>40908</c:v>
                </c:pt>
                <c:pt idx="4" formatCode="[$-419]mmmm\ yyyy;@">
                  <c:v>41274</c:v>
                </c:pt>
                <c:pt idx="5" formatCode="[$-419]mmmm\ yyyy;@">
                  <c:v>41639</c:v>
                </c:pt>
                <c:pt idx="6" formatCode="[$-419]mmmm\ yyyy;@">
                  <c:v>42004</c:v>
                </c:pt>
              </c:numCache>
            </c:numRef>
          </c:cat>
          <c:val>
            <c:numRef>
              <c:f>Август2015!$C$53:$I$53</c:f>
              <c:numCache>
                <c:formatCode>General</c:formatCode>
                <c:ptCount val="7"/>
                <c:pt idx="2" formatCode="#,##0">
                  <c:v>5348</c:v>
                </c:pt>
                <c:pt idx="3" formatCode="#,##0">
                  <c:v>5242</c:v>
                </c:pt>
                <c:pt idx="4" formatCode="#,##0">
                  <c:v>5261</c:v>
                </c:pt>
                <c:pt idx="5" formatCode="#,##0">
                  <c:v>5182</c:v>
                </c:pt>
                <c:pt idx="6" formatCode="#,##0">
                  <c:v>5142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72044032"/>
        <c:axId val="276375808"/>
        <c:axId val="0"/>
      </c:bar3DChart>
      <c:dateAx>
        <c:axId val="27204403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76375808"/>
        <c:crosses val="autoZero"/>
        <c:auto val="1"/>
        <c:lblOffset val="100"/>
        <c:baseTimeUnit val="years"/>
        <c:majorUnit val="1"/>
        <c:minorUnit val="1"/>
      </c:dateAx>
      <c:valAx>
        <c:axId val="276375808"/>
        <c:scaling>
          <c:orientation val="minMax"/>
          <c:max val="11000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7204403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Август2015!$B$84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Август2015!$C$83:$H$83</c:f>
              <c:numCache>
                <c:formatCode>[$-419]mmmm\ yyyy;@</c:formatCode>
                <c:ptCount val="6"/>
                <c:pt idx="0">
                  <c:v>42093</c:v>
                </c:pt>
                <c:pt idx="1">
                  <c:v>42124</c:v>
                </c:pt>
                <c:pt idx="2">
                  <c:v>42154</c:v>
                </c:pt>
                <c:pt idx="3">
                  <c:v>42185</c:v>
                </c:pt>
                <c:pt idx="4">
                  <c:v>42216</c:v>
                </c:pt>
                <c:pt idx="5">
                  <c:v>42247</c:v>
                </c:pt>
              </c:numCache>
            </c:numRef>
          </c:cat>
          <c:val>
            <c:numRef>
              <c:f>Август2015!$C$84:$H$84</c:f>
              <c:numCache>
                <c:formatCode>#,##0</c:formatCode>
                <c:ptCount val="6"/>
                <c:pt idx="0">
                  <c:v>965577</c:v>
                </c:pt>
                <c:pt idx="1">
                  <c:v>971876</c:v>
                </c:pt>
                <c:pt idx="2">
                  <c:v>975467</c:v>
                </c:pt>
                <c:pt idx="3">
                  <c:v>980206</c:v>
                </c:pt>
                <c:pt idx="4">
                  <c:v>984614</c:v>
                </c:pt>
                <c:pt idx="5">
                  <c:v>991257</c:v>
                </c:pt>
              </c:numCache>
            </c:numRef>
          </c:val>
        </c:ser>
        <c:ser>
          <c:idx val="1"/>
          <c:order val="1"/>
          <c:tx>
            <c:strRef>
              <c:f>Август2015!$B$85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Август2015!$C$83:$H$83</c:f>
              <c:numCache>
                <c:formatCode>[$-419]mmmm\ yyyy;@</c:formatCode>
                <c:ptCount val="6"/>
                <c:pt idx="0">
                  <c:v>42093</c:v>
                </c:pt>
                <c:pt idx="1">
                  <c:v>42124</c:v>
                </c:pt>
                <c:pt idx="2">
                  <c:v>42154</c:v>
                </c:pt>
                <c:pt idx="3">
                  <c:v>42185</c:v>
                </c:pt>
                <c:pt idx="4">
                  <c:v>42216</c:v>
                </c:pt>
                <c:pt idx="5">
                  <c:v>42247</c:v>
                </c:pt>
              </c:numCache>
            </c:numRef>
          </c:cat>
          <c:val>
            <c:numRef>
              <c:f>Август2015!$C$85:$H$85</c:f>
              <c:numCache>
                <c:formatCode>#,##0</c:formatCode>
                <c:ptCount val="6"/>
                <c:pt idx="0">
                  <c:v>20587</c:v>
                </c:pt>
                <c:pt idx="1">
                  <c:v>20753</c:v>
                </c:pt>
                <c:pt idx="2">
                  <c:v>20771</c:v>
                </c:pt>
                <c:pt idx="3">
                  <c:v>20872</c:v>
                </c:pt>
                <c:pt idx="4">
                  <c:v>20904</c:v>
                </c:pt>
                <c:pt idx="5">
                  <c:v>20981</c:v>
                </c:pt>
              </c:numCache>
            </c:numRef>
          </c:val>
        </c:ser>
        <c:ser>
          <c:idx val="2"/>
          <c:order val="2"/>
          <c:tx>
            <c:strRef>
              <c:f>Август2015!$B$86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Август2015!$C$83:$H$83</c:f>
              <c:numCache>
                <c:formatCode>[$-419]mmmm\ yyyy;@</c:formatCode>
                <c:ptCount val="6"/>
                <c:pt idx="0">
                  <c:v>42093</c:v>
                </c:pt>
                <c:pt idx="1">
                  <c:v>42124</c:v>
                </c:pt>
                <c:pt idx="2">
                  <c:v>42154</c:v>
                </c:pt>
                <c:pt idx="3">
                  <c:v>42185</c:v>
                </c:pt>
                <c:pt idx="4">
                  <c:v>42216</c:v>
                </c:pt>
                <c:pt idx="5">
                  <c:v>42247</c:v>
                </c:pt>
              </c:numCache>
            </c:numRef>
          </c:cat>
          <c:val>
            <c:numRef>
              <c:f>Август2015!$C$86:$H$86</c:f>
              <c:numCache>
                <c:formatCode>#,##0</c:formatCode>
                <c:ptCount val="6"/>
                <c:pt idx="0">
                  <c:v>8231</c:v>
                </c:pt>
                <c:pt idx="1">
                  <c:v>8355</c:v>
                </c:pt>
                <c:pt idx="2">
                  <c:v>8400</c:v>
                </c:pt>
                <c:pt idx="3">
                  <c:v>8385</c:v>
                </c:pt>
                <c:pt idx="4">
                  <c:v>8823</c:v>
                </c:pt>
                <c:pt idx="5">
                  <c:v>8602</c:v>
                </c:pt>
              </c:numCache>
            </c:numRef>
          </c:val>
        </c:ser>
        <c:ser>
          <c:idx val="3"/>
          <c:order val="3"/>
          <c:tx>
            <c:strRef>
              <c:f>Август2015!$B$87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Август2015!$C$83:$H$83</c:f>
              <c:numCache>
                <c:formatCode>[$-419]mmmm\ yyyy;@</c:formatCode>
                <c:ptCount val="6"/>
                <c:pt idx="0">
                  <c:v>42093</c:v>
                </c:pt>
                <c:pt idx="1">
                  <c:v>42124</c:v>
                </c:pt>
                <c:pt idx="2">
                  <c:v>42154</c:v>
                </c:pt>
                <c:pt idx="3">
                  <c:v>42185</c:v>
                </c:pt>
                <c:pt idx="4">
                  <c:v>42216</c:v>
                </c:pt>
                <c:pt idx="5">
                  <c:v>42247</c:v>
                </c:pt>
              </c:numCache>
            </c:numRef>
          </c:cat>
          <c:val>
            <c:numRef>
              <c:f>Август2015!$C$87:$H$87</c:f>
              <c:numCache>
                <c:formatCode>#,##0</c:formatCode>
                <c:ptCount val="6"/>
                <c:pt idx="0">
                  <c:v>5043</c:v>
                </c:pt>
                <c:pt idx="1">
                  <c:v>4971</c:v>
                </c:pt>
                <c:pt idx="2">
                  <c:v>4915</c:v>
                </c:pt>
                <c:pt idx="3">
                  <c:v>4856</c:v>
                </c:pt>
                <c:pt idx="4">
                  <c:v>4715</c:v>
                </c:pt>
                <c:pt idx="5">
                  <c:v>4694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72047616"/>
        <c:axId val="276378112"/>
        <c:axId val="0"/>
      </c:bar3DChart>
      <c:dateAx>
        <c:axId val="272047616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76378112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76378112"/>
        <c:scaling>
          <c:orientation val="minMax"/>
          <c:max val="1100000"/>
          <c:min val="0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7204761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Сентябрь2015!$B$50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Сентябрь2015!$C$49:$I$49</c:f>
              <c:numCache>
                <c:formatCode>General</c:formatCode>
                <c:ptCount val="7"/>
                <c:pt idx="2" formatCode="[$-419]mmmm\ yyyy;@">
                  <c:v>40543</c:v>
                </c:pt>
                <c:pt idx="3" formatCode="[$-419]mmmm\ yyyy;@">
                  <c:v>40908</c:v>
                </c:pt>
                <c:pt idx="4" formatCode="[$-419]mmmm\ yyyy;@">
                  <c:v>41274</c:v>
                </c:pt>
                <c:pt idx="5" formatCode="[$-419]mmmm\ yyyy;@">
                  <c:v>41639</c:v>
                </c:pt>
                <c:pt idx="6" formatCode="[$-419]mmmm\ yyyy;@">
                  <c:v>42004</c:v>
                </c:pt>
              </c:numCache>
            </c:numRef>
          </c:cat>
          <c:val>
            <c:numRef>
              <c:f>Сентябрь2015!$C$50:$I$50</c:f>
              <c:numCache>
                <c:formatCode>General</c:formatCode>
                <c:ptCount val="7"/>
                <c:pt idx="2" formatCode="#,##0">
                  <c:v>714295</c:v>
                </c:pt>
                <c:pt idx="3" formatCode="#,##0">
                  <c:v>772175</c:v>
                </c:pt>
                <c:pt idx="4" formatCode="#,##0">
                  <c:v>805549</c:v>
                </c:pt>
                <c:pt idx="5" formatCode="#,##0">
                  <c:v>881844</c:v>
                </c:pt>
                <c:pt idx="6" formatCode="#,##0">
                  <c:v>944559</c:v>
                </c:pt>
              </c:numCache>
            </c:numRef>
          </c:val>
        </c:ser>
        <c:ser>
          <c:idx val="1"/>
          <c:order val="1"/>
          <c:tx>
            <c:strRef>
              <c:f>Сентябрь2015!$B$51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Сентябрь2015!$C$49:$I$49</c:f>
              <c:numCache>
                <c:formatCode>General</c:formatCode>
                <c:ptCount val="7"/>
                <c:pt idx="2" formatCode="[$-419]mmmm\ yyyy;@">
                  <c:v>40543</c:v>
                </c:pt>
                <c:pt idx="3" formatCode="[$-419]mmmm\ yyyy;@">
                  <c:v>40908</c:v>
                </c:pt>
                <c:pt idx="4" formatCode="[$-419]mmmm\ yyyy;@">
                  <c:v>41274</c:v>
                </c:pt>
                <c:pt idx="5" formatCode="[$-419]mmmm\ yyyy;@">
                  <c:v>41639</c:v>
                </c:pt>
                <c:pt idx="6" formatCode="[$-419]mmmm\ yyyy;@">
                  <c:v>42004</c:v>
                </c:pt>
              </c:numCache>
            </c:numRef>
          </c:cat>
          <c:val>
            <c:numRef>
              <c:f>Сентябрь2015!$C$51:$I$51</c:f>
              <c:numCache>
                <c:formatCode>General</c:formatCode>
                <c:ptCount val="7"/>
                <c:pt idx="2" formatCode="#,##0">
                  <c:v>17170</c:v>
                </c:pt>
                <c:pt idx="3" formatCode="#,##0">
                  <c:v>16850</c:v>
                </c:pt>
                <c:pt idx="4" formatCode="#,##0">
                  <c:v>17821</c:v>
                </c:pt>
                <c:pt idx="5" formatCode="#,##0">
                  <c:v>19539</c:v>
                </c:pt>
                <c:pt idx="6" formatCode="#,##0">
                  <c:v>20178</c:v>
                </c:pt>
              </c:numCache>
            </c:numRef>
          </c:val>
        </c:ser>
        <c:ser>
          <c:idx val="2"/>
          <c:order val="2"/>
          <c:tx>
            <c:strRef>
              <c:f>Сентябрь2015!$B$52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Сентябрь2015!$C$49:$I$49</c:f>
              <c:numCache>
                <c:formatCode>General</c:formatCode>
                <c:ptCount val="7"/>
                <c:pt idx="2" formatCode="[$-419]mmmm\ yyyy;@">
                  <c:v>40543</c:v>
                </c:pt>
                <c:pt idx="3" formatCode="[$-419]mmmm\ yyyy;@">
                  <c:v>40908</c:v>
                </c:pt>
                <c:pt idx="4" formatCode="[$-419]mmmm\ yyyy;@">
                  <c:v>41274</c:v>
                </c:pt>
                <c:pt idx="5" formatCode="[$-419]mmmm\ yyyy;@">
                  <c:v>41639</c:v>
                </c:pt>
                <c:pt idx="6" formatCode="[$-419]mmmm\ yyyy;@">
                  <c:v>42004</c:v>
                </c:pt>
              </c:numCache>
            </c:numRef>
          </c:cat>
          <c:val>
            <c:numRef>
              <c:f>Сентябрь2015!$C$52:$I$52</c:f>
              <c:numCache>
                <c:formatCode>General</c:formatCode>
                <c:ptCount val="7"/>
                <c:pt idx="2" formatCode="#,##0">
                  <c:v>4295</c:v>
                </c:pt>
                <c:pt idx="3" formatCode="#,##0">
                  <c:v>5058</c:v>
                </c:pt>
                <c:pt idx="4" formatCode="#,##0">
                  <c:v>5876</c:v>
                </c:pt>
                <c:pt idx="5" formatCode="#,##0">
                  <c:v>6957</c:v>
                </c:pt>
                <c:pt idx="6" formatCode="#,##0">
                  <c:v>7486</c:v>
                </c:pt>
              </c:numCache>
            </c:numRef>
          </c:val>
        </c:ser>
        <c:ser>
          <c:idx val="3"/>
          <c:order val="3"/>
          <c:tx>
            <c:strRef>
              <c:f>Сентябрь2015!$B$53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Сентябрь2015!$C$49:$I$49</c:f>
              <c:numCache>
                <c:formatCode>General</c:formatCode>
                <c:ptCount val="7"/>
                <c:pt idx="2" formatCode="[$-419]mmmm\ yyyy;@">
                  <c:v>40543</c:v>
                </c:pt>
                <c:pt idx="3" formatCode="[$-419]mmmm\ yyyy;@">
                  <c:v>40908</c:v>
                </c:pt>
                <c:pt idx="4" formatCode="[$-419]mmmm\ yyyy;@">
                  <c:v>41274</c:v>
                </c:pt>
                <c:pt idx="5" formatCode="[$-419]mmmm\ yyyy;@">
                  <c:v>41639</c:v>
                </c:pt>
                <c:pt idx="6" formatCode="[$-419]mmmm\ yyyy;@">
                  <c:v>42004</c:v>
                </c:pt>
              </c:numCache>
            </c:numRef>
          </c:cat>
          <c:val>
            <c:numRef>
              <c:f>Сентябрь2015!$C$53:$I$53</c:f>
              <c:numCache>
                <c:formatCode>General</c:formatCode>
                <c:ptCount val="7"/>
                <c:pt idx="2" formatCode="#,##0">
                  <c:v>5348</c:v>
                </c:pt>
                <c:pt idx="3" formatCode="#,##0">
                  <c:v>5242</c:v>
                </c:pt>
                <c:pt idx="4" formatCode="#,##0">
                  <c:v>5261</c:v>
                </c:pt>
                <c:pt idx="5" formatCode="#,##0">
                  <c:v>5182</c:v>
                </c:pt>
                <c:pt idx="6" formatCode="#,##0">
                  <c:v>5142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76488704"/>
        <c:axId val="276389888"/>
        <c:axId val="0"/>
      </c:bar3DChart>
      <c:dateAx>
        <c:axId val="27648870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76389888"/>
        <c:crosses val="autoZero"/>
        <c:auto val="1"/>
        <c:lblOffset val="100"/>
        <c:baseTimeUnit val="years"/>
        <c:majorUnit val="1"/>
        <c:minorUnit val="1"/>
      </c:dateAx>
      <c:valAx>
        <c:axId val="276389888"/>
        <c:scaling>
          <c:orientation val="minMax"/>
          <c:max val="11000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764887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Сентябрь2015!$B$84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Сентябрь2015!$C$83:$H$83</c:f>
              <c:numCache>
                <c:formatCode>[$-419]mmmm\ yyyy;@</c:formatCode>
                <c:ptCount val="6"/>
                <c:pt idx="0">
                  <c:v>42124</c:v>
                </c:pt>
                <c:pt idx="1">
                  <c:v>42154</c:v>
                </c:pt>
                <c:pt idx="2">
                  <c:v>42185</c:v>
                </c:pt>
                <c:pt idx="3">
                  <c:v>42215</c:v>
                </c:pt>
                <c:pt idx="4">
                  <c:v>42246</c:v>
                </c:pt>
                <c:pt idx="5">
                  <c:v>42277</c:v>
                </c:pt>
              </c:numCache>
            </c:numRef>
          </c:cat>
          <c:val>
            <c:numRef>
              <c:f>Сентябрь2015!$C$84:$H$84</c:f>
              <c:numCache>
                <c:formatCode>#,##0</c:formatCode>
                <c:ptCount val="6"/>
                <c:pt idx="0">
                  <c:v>971876</c:v>
                </c:pt>
                <c:pt idx="1">
                  <c:v>975467</c:v>
                </c:pt>
                <c:pt idx="2">
                  <c:v>980206</c:v>
                </c:pt>
                <c:pt idx="3">
                  <c:v>984614</c:v>
                </c:pt>
                <c:pt idx="4">
                  <c:v>991257</c:v>
                </c:pt>
                <c:pt idx="5">
                  <c:v>993268</c:v>
                </c:pt>
              </c:numCache>
            </c:numRef>
          </c:val>
        </c:ser>
        <c:ser>
          <c:idx val="1"/>
          <c:order val="1"/>
          <c:tx>
            <c:strRef>
              <c:f>Сентябрь2015!$B$85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Сентябрь2015!$C$83:$H$83</c:f>
              <c:numCache>
                <c:formatCode>[$-419]mmmm\ yyyy;@</c:formatCode>
                <c:ptCount val="6"/>
                <c:pt idx="0">
                  <c:v>42124</c:v>
                </c:pt>
                <c:pt idx="1">
                  <c:v>42154</c:v>
                </c:pt>
                <c:pt idx="2">
                  <c:v>42185</c:v>
                </c:pt>
                <c:pt idx="3">
                  <c:v>42215</c:v>
                </c:pt>
                <c:pt idx="4">
                  <c:v>42246</c:v>
                </c:pt>
                <c:pt idx="5">
                  <c:v>42277</c:v>
                </c:pt>
              </c:numCache>
            </c:numRef>
          </c:cat>
          <c:val>
            <c:numRef>
              <c:f>Сентябрь2015!$C$85:$H$85</c:f>
              <c:numCache>
                <c:formatCode>#,##0</c:formatCode>
                <c:ptCount val="6"/>
                <c:pt idx="0">
                  <c:v>20753</c:v>
                </c:pt>
                <c:pt idx="1">
                  <c:v>20771</c:v>
                </c:pt>
                <c:pt idx="2">
                  <c:v>20872</c:v>
                </c:pt>
                <c:pt idx="3">
                  <c:v>20904</c:v>
                </c:pt>
                <c:pt idx="4">
                  <c:v>20981</c:v>
                </c:pt>
                <c:pt idx="5">
                  <c:v>21072</c:v>
                </c:pt>
              </c:numCache>
            </c:numRef>
          </c:val>
        </c:ser>
        <c:ser>
          <c:idx val="2"/>
          <c:order val="2"/>
          <c:tx>
            <c:strRef>
              <c:f>Сентябрь2015!$B$86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Сентябрь2015!$C$83:$H$83</c:f>
              <c:numCache>
                <c:formatCode>[$-419]mmmm\ yyyy;@</c:formatCode>
                <c:ptCount val="6"/>
                <c:pt idx="0">
                  <c:v>42124</c:v>
                </c:pt>
                <c:pt idx="1">
                  <c:v>42154</c:v>
                </c:pt>
                <c:pt idx="2">
                  <c:v>42185</c:v>
                </c:pt>
                <c:pt idx="3">
                  <c:v>42215</c:v>
                </c:pt>
                <c:pt idx="4">
                  <c:v>42246</c:v>
                </c:pt>
                <c:pt idx="5">
                  <c:v>42277</c:v>
                </c:pt>
              </c:numCache>
            </c:numRef>
          </c:cat>
          <c:val>
            <c:numRef>
              <c:f>Сентябрь2015!$C$86:$H$86</c:f>
              <c:numCache>
                <c:formatCode>#,##0</c:formatCode>
                <c:ptCount val="6"/>
                <c:pt idx="0">
                  <c:v>8355</c:v>
                </c:pt>
                <c:pt idx="1">
                  <c:v>8400</c:v>
                </c:pt>
                <c:pt idx="2">
                  <c:v>8385</c:v>
                </c:pt>
                <c:pt idx="3">
                  <c:v>8823</c:v>
                </c:pt>
                <c:pt idx="4">
                  <c:v>8602</c:v>
                </c:pt>
                <c:pt idx="5">
                  <c:v>8775</c:v>
                </c:pt>
              </c:numCache>
            </c:numRef>
          </c:val>
        </c:ser>
        <c:ser>
          <c:idx val="3"/>
          <c:order val="3"/>
          <c:tx>
            <c:strRef>
              <c:f>Сентябрь2015!$B$87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Сентябрь2015!$C$83:$H$83</c:f>
              <c:numCache>
                <c:formatCode>[$-419]mmmm\ yyyy;@</c:formatCode>
                <c:ptCount val="6"/>
                <c:pt idx="0">
                  <c:v>42124</c:v>
                </c:pt>
                <c:pt idx="1">
                  <c:v>42154</c:v>
                </c:pt>
                <c:pt idx="2">
                  <c:v>42185</c:v>
                </c:pt>
                <c:pt idx="3">
                  <c:v>42215</c:v>
                </c:pt>
                <c:pt idx="4">
                  <c:v>42246</c:v>
                </c:pt>
                <c:pt idx="5">
                  <c:v>42277</c:v>
                </c:pt>
              </c:numCache>
            </c:numRef>
          </c:cat>
          <c:val>
            <c:numRef>
              <c:f>Сентябрь2015!$C$87:$H$87</c:f>
              <c:numCache>
                <c:formatCode>#,##0</c:formatCode>
                <c:ptCount val="6"/>
                <c:pt idx="0">
                  <c:v>4971</c:v>
                </c:pt>
                <c:pt idx="1">
                  <c:v>4915</c:v>
                </c:pt>
                <c:pt idx="2">
                  <c:v>4856</c:v>
                </c:pt>
                <c:pt idx="3">
                  <c:v>4715</c:v>
                </c:pt>
                <c:pt idx="4">
                  <c:v>4694</c:v>
                </c:pt>
                <c:pt idx="5">
                  <c:v>4323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76490240"/>
        <c:axId val="276392192"/>
        <c:axId val="0"/>
      </c:bar3DChart>
      <c:dateAx>
        <c:axId val="276490240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76392192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76392192"/>
        <c:scaling>
          <c:orientation val="minMax"/>
          <c:max val="1100000"/>
          <c:min val="0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7649024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Октябрь2015!$B$50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Октябрь2015!$C$49:$I$49</c:f>
              <c:numCache>
                <c:formatCode>General</c:formatCode>
                <c:ptCount val="7"/>
                <c:pt idx="2" formatCode="[$-419]mmmm\ yyyy;@">
                  <c:v>40543</c:v>
                </c:pt>
                <c:pt idx="3" formatCode="[$-419]mmmm\ yyyy;@">
                  <c:v>40908</c:v>
                </c:pt>
                <c:pt idx="4" formatCode="[$-419]mmmm\ yyyy;@">
                  <c:v>41274</c:v>
                </c:pt>
                <c:pt idx="5" formatCode="[$-419]mmmm\ yyyy;@">
                  <c:v>41639</c:v>
                </c:pt>
                <c:pt idx="6" formatCode="[$-419]mmmm\ yyyy;@">
                  <c:v>42004</c:v>
                </c:pt>
              </c:numCache>
            </c:numRef>
          </c:cat>
          <c:val>
            <c:numRef>
              <c:f>Октябрь2015!$C$50:$I$50</c:f>
              <c:numCache>
                <c:formatCode>General</c:formatCode>
                <c:ptCount val="7"/>
                <c:pt idx="2" formatCode="#,##0">
                  <c:v>714295</c:v>
                </c:pt>
                <c:pt idx="3" formatCode="#,##0">
                  <c:v>772175</c:v>
                </c:pt>
                <c:pt idx="4" formatCode="#,##0">
                  <c:v>805549</c:v>
                </c:pt>
                <c:pt idx="5" formatCode="#,##0">
                  <c:v>881844</c:v>
                </c:pt>
                <c:pt idx="6" formatCode="#,##0">
                  <c:v>944559</c:v>
                </c:pt>
              </c:numCache>
            </c:numRef>
          </c:val>
        </c:ser>
        <c:ser>
          <c:idx val="1"/>
          <c:order val="1"/>
          <c:tx>
            <c:strRef>
              <c:f>Октябрь2015!$B$51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Октябрь2015!$C$49:$I$49</c:f>
              <c:numCache>
                <c:formatCode>General</c:formatCode>
                <c:ptCount val="7"/>
                <c:pt idx="2" formatCode="[$-419]mmmm\ yyyy;@">
                  <c:v>40543</c:v>
                </c:pt>
                <c:pt idx="3" formatCode="[$-419]mmmm\ yyyy;@">
                  <c:v>40908</c:v>
                </c:pt>
                <c:pt idx="4" formatCode="[$-419]mmmm\ yyyy;@">
                  <c:v>41274</c:v>
                </c:pt>
                <c:pt idx="5" formatCode="[$-419]mmmm\ yyyy;@">
                  <c:v>41639</c:v>
                </c:pt>
                <c:pt idx="6" formatCode="[$-419]mmmm\ yyyy;@">
                  <c:v>42004</c:v>
                </c:pt>
              </c:numCache>
            </c:numRef>
          </c:cat>
          <c:val>
            <c:numRef>
              <c:f>Октябрь2015!$C$51:$I$51</c:f>
              <c:numCache>
                <c:formatCode>General</c:formatCode>
                <c:ptCount val="7"/>
                <c:pt idx="2" formatCode="#,##0">
                  <c:v>17170</c:v>
                </c:pt>
                <c:pt idx="3" formatCode="#,##0">
                  <c:v>16850</c:v>
                </c:pt>
                <c:pt idx="4" formatCode="#,##0">
                  <c:v>17821</c:v>
                </c:pt>
                <c:pt idx="5" formatCode="#,##0">
                  <c:v>19539</c:v>
                </c:pt>
                <c:pt idx="6" formatCode="#,##0">
                  <c:v>20178</c:v>
                </c:pt>
              </c:numCache>
            </c:numRef>
          </c:val>
        </c:ser>
        <c:ser>
          <c:idx val="2"/>
          <c:order val="2"/>
          <c:tx>
            <c:strRef>
              <c:f>Октябрь2015!$B$52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Октябрь2015!$C$49:$I$49</c:f>
              <c:numCache>
                <c:formatCode>General</c:formatCode>
                <c:ptCount val="7"/>
                <c:pt idx="2" formatCode="[$-419]mmmm\ yyyy;@">
                  <c:v>40543</c:v>
                </c:pt>
                <c:pt idx="3" formatCode="[$-419]mmmm\ yyyy;@">
                  <c:v>40908</c:v>
                </c:pt>
                <c:pt idx="4" formatCode="[$-419]mmmm\ yyyy;@">
                  <c:v>41274</c:v>
                </c:pt>
                <c:pt idx="5" formatCode="[$-419]mmmm\ yyyy;@">
                  <c:v>41639</c:v>
                </c:pt>
                <c:pt idx="6" formatCode="[$-419]mmmm\ yyyy;@">
                  <c:v>42004</c:v>
                </c:pt>
              </c:numCache>
            </c:numRef>
          </c:cat>
          <c:val>
            <c:numRef>
              <c:f>Октябрь2015!$C$52:$I$52</c:f>
              <c:numCache>
                <c:formatCode>General</c:formatCode>
                <c:ptCount val="7"/>
                <c:pt idx="2" formatCode="#,##0">
                  <c:v>4295</c:v>
                </c:pt>
                <c:pt idx="3" formatCode="#,##0">
                  <c:v>5058</c:v>
                </c:pt>
                <c:pt idx="4" formatCode="#,##0">
                  <c:v>5876</c:v>
                </c:pt>
                <c:pt idx="5" formatCode="#,##0">
                  <c:v>6957</c:v>
                </c:pt>
                <c:pt idx="6" formatCode="#,##0">
                  <c:v>7486</c:v>
                </c:pt>
              </c:numCache>
            </c:numRef>
          </c:val>
        </c:ser>
        <c:ser>
          <c:idx val="3"/>
          <c:order val="3"/>
          <c:tx>
            <c:strRef>
              <c:f>Октябрь2015!$B$53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Октябрь2015!$C$49:$I$49</c:f>
              <c:numCache>
                <c:formatCode>General</c:formatCode>
                <c:ptCount val="7"/>
                <c:pt idx="2" formatCode="[$-419]mmmm\ yyyy;@">
                  <c:v>40543</c:v>
                </c:pt>
                <c:pt idx="3" formatCode="[$-419]mmmm\ yyyy;@">
                  <c:v>40908</c:v>
                </c:pt>
                <c:pt idx="4" formatCode="[$-419]mmmm\ yyyy;@">
                  <c:v>41274</c:v>
                </c:pt>
                <c:pt idx="5" formatCode="[$-419]mmmm\ yyyy;@">
                  <c:v>41639</c:v>
                </c:pt>
                <c:pt idx="6" formatCode="[$-419]mmmm\ yyyy;@">
                  <c:v>42004</c:v>
                </c:pt>
              </c:numCache>
            </c:numRef>
          </c:cat>
          <c:val>
            <c:numRef>
              <c:f>Октябрь2015!$C$53:$I$53</c:f>
              <c:numCache>
                <c:formatCode>General</c:formatCode>
                <c:ptCount val="7"/>
                <c:pt idx="2" formatCode="#,##0">
                  <c:v>5348</c:v>
                </c:pt>
                <c:pt idx="3" formatCode="#,##0">
                  <c:v>5242</c:v>
                </c:pt>
                <c:pt idx="4" formatCode="#,##0">
                  <c:v>5261</c:v>
                </c:pt>
                <c:pt idx="5" formatCode="#,##0">
                  <c:v>5182</c:v>
                </c:pt>
                <c:pt idx="6" formatCode="#,##0">
                  <c:v>5142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76493312"/>
        <c:axId val="276396224"/>
        <c:axId val="0"/>
      </c:bar3DChart>
      <c:dateAx>
        <c:axId val="27649331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76396224"/>
        <c:crosses val="autoZero"/>
        <c:auto val="1"/>
        <c:lblOffset val="100"/>
        <c:baseTimeUnit val="years"/>
        <c:majorUnit val="1"/>
        <c:minorUnit val="1"/>
      </c:dateAx>
      <c:valAx>
        <c:axId val="276396224"/>
        <c:scaling>
          <c:orientation val="minMax"/>
          <c:max val="11000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7649331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Октябрь2015!$B$84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Октябрь2015!$C$83:$H$83</c:f>
              <c:numCache>
                <c:formatCode>[$-419]mmmm\ yyyy;@</c:formatCode>
                <c:ptCount val="6"/>
                <c:pt idx="0">
                  <c:v>42154</c:v>
                </c:pt>
                <c:pt idx="1">
                  <c:v>42185</c:v>
                </c:pt>
                <c:pt idx="2">
                  <c:v>42215</c:v>
                </c:pt>
                <c:pt idx="3">
                  <c:v>42246</c:v>
                </c:pt>
                <c:pt idx="4">
                  <c:v>42277</c:v>
                </c:pt>
                <c:pt idx="5">
                  <c:v>42307</c:v>
                </c:pt>
              </c:numCache>
            </c:numRef>
          </c:cat>
          <c:val>
            <c:numRef>
              <c:f>Октябрь2015!$C$84:$H$84</c:f>
              <c:numCache>
                <c:formatCode>#,##0</c:formatCode>
                <c:ptCount val="6"/>
                <c:pt idx="0">
                  <c:v>975467</c:v>
                </c:pt>
                <c:pt idx="1">
                  <c:v>980206</c:v>
                </c:pt>
                <c:pt idx="2">
                  <c:v>984614</c:v>
                </c:pt>
                <c:pt idx="3">
                  <c:v>991257</c:v>
                </c:pt>
                <c:pt idx="4">
                  <c:v>993268</c:v>
                </c:pt>
                <c:pt idx="5">
                  <c:v>996118</c:v>
                </c:pt>
              </c:numCache>
            </c:numRef>
          </c:val>
        </c:ser>
        <c:ser>
          <c:idx val="1"/>
          <c:order val="1"/>
          <c:tx>
            <c:strRef>
              <c:f>Октябрь2015!$B$85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Октябрь2015!$C$83:$H$83</c:f>
              <c:numCache>
                <c:formatCode>[$-419]mmmm\ yyyy;@</c:formatCode>
                <c:ptCount val="6"/>
                <c:pt idx="0">
                  <c:v>42154</c:v>
                </c:pt>
                <c:pt idx="1">
                  <c:v>42185</c:v>
                </c:pt>
                <c:pt idx="2">
                  <c:v>42215</c:v>
                </c:pt>
                <c:pt idx="3">
                  <c:v>42246</c:v>
                </c:pt>
                <c:pt idx="4">
                  <c:v>42277</c:v>
                </c:pt>
                <c:pt idx="5">
                  <c:v>42307</c:v>
                </c:pt>
              </c:numCache>
            </c:numRef>
          </c:cat>
          <c:val>
            <c:numRef>
              <c:f>Октябрь2015!$C$85:$H$85</c:f>
              <c:numCache>
                <c:formatCode>#,##0</c:formatCode>
                <c:ptCount val="6"/>
                <c:pt idx="0">
                  <c:v>20771</c:v>
                </c:pt>
                <c:pt idx="1">
                  <c:v>20872</c:v>
                </c:pt>
                <c:pt idx="2">
                  <c:v>20904</c:v>
                </c:pt>
                <c:pt idx="3">
                  <c:v>20981</c:v>
                </c:pt>
                <c:pt idx="4">
                  <c:v>21072</c:v>
                </c:pt>
                <c:pt idx="5">
                  <c:v>20973</c:v>
                </c:pt>
              </c:numCache>
            </c:numRef>
          </c:val>
        </c:ser>
        <c:ser>
          <c:idx val="2"/>
          <c:order val="2"/>
          <c:tx>
            <c:strRef>
              <c:f>Октябрь2015!$B$86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Октябрь2015!$C$83:$H$83</c:f>
              <c:numCache>
                <c:formatCode>[$-419]mmmm\ yyyy;@</c:formatCode>
                <c:ptCount val="6"/>
                <c:pt idx="0">
                  <c:v>42154</c:v>
                </c:pt>
                <c:pt idx="1">
                  <c:v>42185</c:v>
                </c:pt>
                <c:pt idx="2">
                  <c:v>42215</c:v>
                </c:pt>
                <c:pt idx="3">
                  <c:v>42246</c:v>
                </c:pt>
                <c:pt idx="4">
                  <c:v>42277</c:v>
                </c:pt>
                <c:pt idx="5">
                  <c:v>42307</c:v>
                </c:pt>
              </c:numCache>
            </c:numRef>
          </c:cat>
          <c:val>
            <c:numRef>
              <c:f>Октябрь2015!$C$86:$H$86</c:f>
              <c:numCache>
                <c:formatCode>#,##0</c:formatCode>
                <c:ptCount val="6"/>
                <c:pt idx="0">
                  <c:v>8400</c:v>
                </c:pt>
                <c:pt idx="1">
                  <c:v>8385</c:v>
                </c:pt>
                <c:pt idx="2">
                  <c:v>8823</c:v>
                </c:pt>
                <c:pt idx="3">
                  <c:v>8602</c:v>
                </c:pt>
                <c:pt idx="4">
                  <c:v>8775</c:v>
                </c:pt>
                <c:pt idx="5">
                  <c:v>8894</c:v>
                </c:pt>
              </c:numCache>
            </c:numRef>
          </c:val>
        </c:ser>
        <c:ser>
          <c:idx val="3"/>
          <c:order val="3"/>
          <c:tx>
            <c:strRef>
              <c:f>Октябрь2015!$B$87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Октябрь2015!$C$83:$H$83</c:f>
              <c:numCache>
                <c:formatCode>[$-419]mmmm\ yyyy;@</c:formatCode>
                <c:ptCount val="6"/>
                <c:pt idx="0">
                  <c:v>42154</c:v>
                </c:pt>
                <c:pt idx="1">
                  <c:v>42185</c:v>
                </c:pt>
                <c:pt idx="2">
                  <c:v>42215</c:v>
                </c:pt>
                <c:pt idx="3">
                  <c:v>42246</c:v>
                </c:pt>
                <c:pt idx="4">
                  <c:v>42277</c:v>
                </c:pt>
                <c:pt idx="5">
                  <c:v>42307</c:v>
                </c:pt>
              </c:numCache>
            </c:numRef>
          </c:cat>
          <c:val>
            <c:numRef>
              <c:f>Октябрь2015!$C$87:$H$87</c:f>
              <c:numCache>
                <c:formatCode>#,##0</c:formatCode>
                <c:ptCount val="6"/>
                <c:pt idx="0">
                  <c:v>4915</c:v>
                </c:pt>
                <c:pt idx="1">
                  <c:v>4856</c:v>
                </c:pt>
                <c:pt idx="2">
                  <c:v>4715</c:v>
                </c:pt>
                <c:pt idx="3">
                  <c:v>4694</c:v>
                </c:pt>
                <c:pt idx="4">
                  <c:v>4323</c:v>
                </c:pt>
                <c:pt idx="5">
                  <c:v>4266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76844544"/>
        <c:axId val="296371328"/>
        <c:axId val="0"/>
      </c:bar3DChart>
      <c:dateAx>
        <c:axId val="276844544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96371328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96371328"/>
        <c:scaling>
          <c:orientation val="minMax"/>
          <c:max val="1100000"/>
          <c:min val="0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768445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Ноябрь2015!$B$50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Ноябрь2015!$C$49:$I$49</c:f>
              <c:numCache>
                <c:formatCode>General</c:formatCode>
                <c:ptCount val="7"/>
                <c:pt idx="2" formatCode="[$-419]mmmm\ yyyy;@">
                  <c:v>40543</c:v>
                </c:pt>
                <c:pt idx="3" formatCode="[$-419]mmmm\ yyyy;@">
                  <c:v>40908</c:v>
                </c:pt>
                <c:pt idx="4" formatCode="[$-419]mmmm\ yyyy;@">
                  <c:v>41274</c:v>
                </c:pt>
                <c:pt idx="5" formatCode="[$-419]mmmm\ yyyy;@">
                  <c:v>41639</c:v>
                </c:pt>
                <c:pt idx="6" formatCode="[$-419]mmmm\ yyyy;@">
                  <c:v>42004</c:v>
                </c:pt>
              </c:numCache>
            </c:numRef>
          </c:cat>
          <c:val>
            <c:numRef>
              <c:f>Ноябрь2015!$C$50:$I$50</c:f>
              <c:numCache>
                <c:formatCode>General</c:formatCode>
                <c:ptCount val="7"/>
                <c:pt idx="2" formatCode="#,##0">
                  <c:v>714295</c:v>
                </c:pt>
                <c:pt idx="3" formatCode="#,##0">
                  <c:v>772175</c:v>
                </c:pt>
                <c:pt idx="4" formatCode="#,##0">
                  <c:v>805549</c:v>
                </c:pt>
                <c:pt idx="5" formatCode="#,##0">
                  <c:v>881844</c:v>
                </c:pt>
                <c:pt idx="6" formatCode="#,##0">
                  <c:v>944559</c:v>
                </c:pt>
              </c:numCache>
            </c:numRef>
          </c:val>
        </c:ser>
        <c:ser>
          <c:idx val="1"/>
          <c:order val="1"/>
          <c:tx>
            <c:strRef>
              <c:f>Ноябрь2015!$B$51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Ноябрь2015!$C$49:$I$49</c:f>
              <c:numCache>
                <c:formatCode>General</c:formatCode>
                <c:ptCount val="7"/>
                <c:pt idx="2" formatCode="[$-419]mmmm\ yyyy;@">
                  <c:v>40543</c:v>
                </c:pt>
                <c:pt idx="3" formatCode="[$-419]mmmm\ yyyy;@">
                  <c:v>40908</c:v>
                </c:pt>
                <c:pt idx="4" formatCode="[$-419]mmmm\ yyyy;@">
                  <c:v>41274</c:v>
                </c:pt>
                <c:pt idx="5" formatCode="[$-419]mmmm\ yyyy;@">
                  <c:v>41639</c:v>
                </c:pt>
                <c:pt idx="6" formatCode="[$-419]mmmm\ yyyy;@">
                  <c:v>42004</c:v>
                </c:pt>
              </c:numCache>
            </c:numRef>
          </c:cat>
          <c:val>
            <c:numRef>
              <c:f>Ноябрь2015!$C$51:$I$51</c:f>
              <c:numCache>
                <c:formatCode>General</c:formatCode>
                <c:ptCount val="7"/>
                <c:pt idx="2" formatCode="#,##0">
                  <c:v>17170</c:v>
                </c:pt>
                <c:pt idx="3" formatCode="#,##0">
                  <c:v>16850</c:v>
                </c:pt>
                <c:pt idx="4" formatCode="#,##0">
                  <c:v>17821</c:v>
                </c:pt>
                <c:pt idx="5" formatCode="#,##0">
                  <c:v>19539</c:v>
                </c:pt>
                <c:pt idx="6" formatCode="#,##0">
                  <c:v>20178</c:v>
                </c:pt>
              </c:numCache>
            </c:numRef>
          </c:val>
        </c:ser>
        <c:ser>
          <c:idx val="2"/>
          <c:order val="2"/>
          <c:tx>
            <c:strRef>
              <c:f>Ноябрь2015!$B$52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Ноябрь2015!$C$49:$I$49</c:f>
              <c:numCache>
                <c:formatCode>General</c:formatCode>
                <c:ptCount val="7"/>
                <c:pt idx="2" formatCode="[$-419]mmmm\ yyyy;@">
                  <c:v>40543</c:v>
                </c:pt>
                <c:pt idx="3" formatCode="[$-419]mmmm\ yyyy;@">
                  <c:v>40908</c:v>
                </c:pt>
                <c:pt idx="4" formatCode="[$-419]mmmm\ yyyy;@">
                  <c:v>41274</c:v>
                </c:pt>
                <c:pt idx="5" formatCode="[$-419]mmmm\ yyyy;@">
                  <c:v>41639</c:v>
                </c:pt>
                <c:pt idx="6" formatCode="[$-419]mmmm\ yyyy;@">
                  <c:v>42004</c:v>
                </c:pt>
              </c:numCache>
            </c:numRef>
          </c:cat>
          <c:val>
            <c:numRef>
              <c:f>Ноябрь2015!$C$52:$I$52</c:f>
              <c:numCache>
                <c:formatCode>General</c:formatCode>
                <c:ptCount val="7"/>
                <c:pt idx="2" formatCode="#,##0">
                  <c:v>4295</c:v>
                </c:pt>
                <c:pt idx="3" formatCode="#,##0">
                  <c:v>5058</c:v>
                </c:pt>
                <c:pt idx="4" formatCode="#,##0">
                  <c:v>5876</c:v>
                </c:pt>
                <c:pt idx="5" formatCode="#,##0">
                  <c:v>6957</c:v>
                </c:pt>
                <c:pt idx="6" formatCode="#,##0">
                  <c:v>7486</c:v>
                </c:pt>
              </c:numCache>
            </c:numRef>
          </c:val>
        </c:ser>
        <c:ser>
          <c:idx val="3"/>
          <c:order val="3"/>
          <c:tx>
            <c:strRef>
              <c:f>Ноябрь2015!$B$53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Ноябрь2015!$C$49:$I$49</c:f>
              <c:numCache>
                <c:formatCode>General</c:formatCode>
                <c:ptCount val="7"/>
                <c:pt idx="2" formatCode="[$-419]mmmm\ yyyy;@">
                  <c:v>40543</c:v>
                </c:pt>
                <c:pt idx="3" formatCode="[$-419]mmmm\ yyyy;@">
                  <c:v>40908</c:v>
                </c:pt>
                <c:pt idx="4" formatCode="[$-419]mmmm\ yyyy;@">
                  <c:v>41274</c:v>
                </c:pt>
                <c:pt idx="5" formatCode="[$-419]mmmm\ yyyy;@">
                  <c:v>41639</c:v>
                </c:pt>
                <c:pt idx="6" formatCode="[$-419]mmmm\ yyyy;@">
                  <c:v>42004</c:v>
                </c:pt>
              </c:numCache>
            </c:numRef>
          </c:cat>
          <c:val>
            <c:numRef>
              <c:f>Ноябрь2015!$C$53:$I$53</c:f>
              <c:numCache>
                <c:formatCode>General</c:formatCode>
                <c:ptCount val="7"/>
                <c:pt idx="2" formatCode="#,##0">
                  <c:v>5348</c:v>
                </c:pt>
                <c:pt idx="3" formatCode="#,##0">
                  <c:v>5242</c:v>
                </c:pt>
                <c:pt idx="4" formatCode="#,##0">
                  <c:v>5261</c:v>
                </c:pt>
                <c:pt idx="5" formatCode="#,##0">
                  <c:v>5182</c:v>
                </c:pt>
                <c:pt idx="6" formatCode="#,##0">
                  <c:v>5142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76848128"/>
        <c:axId val="296373632"/>
        <c:axId val="0"/>
      </c:bar3DChart>
      <c:dateAx>
        <c:axId val="27684812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96373632"/>
        <c:crosses val="autoZero"/>
        <c:auto val="1"/>
        <c:lblOffset val="100"/>
        <c:baseTimeUnit val="years"/>
        <c:majorUnit val="1"/>
        <c:minorUnit val="1"/>
      </c:dateAx>
      <c:valAx>
        <c:axId val="296373632"/>
        <c:scaling>
          <c:orientation val="minMax"/>
          <c:max val="11000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768481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Ноябрь2015!$B$84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Ноябрь2015!$C$83:$H$83</c:f>
              <c:numCache>
                <c:formatCode>[$-419]mmmm\ yyyy;@</c:formatCode>
                <c:ptCount val="6"/>
                <c:pt idx="0">
                  <c:v>42185</c:v>
                </c:pt>
                <c:pt idx="1">
                  <c:v>42215</c:v>
                </c:pt>
                <c:pt idx="2">
                  <c:v>42246</c:v>
                </c:pt>
                <c:pt idx="3">
                  <c:v>42277</c:v>
                </c:pt>
                <c:pt idx="4">
                  <c:v>42307</c:v>
                </c:pt>
                <c:pt idx="5">
                  <c:v>42338</c:v>
                </c:pt>
              </c:numCache>
            </c:numRef>
          </c:cat>
          <c:val>
            <c:numRef>
              <c:f>Ноябрь2015!$C$84:$H$84</c:f>
              <c:numCache>
                <c:formatCode>#,##0</c:formatCode>
                <c:ptCount val="6"/>
                <c:pt idx="0">
                  <c:v>980206</c:v>
                </c:pt>
                <c:pt idx="1">
                  <c:v>984614</c:v>
                </c:pt>
                <c:pt idx="2">
                  <c:v>991257</c:v>
                </c:pt>
                <c:pt idx="3">
                  <c:v>993268</c:v>
                </c:pt>
                <c:pt idx="4">
                  <c:v>996118</c:v>
                </c:pt>
                <c:pt idx="5">
                  <c:v>1001556</c:v>
                </c:pt>
              </c:numCache>
            </c:numRef>
          </c:val>
        </c:ser>
        <c:ser>
          <c:idx val="1"/>
          <c:order val="1"/>
          <c:tx>
            <c:strRef>
              <c:f>Ноябрь2015!$B$85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Ноябрь2015!$C$83:$H$83</c:f>
              <c:numCache>
                <c:formatCode>[$-419]mmmm\ yyyy;@</c:formatCode>
                <c:ptCount val="6"/>
                <c:pt idx="0">
                  <c:v>42185</c:v>
                </c:pt>
                <c:pt idx="1">
                  <c:v>42215</c:v>
                </c:pt>
                <c:pt idx="2">
                  <c:v>42246</c:v>
                </c:pt>
                <c:pt idx="3">
                  <c:v>42277</c:v>
                </c:pt>
                <c:pt idx="4">
                  <c:v>42307</c:v>
                </c:pt>
                <c:pt idx="5">
                  <c:v>42338</c:v>
                </c:pt>
              </c:numCache>
            </c:numRef>
          </c:cat>
          <c:val>
            <c:numRef>
              <c:f>Ноябрь2015!$C$85:$H$85</c:f>
              <c:numCache>
                <c:formatCode>#,##0</c:formatCode>
                <c:ptCount val="6"/>
                <c:pt idx="0">
                  <c:v>20872</c:v>
                </c:pt>
                <c:pt idx="1">
                  <c:v>20904</c:v>
                </c:pt>
                <c:pt idx="2">
                  <c:v>20981</c:v>
                </c:pt>
                <c:pt idx="3">
                  <c:v>21072</c:v>
                </c:pt>
                <c:pt idx="4">
                  <c:v>20973</c:v>
                </c:pt>
                <c:pt idx="5">
                  <c:v>21007</c:v>
                </c:pt>
              </c:numCache>
            </c:numRef>
          </c:val>
        </c:ser>
        <c:ser>
          <c:idx val="2"/>
          <c:order val="2"/>
          <c:tx>
            <c:strRef>
              <c:f>Ноябрь2015!$B$86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Ноябрь2015!$C$83:$H$83</c:f>
              <c:numCache>
                <c:formatCode>[$-419]mmmm\ yyyy;@</c:formatCode>
                <c:ptCount val="6"/>
                <c:pt idx="0">
                  <c:v>42185</c:v>
                </c:pt>
                <c:pt idx="1">
                  <c:v>42215</c:v>
                </c:pt>
                <c:pt idx="2">
                  <c:v>42246</c:v>
                </c:pt>
                <c:pt idx="3">
                  <c:v>42277</c:v>
                </c:pt>
                <c:pt idx="4">
                  <c:v>42307</c:v>
                </c:pt>
                <c:pt idx="5">
                  <c:v>42338</c:v>
                </c:pt>
              </c:numCache>
            </c:numRef>
          </c:cat>
          <c:val>
            <c:numRef>
              <c:f>Ноябрь2015!$C$86:$H$86</c:f>
              <c:numCache>
                <c:formatCode>#,##0</c:formatCode>
                <c:ptCount val="6"/>
                <c:pt idx="0">
                  <c:v>8385</c:v>
                </c:pt>
                <c:pt idx="1">
                  <c:v>8823</c:v>
                </c:pt>
                <c:pt idx="2">
                  <c:v>8602</c:v>
                </c:pt>
                <c:pt idx="3">
                  <c:v>8775</c:v>
                </c:pt>
                <c:pt idx="4">
                  <c:v>8894</c:v>
                </c:pt>
                <c:pt idx="5">
                  <c:v>8699</c:v>
                </c:pt>
              </c:numCache>
            </c:numRef>
          </c:val>
        </c:ser>
        <c:ser>
          <c:idx val="3"/>
          <c:order val="3"/>
          <c:tx>
            <c:strRef>
              <c:f>Ноябрь2015!$B$87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Ноябрь2015!$C$83:$H$83</c:f>
              <c:numCache>
                <c:formatCode>[$-419]mmmm\ yyyy;@</c:formatCode>
                <c:ptCount val="6"/>
                <c:pt idx="0">
                  <c:v>42185</c:v>
                </c:pt>
                <c:pt idx="1">
                  <c:v>42215</c:v>
                </c:pt>
                <c:pt idx="2">
                  <c:v>42246</c:v>
                </c:pt>
                <c:pt idx="3">
                  <c:v>42277</c:v>
                </c:pt>
                <c:pt idx="4">
                  <c:v>42307</c:v>
                </c:pt>
                <c:pt idx="5">
                  <c:v>42338</c:v>
                </c:pt>
              </c:numCache>
            </c:numRef>
          </c:cat>
          <c:val>
            <c:numRef>
              <c:f>Ноябрь2015!$C$87:$H$87</c:f>
              <c:numCache>
                <c:formatCode>#,##0</c:formatCode>
                <c:ptCount val="6"/>
                <c:pt idx="0">
                  <c:v>4856</c:v>
                </c:pt>
                <c:pt idx="1">
                  <c:v>4715</c:v>
                </c:pt>
                <c:pt idx="2">
                  <c:v>4694</c:v>
                </c:pt>
                <c:pt idx="3">
                  <c:v>4323</c:v>
                </c:pt>
                <c:pt idx="4">
                  <c:v>4266</c:v>
                </c:pt>
                <c:pt idx="5">
                  <c:v>4148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77221888"/>
        <c:axId val="296418624"/>
        <c:axId val="0"/>
      </c:bar3DChart>
      <c:dateAx>
        <c:axId val="277221888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96418624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96418624"/>
        <c:scaling>
          <c:orientation val="minMax"/>
          <c:max val="1100000"/>
          <c:min val="0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772218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Декабрь2015!$B$50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Декабрь2015!$C$49:$I$49</c:f>
              <c:numCache>
                <c:formatCode>General</c:formatCode>
                <c:ptCount val="7"/>
                <c:pt idx="2" formatCode="[$-419]mmmm\ yyyy;@">
                  <c:v>40908</c:v>
                </c:pt>
                <c:pt idx="3" formatCode="[$-419]mmmm\ yyyy;@">
                  <c:v>41274</c:v>
                </c:pt>
                <c:pt idx="4" formatCode="[$-419]mmmm\ yyyy;@">
                  <c:v>41639</c:v>
                </c:pt>
                <c:pt idx="5" formatCode="[$-419]mmmm\ yyyy;@">
                  <c:v>42004</c:v>
                </c:pt>
                <c:pt idx="6" formatCode="[$-419]mmmm\ yyyy;@">
                  <c:v>42369</c:v>
                </c:pt>
              </c:numCache>
            </c:numRef>
          </c:cat>
          <c:val>
            <c:numRef>
              <c:f>Декабрь2015!$C$50:$I$50</c:f>
              <c:numCache>
                <c:formatCode>General</c:formatCode>
                <c:ptCount val="7"/>
                <c:pt idx="2" formatCode="#,##0">
                  <c:v>772175</c:v>
                </c:pt>
                <c:pt idx="3" formatCode="#,##0">
                  <c:v>805549</c:v>
                </c:pt>
                <c:pt idx="4" formatCode="#,##0">
                  <c:v>881844</c:v>
                </c:pt>
                <c:pt idx="5" formatCode="#,##0">
                  <c:v>944559</c:v>
                </c:pt>
                <c:pt idx="6" formatCode="#,##0">
                  <c:v>1006751</c:v>
                </c:pt>
              </c:numCache>
            </c:numRef>
          </c:val>
        </c:ser>
        <c:ser>
          <c:idx val="1"/>
          <c:order val="1"/>
          <c:tx>
            <c:strRef>
              <c:f>Декабрь2015!$B$51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Декабрь2015!$C$49:$I$49</c:f>
              <c:numCache>
                <c:formatCode>General</c:formatCode>
                <c:ptCount val="7"/>
                <c:pt idx="2" formatCode="[$-419]mmmm\ yyyy;@">
                  <c:v>40908</c:v>
                </c:pt>
                <c:pt idx="3" formatCode="[$-419]mmmm\ yyyy;@">
                  <c:v>41274</c:v>
                </c:pt>
                <c:pt idx="4" formatCode="[$-419]mmmm\ yyyy;@">
                  <c:v>41639</c:v>
                </c:pt>
                <c:pt idx="5" formatCode="[$-419]mmmm\ yyyy;@">
                  <c:v>42004</c:v>
                </c:pt>
                <c:pt idx="6" formatCode="[$-419]mmmm\ yyyy;@">
                  <c:v>42369</c:v>
                </c:pt>
              </c:numCache>
            </c:numRef>
          </c:cat>
          <c:val>
            <c:numRef>
              <c:f>Декабрь2015!$C$51:$I$51</c:f>
              <c:numCache>
                <c:formatCode>General</c:formatCode>
                <c:ptCount val="7"/>
                <c:pt idx="2" formatCode="#,##0">
                  <c:v>16850</c:v>
                </c:pt>
                <c:pt idx="3" formatCode="#,##0">
                  <c:v>17821</c:v>
                </c:pt>
                <c:pt idx="4" formatCode="#,##0">
                  <c:v>19539</c:v>
                </c:pt>
                <c:pt idx="5" formatCode="#,##0">
                  <c:v>20178</c:v>
                </c:pt>
                <c:pt idx="6" formatCode="#,##0">
                  <c:v>20753</c:v>
                </c:pt>
              </c:numCache>
            </c:numRef>
          </c:val>
        </c:ser>
        <c:ser>
          <c:idx val="2"/>
          <c:order val="2"/>
          <c:tx>
            <c:strRef>
              <c:f>Декабрь2015!$B$52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Декабрь2015!$C$49:$I$49</c:f>
              <c:numCache>
                <c:formatCode>General</c:formatCode>
                <c:ptCount val="7"/>
                <c:pt idx="2" formatCode="[$-419]mmmm\ yyyy;@">
                  <c:v>40908</c:v>
                </c:pt>
                <c:pt idx="3" formatCode="[$-419]mmmm\ yyyy;@">
                  <c:v>41274</c:v>
                </c:pt>
                <c:pt idx="4" formatCode="[$-419]mmmm\ yyyy;@">
                  <c:v>41639</c:v>
                </c:pt>
                <c:pt idx="5" formatCode="[$-419]mmmm\ yyyy;@">
                  <c:v>42004</c:v>
                </c:pt>
                <c:pt idx="6" formatCode="[$-419]mmmm\ yyyy;@">
                  <c:v>42369</c:v>
                </c:pt>
              </c:numCache>
            </c:numRef>
          </c:cat>
          <c:val>
            <c:numRef>
              <c:f>Декабрь2015!$C$52:$I$52</c:f>
              <c:numCache>
                <c:formatCode>General</c:formatCode>
                <c:ptCount val="7"/>
                <c:pt idx="2" formatCode="#,##0">
                  <c:v>5058</c:v>
                </c:pt>
                <c:pt idx="3" formatCode="#,##0">
                  <c:v>5876</c:v>
                </c:pt>
                <c:pt idx="4" formatCode="#,##0">
                  <c:v>6957</c:v>
                </c:pt>
                <c:pt idx="5" formatCode="#,##0">
                  <c:v>7486</c:v>
                </c:pt>
                <c:pt idx="6" formatCode="#,##0">
                  <c:v>8729</c:v>
                </c:pt>
              </c:numCache>
            </c:numRef>
          </c:val>
        </c:ser>
        <c:ser>
          <c:idx val="3"/>
          <c:order val="3"/>
          <c:tx>
            <c:strRef>
              <c:f>Декабрь2015!$B$53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Декабрь2015!$C$49:$I$49</c:f>
              <c:numCache>
                <c:formatCode>General</c:formatCode>
                <c:ptCount val="7"/>
                <c:pt idx="2" formatCode="[$-419]mmmm\ yyyy;@">
                  <c:v>40908</c:v>
                </c:pt>
                <c:pt idx="3" formatCode="[$-419]mmmm\ yyyy;@">
                  <c:v>41274</c:v>
                </c:pt>
                <c:pt idx="4" formatCode="[$-419]mmmm\ yyyy;@">
                  <c:v>41639</c:v>
                </c:pt>
                <c:pt idx="5" formatCode="[$-419]mmmm\ yyyy;@">
                  <c:v>42004</c:v>
                </c:pt>
                <c:pt idx="6" formatCode="[$-419]mmmm\ yyyy;@">
                  <c:v>42369</c:v>
                </c:pt>
              </c:numCache>
            </c:numRef>
          </c:cat>
          <c:val>
            <c:numRef>
              <c:f>Декабрь2015!$C$53:$I$53</c:f>
              <c:numCache>
                <c:formatCode>General</c:formatCode>
                <c:ptCount val="7"/>
                <c:pt idx="2" formatCode="#,##0">
                  <c:v>5242</c:v>
                </c:pt>
                <c:pt idx="3" formatCode="#,##0">
                  <c:v>5261</c:v>
                </c:pt>
                <c:pt idx="4" formatCode="#,##0">
                  <c:v>5182</c:v>
                </c:pt>
                <c:pt idx="5" formatCode="#,##0">
                  <c:v>5142</c:v>
                </c:pt>
                <c:pt idx="6" formatCode="#,##0">
                  <c:v>3836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77466112"/>
        <c:axId val="297749312"/>
        <c:axId val="0"/>
      </c:bar3DChart>
      <c:dateAx>
        <c:axId val="27746611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97749312"/>
        <c:crosses val="autoZero"/>
        <c:auto val="1"/>
        <c:lblOffset val="100"/>
        <c:baseTimeUnit val="years"/>
        <c:majorUnit val="1"/>
        <c:minorUnit val="1"/>
      </c:dateAx>
      <c:valAx>
        <c:axId val="297749312"/>
        <c:scaling>
          <c:orientation val="minMax"/>
          <c:max val="11000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7746611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Декабрь2015!$B$84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Декабрь2015!$C$83:$H$83</c:f>
              <c:numCache>
                <c:formatCode>[$-419]mmmm\ yyyy;@</c:formatCode>
                <c:ptCount val="6"/>
                <c:pt idx="0">
                  <c:v>42215</c:v>
                </c:pt>
                <c:pt idx="1">
                  <c:v>42246</c:v>
                </c:pt>
                <c:pt idx="2">
                  <c:v>42277</c:v>
                </c:pt>
                <c:pt idx="3">
                  <c:v>42307</c:v>
                </c:pt>
                <c:pt idx="4">
                  <c:v>42338</c:v>
                </c:pt>
                <c:pt idx="5">
                  <c:v>42368</c:v>
                </c:pt>
              </c:numCache>
            </c:numRef>
          </c:cat>
          <c:val>
            <c:numRef>
              <c:f>Декабрь2015!$C$84:$H$84</c:f>
              <c:numCache>
                <c:formatCode>#,##0</c:formatCode>
                <c:ptCount val="6"/>
                <c:pt idx="0">
                  <c:v>984614</c:v>
                </c:pt>
                <c:pt idx="1">
                  <c:v>991257</c:v>
                </c:pt>
                <c:pt idx="2">
                  <c:v>993268</c:v>
                </c:pt>
                <c:pt idx="3">
                  <c:v>996118</c:v>
                </c:pt>
                <c:pt idx="4">
                  <c:v>1001556</c:v>
                </c:pt>
                <c:pt idx="5">
                  <c:v>1006751</c:v>
                </c:pt>
              </c:numCache>
            </c:numRef>
          </c:val>
        </c:ser>
        <c:ser>
          <c:idx val="1"/>
          <c:order val="1"/>
          <c:tx>
            <c:strRef>
              <c:f>Декабрь2015!$B$85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Декабрь2015!$C$83:$H$83</c:f>
              <c:numCache>
                <c:formatCode>[$-419]mmmm\ yyyy;@</c:formatCode>
                <c:ptCount val="6"/>
                <c:pt idx="0">
                  <c:v>42215</c:v>
                </c:pt>
                <c:pt idx="1">
                  <c:v>42246</c:v>
                </c:pt>
                <c:pt idx="2">
                  <c:v>42277</c:v>
                </c:pt>
                <c:pt idx="3">
                  <c:v>42307</c:v>
                </c:pt>
                <c:pt idx="4">
                  <c:v>42338</c:v>
                </c:pt>
                <c:pt idx="5">
                  <c:v>42368</c:v>
                </c:pt>
              </c:numCache>
            </c:numRef>
          </c:cat>
          <c:val>
            <c:numRef>
              <c:f>Декабрь2015!$C$85:$H$85</c:f>
              <c:numCache>
                <c:formatCode>#,##0</c:formatCode>
                <c:ptCount val="6"/>
                <c:pt idx="0">
                  <c:v>20904</c:v>
                </c:pt>
                <c:pt idx="1">
                  <c:v>20981</c:v>
                </c:pt>
                <c:pt idx="2">
                  <c:v>21072</c:v>
                </c:pt>
                <c:pt idx="3">
                  <c:v>20973</c:v>
                </c:pt>
                <c:pt idx="4">
                  <c:v>21007</c:v>
                </c:pt>
                <c:pt idx="5">
                  <c:v>20753</c:v>
                </c:pt>
              </c:numCache>
            </c:numRef>
          </c:val>
        </c:ser>
        <c:ser>
          <c:idx val="2"/>
          <c:order val="2"/>
          <c:tx>
            <c:strRef>
              <c:f>Декабрь2015!$B$86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Декабрь2015!$C$83:$H$83</c:f>
              <c:numCache>
                <c:formatCode>[$-419]mmmm\ yyyy;@</c:formatCode>
                <c:ptCount val="6"/>
                <c:pt idx="0">
                  <c:v>42215</c:v>
                </c:pt>
                <c:pt idx="1">
                  <c:v>42246</c:v>
                </c:pt>
                <c:pt idx="2">
                  <c:v>42277</c:v>
                </c:pt>
                <c:pt idx="3">
                  <c:v>42307</c:v>
                </c:pt>
                <c:pt idx="4">
                  <c:v>42338</c:v>
                </c:pt>
                <c:pt idx="5">
                  <c:v>42368</c:v>
                </c:pt>
              </c:numCache>
            </c:numRef>
          </c:cat>
          <c:val>
            <c:numRef>
              <c:f>Декабрь2015!$C$86:$H$86</c:f>
              <c:numCache>
                <c:formatCode>#,##0</c:formatCode>
                <c:ptCount val="6"/>
                <c:pt idx="0">
                  <c:v>8823</c:v>
                </c:pt>
                <c:pt idx="1">
                  <c:v>8602</c:v>
                </c:pt>
                <c:pt idx="2">
                  <c:v>8775</c:v>
                </c:pt>
                <c:pt idx="3">
                  <c:v>8894</c:v>
                </c:pt>
                <c:pt idx="4">
                  <c:v>8699</c:v>
                </c:pt>
                <c:pt idx="5">
                  <c:v>8729</c:v>
                </c:pt>
              </c:numCache>
            </c:numRef>
          </c:val>
        </c:ser>
        <c:ser>
          <c:idx val="3"/>
          <c:order val="3"/>
          <c:tx>
            <c:strRef>
              <c:f>Декабрь2015!$B$87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Декабрь2015!$C$83:$H$83</c:f>
              <c:numCache>
                <c:formatCode>[$-419]mmmm\ yyyy;@</c:formatCode>
                <c:ptCount val="6"/>
                <c:pt idx="0">
                  <c:v>42215</c:v>
                </c:pt>
                <c:pt idx="1">
                  <c:v>42246</c:v>
                </c:pt>
                <c:pt idx="2">
                  <c:v>42277</c:v>
                </c:pt>
                <c:pt idx="3">
                  <c:v>42307</c:v>
                </c:pt>
                <c:pt idx="4">
                  <c:v>42338</c:v>
                </c:pt>
                <c:pt idx="5">
                  <c:v>42368</c:v>
                </c:pt>
              </c:numCache>
            </c:numRef>
          </c:cat>
          <c:val>
            <c:numRef>
              <c:f>Декабрь2015!$C$87:$H$87</c:f>
              <c:numCache>
                <c:formatCode>#,##0</c:formatCode>
                <c:ptCount val="6"/>
                <c:pt idx="0">
                  <c:v>4715</c:v>
                </c:pt>
                <c:pt idx="1">
                  <c:v>4694</c:v>
                </c:pt>
                <c:pt idx="2">
                  <c:v>4323</c:v>
                </c:pt>
                <c:pt idx="3">
                  <c:v>4266</c:v>
                </c:pt>
                <c:pt idx="4">
                  <c:v>4148</c:v>
                </c:pt>
                <c:pt idx="5">
                  <c:v>3836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77464576"/>
        <c:axId val="297751616"/>
        <c:axId val="0"/>
      </c:bar3DChart>
      <c:dateAx>
        <c:axId val="277464576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97751616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97751616"/>
        <c:scaling>
          <c:orientation val="minMax"/>
          <c:max val="1100000"/>
          <c:min val="0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7746457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54</xdr:row>
      <xdr:rowOff>123825</xdr:rowOff>
    </xdr:from>
    <xdr:to>
      <xdr:col>9</xdr:col>
      <xdr:colOff>19049</xdr:colOff>
      <xdr:row>80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72</xdr:row>
          <xdr:rowOff>123825</xdr:rowOff>
        </xdr:from>
        <xdr:to>
          <xdr:col>1</xdr:col>
          <xdr:colOff>257175</xdr:colOff>
          <xdr:row>74</xdr:row>
          <xdr:rowOff>0</xdr:rowOff>
        </xdr:to>
        <xdr:sp macro="" textlink="">
          <xdr:nvSpPr>
            <xdr:cNvPr id="138241" name="Object 1" hidden="1">
              <a:extLst>
                <a:ext uri="{63B3BB69-23CF-44E3-9099-C40C66FF867C}">
                  <a14:compatExt spid="_x0000_s138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54</xdr:row>
      <xdr:rowOff>123825</xdr:rowOff>
    </xdr:from>
    <xdr:to>
      <xdr:col>9</xdr:col>
      <xdr:colOff>19049</xdr:colOff>
      <xdr:row>80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72</xdr:row>
          <xdr:rowOff>123825</xdr:rowOff>
        </xdr:from>
        <xdr:to>
          <xdr:col>1</xdr:col>
          <xdr:colOff>257175</xdr:colOff>
          <xdr:row>74</xdr:row>
          <xdr:rowOff>0</xdr:rowOff>
        </xdr:to>
        <xdr:sp macro="" textlink="">
          <xdr:nvSpPr>
            <xdr:cNvPr id="139265" name="Object 1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54</xdr:row>
      <xdr:rowOff>123825</xdr:rowOff>
    </xdr:from>
    <xdr:to>
      <xdr:col>9</xdr:col>
      <xdr:colOff>19049</xdr:colOff>
      <xdr:row>80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72</xdr:row>
          <xdr:rowOff>123825</xdr:rowOff>
        </xdr:from>
        <xdr:to>
          <xdr:col>1</xdr:col>
          <xdr:colOff>257175</xdr:colOff>
          <xdr:row>74</xdr:row>
          <xdr:rowOff>0</xdr:rowOff>
        </xdr:to>
        <xdr:sp macro="" textlink="">
          <xdr:nvSpPr>
            <xdr:cNvPr id="140289" name="Object 1" hidden="1">
              <a:extLst>
                <a:ext uri="{63B3BB69-23CF-44E3-9099-C40C66FF867C}">
                  <a14:compatExt spid="_x0000_s140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54</xdr:row>
      <xdr:rowOff>123825</xdr:rowOff>
    </xdr:from>
    <xdr:to>
      <xdr:col>9</xdr:col>
      <xdr:colOff>19049</xdr:colOff>
      <xdr:row>80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72</xdr:row>
          <xdr:rowOff>123825</xdr:rowOff>
        </xdr:from>
        <xdr:to>
          <xdr:col>1</xdr:col>
          <xdr:colOff>257175</xdr:colOff>
          <xdr:row>74</xdr:row>
          <xdr:rowOff>0</xdr:rowOff>
        </xdr:to>
        <xdr:sp macro="" textlink="">
          <xdr:nvSpPr>
            <xdr:cNvPr id="141313" name="Object 1" hidden="1">
              <a:extLst>
                <a:ext uri="{63B3BB69-23CF-44E3-9099-C40C66FF867C}">
                  <a14:compatExt spid="_x0000_s141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54</xdr:row>
      <xdr:rowOff>123825</xdr:rowOff>
    </xdr:from>
    <xdr:to>
      <xdr:col>9</xdr:col>
      <xdr:colOff>19049</xdr:colOff>
      <xdr:row>80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72</xdr:row>
          <xdr:rowOff>123825</xdr:rowOff>
        </xdr:from>
        <xdr:to>
          <xdr:col>1</xdr:col>
          <xdr:colOff>257175</xdr:colOff>
          <xdr:row>74</xdr:row>
          <xdr:rowOff>0</xdr:rowOff>
        </xdr:to>
        <xdr:sp macro="" textlink="">
          <xdr:nvSpPr>
            <xdr:cNvPr id="142337" name="Object 1" hidden="1">
              <a:extLst>
                <a:ext uri="{63B3BB69-23CF-44E3-9099-C40C66FF867C}">
                  <a14:compatExt spid="_x0000_s142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54</xdr:row>
      <xdr:rowOff>123825</xdr:rowOff>
    </xdr:from>
    <xdr:to>
      <xdr:col>9</xdr:col>
      <xdr:colOff>19049</xdr:colOff>
      <xdr:row>80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72</xdr:row>
          <xdr:rowOff>123825</xdr:rowOff>
        </xdr:from>
        <xdr:to>
          <xdr:col>1</xdr:col>
          <xdr:colOff>257175</xdr:colOff>
          <xdr:row>74</xdr:row>
          <xdr:rowOff>0</xdr:rowOff>
        </xdr:to>
        <xdr:sp macro="" textlink="">
          <xdr:nvSpPr>
            <xdr:cNvPr id="143361" name="Object 1" hidden="1">
              <a:extLst>
                <a:ext uri="{63B3BB69-23CF-44E3-9099-C40C66FF867C}">
                  <a14:compatExt spid="_x0000_s143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54</xdr:row>
      <xdr:rowOff>123825</xdr:rowOff>
    </xdr:from>
    <xdr:to>
      <xdr:col>9</xdr:col>
      <xdr:colOff>19049</xdr:colOff>
      <xdr:row>80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72</xdr:row>
          <xdr:rowOff>123825</xdr:rowOff>
        </xdr:from>
        <xdr:to>
          <xdr:col>1</xdr:col>
          <xdr:colOff>257175</xdr:colOff>
          <xdr:row>74</xdr:row>
          <xdr:rowOff>0</xdr:rowOff>
        </xdr:to>
        <xdr:sp macro="" textlink="">
          <xdr:nvSpPr>
            <xdr:cNvPr id="144385" name="Object 1" hidden="1">
              <a:extLst>
                <a:ext uri="{63B3BB69-23CF-44E3-9099-C40C66FF867C}">
                  <a14:compatExt spid="_x0000_s144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54</xdr:row>
      <xdr:rowOff>123825</xdr:rowOff>
    </xdr:from>
    <xdr:to>
      <xdr:col>9</xdr:col>
      <xdr:colOff>19049</xdr:colOff>
      <xdr:row>80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72</xdr:row>
          <xdr:rowOff>123825</xdr:rowOff>
        </xdr:from>
        <xdr:to>
          <xdr:col>1</xdr:col>
          <xdr:colOff>257175</xdr:colOff>
          <xdr:row>74</xdr:row>
          <xdr:rowOff>0</xdr:rowOff>
        </xdr:to>
        <xdr:sp macro="" textlink="">
          <xdr:nvSpPr>
            <xdr:cNvPr id="145409" name="Object 1" hidden="1">
              <a:extLst>
                <a:ext uri="{63B3BB69-23CF-44E3-9099-C40C66FF867C}">
                  <a14:compatExt spid="_x0000_s145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54</xdr:row>
      <xdr:rowOff>123825</xdr:rowOff>
    </xdr:from>
    <xdr:to>
      <xdr:col>9</xdr:col>
      <xdr:colOff>19049</xdr:colOff>
      <xdr:row>80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72</xdr:row>
          <xdr:rowOff>123825</xdr:rowOff>
        </xdr:from>
        <xdr:to>
          <xdr:col>1</xdr:col>
          <xdr:colOff>257175</xdr:colOff>
          <xdr:row>74</xdr:row>
          <xdr:rowOff>0</xdr:rowOff>
        </xdr:to>
        <xdr:sp macro="" textlink="">
          <xdr:nvSpPr>
            <xdr:cNvPr id="146433" name="Object 1" hidden="1">
              <a:extLst>
                <a:ext uri="{63B3BB69-23CF-44E3-9099-C40C66FF867C}">
                  <a14:compatExt spid="_x0000_s146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54</xdr:row>
      <xdr:rowOff>123825</xdr:rowOff>
    </xdr:from>
    <xdr:to>
      <xdr:col>9</xdr:col>
      <xdr:colOff>19049</xdr:colOff>
      <xdr:row>80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72</xdr:row>
          <xdr:rowOff>123825</xdr:rowOff>
        </xdr:from>
        <xdr:to>
          <xdr:col>1</xdr:col>
          <xdr:colOff>257175</xdr:colOff>
          <xdr:row>74</xdr:row>
          <xdr:rowOff>0</xdr:rowOff>
        </xdr:to>
        <xdr:sp macro="" textlink="">
          <xdr:nvSpPr>
            <xdr:cNvPr id="147457" name="Object 1" hidden="1">
              <a:extLst>
                <a:ext uri="{63B3BB69-23CF-44E3-9099-C40C66FF867C}">
                  <a14:compatExt spid="_x0000_s147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54</xdr:row>
      <xdr:rowOff>123825</xdr:rowOff>
    </xdr:from>
    <xdr:to>
      <xdr:col>9</xdr:col>
      <xdr:colOff>19049</xdr:colOff>
      <xdr:row>80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72</xdr:row>
          <xdr:rowOff>123825</xdr:rowOff>
        </xdr:from>
        <xdr:to>
          <xdr:col>1</xdr:col>
          <xdr:colOff>257175</xdr:colOff>
          <xdr:row>74</xdr:row>
          <xdr:rowOff>0</xdr:rowOff>
        </xdr:to>
        <xdr:sp macro="" textlink="">
          <xdr:nvSpPr>
            <xdr:cNvPr id="148481" name="Object 1" hidden="1">
              <a:extLst>
                <a:ext uri="{63B3BB69-23CF-44E3-9099-C40C66FF867C}">
                  <a14:compatExt spid="_x0000_s148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54</xdr:row>
      <xdr:rowOff>123825</xdr:rowOff>
    </xdr:from>
    <xdr:to>
      <xdr:col>9</xdr:col>
      <xdr:colOff>19049</xdr:colOff>
      <xdr:row>80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72</xdr:row>
          <xdr:rowOff>123825</xdr:rowOff>
        </xdr:from>
        <xdr:to>
          <xdr:col>1</xdr:col>
          <xdr:colOff>257175</xdr:colOff>
          <xdr:row>74</xdr:row>
          <xdr:rowOff>0</xdr:rowOff>
        </xdr:to>
        <xdr:sp macro="" textlink="">
          <xdr:nvSpPr>
            <xdr:cNvPr id="149505" name="Object 1" hidden="1">
              <a:extLst>
                <a:ext uri="{63B3BB69-23CF-44E3-9099-C40C66FF867C}">
                  <a14:compatExt spid="_x0000_s149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oleObject" Target="file:///C:\Documents%20and%20Settings\malina\&#1056;&#1072;&#1073;&#1086;&#1095;&#1080;&#1081;%20&#1089;&#1090;&#1086;&#1083;\&#1082;&#1083;&#1080;&#1077;&#1085;&#1090;&#1099;\&#1047;&#1072;&#1088;&#1077;&#1075;&#1080;&#1089;&#1090;&#1088;&#1080;&#1088;&#1086;&#1074;&#1072;&#1085;&#1085;&#1099;&#1077;201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oleLink xmlns:r="http://schemas.openxmlformats.org/officeDocument/2006/relationships" r:id="rId1" progId="Excel.Sheet.12">
    <oleItems>
      <mc:AlternateContent xmlns:mc="http://schemas.openxmlformats.org/markup-compatibility/2006">
        <mc:Choice Requires="x14">
          <x14:oleItem name="!Январь2012!R1C2:R10C9" advise="1"/>
        </mc:Choice>
        <mc:Fallback>
          <oleItem name="!Январь2012!R1C2:R10C9" advise="1"/>
        </mc:Fallback>
      </mc:AlternateContent>
    </oleItems>
  </oleLin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96">
    <pageSetUpPr fitToPage="1"/>
  </sheetPr>
  <dimension ref="B2:N180"/>
  <sheetViews>
    <sheetView workbookViewId="0"/>
  </sheetViews>
  <sheetFormatPr defaultRowHeight="13.5"/>
  <cols>
    <col min="1" max="1" width="3.42578125" style="75" customWidth="1"/>
    <col min="2" max="2" width="46.7109375" style="75" customWidth="1"/>
    <col min="3" max="4" width="18.42578125" style="75" customWidth="1"/>
    <col min="5" max="9" width="25.5703125" style="75" customWidth="1"/>
    <col min="10" max="10" width="10.5703125" style="75" customWidth="1"/>
    <col min="11" max="11" width="14.85546875" style="75" bestFit="1" customWidth="1"/>
    <col min="12" max="12" width="9.140625" style="75"/>
    <col min="13" max="13" width="23.42578125" style="75" customWidth="1"/>
    <col min="14" max="16384" width="9.140625" style="75"/>
  </cols>
  <sheetData>
    <row r="2" spans="2:14" s="1" customFormat="1" ht="20.25">
      <c r="B2" s="183" t="s">
        <v>15</v>
      </c>
      <c r="C2" s="183"/>
      <c r="D2" s="183"/>
      <c r="E2" s="183"/>
      <c r="F2" s="183"/>
      <c r="G2" s="183"/>
      <c r="H2" s="183"/>
    </row>
    <row r="3" spans="2:14" s="1" customFormat="1" ht="21" thickBot="1">
      <c r="B3" s="184">
        <v>42035</v>
      </c>
      <c r="C3" s="184"/>
      <c r="D3" s="184"/>
      <c r="E3" s="184"/>
      <c r="F3" s="184"/>
      <c r="G3" s="184"/>
      <c r="H3" s="184"/>
      <c r="I3" s="184"/>
      <c r="J3" s="184"/>
      <c r="K3" s="184"/>
      <c r="L3" s="184"/>
      <c r="M3" s="184"/>
      <c r="N3" s="184"/>
    </row>
    <row r="4" spans="2:14" s="1" customFormat="1" ht="18" thickTop="1"/>
    <row r="5" spans="2:14" s="1" customFormat="1" ht="17.25">
      <c r="B5" s="17"/>
      <c r="C5" s="17"/>
      <c r="D5" s="17"/>
      <c r="E5" s="17"/>
      <c r="F5" s="17"/>
      <c r="G5" s="17"/>
      <c r="H5" s="17"/>
    </row>
    <row r="6" spans="2:14" s="1" customFormat="1" ht="17.25">
      <c r="B6" s="18" t="s">
        <v>20</v>
      </c>
      <c r="C6" s="68">
        <f>B3</f>
        <v>42035</v>
      </c>
      <c r="D6" s="17"/>
      <c r="E6" s="17"/>
      <c r="F6" s="17"/>
      <c r="G6" s="17"/>
      <c r="H6" s="17"/>
    </row>
    <row r="7" spans="2:14" s="1" customFormat="1" ht="18" thickBot="1">
      <c r="B7" s="21"/>
      <c r="C7" s="21"/>
      <c r="D7" s="21"/>
      <c r="E7" s="21"/>
      <c r="F7" s="21"/>
      <c r="G7" s="21"/>
      <c r="H7" s="21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3" t="s">
        <v>44</v>
      </c>
      <c r="C10" s="14"/>
      <c r="D10" s="14"/>
      <c r="E10" s="14"/>
      <c r="F10" s="14"/>
      <c r="G10" s="14"/>
      <c r="H10" s="15" t="s">
        <v>13</v>
      </c>
    </row>
    <row r="11" spans="2:14" s="46" customFormat="1" ht="15.75" thickBot="1">
      <c r="B11" s="179" t="s">
        <v>18</v>
      </c>
      <c r="C11" s="179"/>
      <c r="D11" s="180"/>
      <c r="E11" s="73">
        <v>42003</v>
      </c>
      <c r="F11" s="73">
        <f>EDATE(E11,1)</f>
        <v>42034</v>
      </c>
      <c r="G11" s="45" t="s">
        <v>10</v>
      </c>
      <c r="H11" s="45" t="s">
        <v>11</v>
      </c>
      <c r="J11" s="77"/>
    </row>
    <row r="12" spans="2:14" s="76" customFormat="1" ht="17.25">
      <c r="B12" s="181" t="s">
        <v>0</v>
      </c>
      <c r="C12" s="181"/>
      <c r="D12" s="182"/>
      <c r="E12" s="84">
        <v>1129475</v>
      </c>
      <c r="F12" s="84">
        <v>1201812</v>
      </c>
      <c r="G12" s="11">
        <f>F12-E12</f>
        <v>72337</v>
      </c>
      <c r="H12" s="59">
        <f t="shared" ref="H12:H18" si="0">F12/E12-1</f>
        <v>6.4044799575023736E-2</v>
      </c>
      <c r="I12" s="85"/>
      <c r="J12" s="86"/>
    </row>
    <row r="13" spans="2:14" s="76" customFormat="1" ht="17.25">
      <c r="B13" s="177" t="s">
        <v>1</v>
      </c>
      <c r="C13" s="177"/>
      <c r="D13" s="178"/>
      <c r="E13" s="84">
        <v>36085</v>
      </c>
      <c r="F13" s="84">
        <v>35032</v>
      </c>
      <c r="G13" s="11">
        <f t="shared" ref="G13:G18" si="1">F13-E13</f>
        <v>-1053</v>
      </c>
      <c r="H13" s="59">
        <f t="shared" si="0"/>
        <v>-2.9181100180130204E-2</v>
      </c>
      <c r="I13" s="85"/>
      <c r="J13" s="86"/>
    </row>
    <row r="14" spans="2:14" s="76" customFormat="1" ht="17.25">
      <c r="B14" s="177" t="s">
        <v>2</v>
      </c>
      <c r="C14" s="177"/>
      <c r="D14" s="178"/>
      <c r="E14" s="84">
        <v>12793</v>
      </c>
      <c r="F14" s="84">
        <v>13040</v>
      </c>
      <c r="G14" s="11">
        <f t="shared" si="1"/>
        <v>247</v>
      </c>
      <c r="H14" s="59">
        <f t="shared" si="0"/>
        <v>1.9307433752833614E-2</v>
      </c>
      <c r="I14" s="85"/>
      <c r="J14" s="86"/>
    </row>
    <row r="15" spans="2:14" s="76" customFormat="1" ht="17.25">
      <c r="B15" s="162" t="s">
        <v>23</v>
      </c>
      <c r="C15" s="162"/>
      <c r="D15" s="163"/>
      <c r="E15" s="84">
        <v>3190</v>
      </c>
      <c r="F15" s="84">
        <v>3250</v>
      </c>
      <c r="G15" s="11">
        <f t="shared" si="1"/>
        <v>60</v>
      </c>
      <c r="H15" s="59">
        <f t="shared" si="0"/>
        <v>1.8808777429467183E-2</v>
      </c>
      <c r="I15" s="85"/>
      <c r="J15" s="86"/>
    </row>
    <row r="16" spans="2:14" s="76" customFormat="1" ht="17.25">
      <c r="B16" s="164" t="s">
        <v>24</v>
      </c>
      <c r="C16" s="164"/>
      <c r="D16" s="165"/>
      <c r="E16" s="84">
        <v>9603</v>
      </c>
      <c r="F16" s="84">
        <v>9790</v>
      </c>
      <c r="G16" s="11">
        <f t="shared" si="1"/>
        <v>187</v>
      </c>
      <c r="H16" s="59">
        <f t="shared" si="0"/>
        <v>1.9473081328751363E-2</v>
      </c>
      <c r="I16" s="85"/>
      <c r="J16" s="86"/>
    </row>
    <row r="17" spans="2:10" s="76" customFormat="1" ht="18" customHeight="1" thickBot="1">
      <c r="B17" s="175" t="s">
        <v>3</v>
      </c>
      <c r="C17" s="175"/>
      <c r="D17" s="176"/>
      <c r="E17" s="84">
        <v>13081</v>
      </c>
      <c r="F17" s="84">
        <v>13022</v>
      </c>
      <c r="G17" s="11">
        <f t="shared" si="1"/>
        <v>-59</v>
      </c>
      <c r="H17" s="59">
        <f t="shared" si="0"/>
        <v>-4.5103585352801456E-3</v>
      </c>
      <c r="I17" s="85"/>
      <c r="J17" s="86"/>
    </row>
    <row r="18" spans="2:10" s="70" customFormat="1" ht="18" thickBot="1">
      <c r="B18" s="60" t="s">
        <v>4</v>
      </c>
      <c r="C18" s="60"/>
      <c r="D18" s="61"/>
      <c r="E18" s="72">
        <v>1191434</v>
      </c>
      <c r="F18" s="72">
        <v>1262906</v>
      </c>
      <c r="G18" s="72">
        <f t="shared" si="1"/>
        <v>71472</v>
      </c>
      <c r="H18" s="69">
        <f t="shared" si="0"/>
        <v>5.998821588103076E-2</v>
      </c>
      <c r="I18" s="85"/>
      <c r="J18" s="86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3" t="s">
        <v>45</v>
      </c>
      <c r="C21" s="14"/>
      <c r="D21" s="14"/>
      <c r="E21" s="14"/>
      <c r="F21" s="14"/>
      <c r="G21" s="14"/>
      <c r="H21" s="15" t="s">
        <v>12</v>
      </c>
    </row>
    <row r="22" spans="2:10" s="76" customFormat="1" ht="15.75" thickBot="1">
      <c r="B22" s="179" t="s">
        <v>18</v>
      </c>
      <c r="C22" s="179"/>
      <c r="D22" s="180"/>
      <c r="E22" s="73">
        <f>E11</f>
        <v>42003</v>
      </c>
      <c r="F22" s="73">
        <f>F11</f>
        <v>42034</v>
      </c>
      <c r="G22" s="45" t="s">
        <v>10</v>
      </c>
      <c r="H22" s="45" t="s">
        <v>11</v>
      </c>
      <c r="J22" s="77"/>
    </row>
    <row r="23" spans="2:10" s="76" customFormat="1" ht="17.25">
      <c r="B23" s="181" t="s">
        <v>0</v>
      </c>
      <c r="C23" s="181"/>
      <c r="D23" s="182"/>
      <c r="E23" s="84">
        <v>944559</v>
      </c>
      <c r="F23" s="84">
        <v>950502</v>
      </c>
      <c r="G23" s="11">
        <f>F23-E23</f>
        <v>5943</v>
      </c>
      <c r="H23" s="59">
        <f>F23/E23-1</f>
        <v>6.2918250739234516E-3</v>
      </c>
      <c r="I23" s="86"/>
    </row>
    <row r="24" spans="2:10" s="76" customFormat="1" ht="17.25">
      <c r="B24" s="177" t="s">
        <v>1</v>
      </c>
      <c r="C24" s="177"/>
      <c r="D24" s="178"/>
      <c r="E24" s="84">
        <v>20178</v>
      </c>
      <c r="F24" s="84">
        <v>20249</v>
      </c>
      <c r="G24" s="11">
        <f t="shared" ref="G24:G29" si="2">F24-E24</f>
        <v>71</v>
      </c>
      <c r="H24" s="59">
        <f t="shared" ref="H24:H29" si="3">F24/E24-1</f>
        <v>3.5186837149370209E-3</v>
      </c>
      <c r="I24" s="86"/>
    </row>
    <row r="25" spans="2:10" s="76" customFormat="1" ht="17.25">
      <c r="B25" s="177" t="s">
        <v>2</v>
      </c>
      <c r="C25" s="177"/>
      <c r="D25" s="178"/>
      <c r="E25" s="84">
        <v>7486</v>
      </c>
      <c r="F25" s="84">
        <v>7537</v>
      </c>
      <c r="G25" s="11">
        <f t="shared" si="2"/>
        <v>51</v>
      </c>
      <c r="H25" s="59">
        <f t="shared" si="3"/>
        <v>6.8127170718674801E-3</v>
      </c>
      <c r="I25" s="86"/>
    </row>
    <row r="26" spans="2:10" s="76" customFormat="1" ht="17.25">
      <c r="B26" s="162" t="s">
        <v>23</v>
      </c>
      <c r="C26" s="162"/>
      <c r="D26" s="163"/>
      <c r="E26" s="84">
        <v>3113</v>
      </c>
      <c r="F26" s="84">
        <v>3174</v>
      </c>
      <c r="G26" s="11">
        <f t="shared" si="2"/>
        <v>61</v>
      </c>
      <c r="H26" s="59">
        <f t="shared" si="3"/>
        <v>1.9595245743655676E-2</v>
      </c>
      <c r="I26" s="86"/>
    </row>
    <row r="27" spans="2:10" s="76" customFormat="1" ht="17.25">
      <c r="B27" s="164" t="s">
        <v>24</v>
      </c>
      <c r="C27" s="164"/>
      <c r="D27" s="165"/>
      <c r="E27" s="84">
        <v>4373</v>
      </c>
      <c r="F27" s="84">
        <v>4363</v>
      </c>
      <c r="G27" s="11">
        <f t="shared" si="2"/>
        <v>-10</v>
      </c>
      <c r="H27" s="59">
        <f t="shared" si="3"/>
        <v>-2.2867596615595565E-3</v>
      </c>
      <c r="I27" s="86"/>
    </row>
    <row r="28" spans="2:10" s="76" customFormat="1" ht="18" thickBot="1">
      <c r="B28" s="175" t="s">
        <v>3</v>
      </c>
      <c r="C28" s="175"/>
      <c r="D28" s="176"/>
      <c r="E28" s="84">
        <v>5142</v>
      </c>
      <c r="F28" s="84">
        <v>5091</v>
      </c>
      <c r="G28" s="11">
        <f t="shared" si="2"/>
        <v>-51</v>
      </c>
      <c r="H28" s="59">
        <f t="shared" si="3"/>
        <v>-9.9183197199532724E-3</v>
      </c>
      <c r="I28" s="86"/>
    </row>
    <row r="29" spans="2:10" s="70" customFormat="1" ht="18" thickBot="1">
      <c r="B29" s="60" t="s">
        <v>4</v>
      </c>
      <c r="C29" s="60"/>
      <c r="D29" s="61"/>
      <c r="E29" s="72">
        <v>977365</v>
      </c>
      <c r="F29" s="72">
        <v>983379</v>
      </c>
      <c r="G29" s="72">
        <f t="shared" si="2"/>
        <v>6014</v>
      </c>
      <c r="H29" s="69">
        <f t="shared" si="3"/>
        <v>6.1532794810537084E-3</v>
      </c>
      <c r="I29" s="86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3" t="s">
        <v>16</v>
      </c>
      <c r="C32" s="14"/>
      <c r="D32" s="14"/>
      <c r="E32" s="14"/>
      <c r="F32" s="14"/>
      <c r="G32" s="14"/>
      <c r="H32" s="15" t="s">
        <v>14</v>
      </c>
    </row>
    <row r="33" spans="2:9" ht="15.75" thickBot="1">
      <c r="B33" s="145" t="s">
        <v>18</v>
      </c>
      <c r="C33" s="145"/>
      <c r="D33" s="146"/>
      <c r="E33" s="73">
        <f>E11</f>
        <v>42003</v>
      </c>
      <c r="F33" s="73">
        <f>F11</f>
        <v>42034</v>
      </c>
      <c r="G33" s="16" t="s">
        <v>10</v>
      </c>
      <c r="H33" s="16" t="s">
        <v>11</v>
      </c>
    </row>
    <row r="34" spans="2:9" ht="17.25">
      <c r="B34" s="160" t="s">
        <v>0</v>
      </c>
      <c r="C34" s="160"/>
      <c r="D34" s="161"/>
      <c r="E34" s="78">
        <v>78587</v>
      </c>
      <c r="F34" s="78">
        <v>67642</v>
      </c>
      <c r="G34" s="11">
        <f t="shared" ref="G34:G40" si="4">F34-E34</f>
        <v>-10945</v>
      </c>
      <c r="H34" s="59">
        <f t="shared" ref="H34:H40" si="5">F34/E34-1</f>
        <v>-0.13927239874279462</v>
      </c>
      <c r="I34" s="58"/>
    </row>
    <row r="35" spans="2:9" ht="17.25">
      <c r="B35" s="136" t="s">
        <v>1</v>
      </c>
      <c r="C35" s="136"/>
      <c r="D35" s="137"/>
      <c r="E35" s="78">
        <v>1441</v>
      </c>
      <c r="F35" s="78">
        <v>990</v>
      </c>
      <c r="G35" s="11">
        <f t="shared" si="4"/>
        <v>-451</v>
      </c>
      <c r="H35" s="59">
        <f t="shared" si="5"/>
        <v>-0.31297709923664119</v>
      </c>
      <c r="I35" s="58"/>
    </row>
    <row r="36" spans="2:9" ht="17.25">
      <c r="B36" s="136" t="s">
        <v>2</v>
      </c>
      <c r="C36" s="136"/>
      <c r="D36" s="137"/>
      <c r="E36" s="78">
        <v>668</v>
      </c>
      <c r="F36" s="78">
        <v>534</v>
      </c>
      <c r="G36" s="11">
        <f t="shared" si="4"/>
        <v>-134</v>
      </c>
      <c r="H36" s="59">
        <f t="shared" si="5"/>
        <v>-0.20059880239520955</v>
      </c>
      <c r="I36" s="58"/>
    </row>
    <row r="37" spans="2:9" ht="17.25">
      <c r="B37" s="162" t="s">
        <v>23</v>
      </c>
      <c r="C37" s="162"/>
      <c r="D37" s="163"/>
      <c r="E37" s="78">
        <v>268</v>
      </c>
      <c r="F37" s="78">
        <v>212</v>
      </c>
      <c r="G37" s="11">
        <f t="shared" si="4"/>
        <v>-56</v>
      </c>
      <c r="H37" s="59">
        <f t="shared" si="5"/>
        <v>-0.20895522388059706</v>
      </c>
      <c r="I37" s="58"/>
    </row>
    <row r="38" spans="2:9" ht="17.25">
      <c r="B38" s="164" t="s">
        <v>24</v>
      </c>
      <c r="C38" s="164"/>
      <c r="D38" s="165"/>
      <c r="E38" s="78">
        <v>400</v>
      </c>
      <c r="F38" s="78">
        <v>322</v>
      </c>
      <c r="G38" s="11">
        <f t="shared" si="4"/>
        <v>-78</v>
      </c>
      <c r="H38" s="59">
        <f t="shared" si="5"/>
        <v>-0.19499999999999995</v>
      </c>
      <c r="I38" s="58"/>
    </row>
    <row r="39" spans="2:9" ht="18" thickBot="1">
      <c r="B39" s="166" t="s">
        <v>3</v>
      </c>
      <c r="C39" s="166"/>
      <c r="D39" s="167"/>
      <c r="E39" s="78">
        <v>624</v>
      </c>
      <c r="F39" s="78">
        <v>595</v>
      </c>
      <c r="G39" s="11">
        <f t="shared" si="4"/>
        <v>-29</v>
      </c>
      <c r="H39" s="59">
        <f t="shared" si="5"/>
        <v>-4.647435897435892E-2</v>
      </c>
      <c r="I39" s="58"/>
    </row>
    <row r="40" spans="2:9" s="70" customFormat="1" ht="18" thickBot="1">
      <c r="B40" s="60" t="s">
        <v>4</v>
      </c>
      <c r="C40" s="60"/>
      <c r="D40" s="61"/>
      <c r="E40" s="72">
        <v>81320</v>
      </c>
      <c r="F40" s="72">
        <v>69761</v>
      </c>
      <c r="G40" s="72">
        <f t="shared" si="4"/>
        <v>-11559</v>
      </c>
      <c r="H40" s="69">
        <f t="shared" si="5"/>
        <v>-0.14214215445154943</v>
      </c>
      <c r="I40" s="58"/>
    </row>
    <row r="41" spans="2:9" ht="15">
      <c r="B41" s="6"/>
      <c r="C41" s="6"/>
      <c r="D41" s="6"/>
      <c r="E41" s="42"/>
      <c r="F41" s="42"/>
      <c r="G41" s="43"/>
      <c r="H41" s="44"/>
    </row>
    <row r="42" spans="2:9" ht="15">
      <c r="B42" s="10"/>
      <c r="C42" s="2"/>
      <c r="D42" s="2"/>
      <c r="E42" s="2"/>
      <c r="F42" s="2"/>
      <c r="G42" s="2"/>
    </row>
    <row r="43" spans="2:9" ht="17.25">
      <c r="B43" s="19"/>
      <c r="C43" s="19"/>
      <c r="D43" s="19"/>
      <c r="E43" s="19"/>
      <c r="F43" s="19"/>
      <c r="G43" s="19"/>
      <c r="H43" s="19"/>
    </row>
    <row r="44" spans="2:9" ht="17.25">
      <c r="B44" s="20" t="s">
        <v>17</v>
      </c>
      <c r="C44" s="19"/>
      <c r="D44" s="19"/>
      <c r="E44" s="19"/>
      <c r="F44" s="19"/>
      <c r="G44" s="19"/>
      <c r="H44" s="19"/>
    </row>
    <row r="45" spans="2:9" ht="18" thickBot="1">
      <c r="B45" s="22"/>
      <c r="C45" s="22"/>
      <c r="D45" s="22"/>
      <c r="E45" s="22"/>
      <c r="F45" s="22"/>
      <c r="G45" s="22"/>
      <c r="H45" s="22"/>
    </row>
    <row r="47" spans="2:9">
      <c r="F47" s="5"/>
    </row>
    <row r="48" spans="2:9" ht="18" thickBot="1">
      <c r="B48" s="12" t="s">
        <v>46</v>
      </c>
      <c r="C48" s="23"/>
      <c r="D48" s="23"/>
      <c r="E48" s="23"/>
      <c r="F48" s="23"/>
      <c r="G48" s="23"/>
      <c r="H48" s="168" t="s">
        <v>13</v>
      </c>
      <c r="I48" s="168"/>
    </row>
    <row r="49" spans="2:9" ht="15.75" thickBot="1">
      <c r="B49" s="145" t="s">
        <v>18</v>
      </c>
      <c r="C49" s="145"/>
      <c r="D49" s="146"/>
      <c r="E49" s="73">
        <v>40543</v>
      </c>
      <c r="F49" s="73">
        <v>40908</v>
      </c>
      <c r="G49" s="73">
        <v>41274</v>
      </c>
      <c r="H49" s="73">
        <v>41639</v>
      </c>
      <c r="I49" s="73">
        <v>42004</v>
      </c>
    </row>
    <row r="50" spans="2:9" ht="17.25">
      <c r="B50" s="169" t="s">
        <v>0</v>
      </c>
      <c r="C50" s="169"/>
      <c r="D50" s="170"/>
      <c r="E50" s="80">
        <v>714295</v>
      </c>
      <c r="F50" s="80">
        <v>772175</v>
      </c>
      <c r="G50" s="80">
        <v>805549</v>
      </c>
      <c r="H50" s="80">
        <v>881844</v>
      </c>
      <c r="I50" s="80">
        <v>944559</v>
      </c>
    </row>
    <row r="51" spans="2:9" ht="17.25">
      <c r="B51" s="171" t="s">
        <v>1</v>
      </c>
      <c r="C51" s="171"/>
      <c r="D51" s="172"/>
      <c r="E51" s="81">
        <v>17170</v>
      </c>
      <c r="F51" s="81">
        <v>16850</v>
      </c>
      <c r="G51" s="81">
        <v>17821</v>
      </c>
      <c r="H51" s="81">
        <v>19539</v>
      </c>
      <c r="I51" s="81">
        <v>20178</v>
      </c>
    </row>
    <row r="52" spans="2:9" ht="17.25">
      <c r="B52" s="173" t="s">
        <v>2</v>
      </c>
      <c r="C52" s="173"/>
      <c r="D52" s="174"/>
      <c r="E52" s="83">
        <v>4295</v>
      </c>
      <c r="F52" s="83">
        <v>5058</v>
      </c>
      <c r="G52" s="83">
        <v>5876</v>
      </c>
      <c r="H52" s="83">
        <v>6957</v>
      </c>
      <c r="I52" s="83">
        <v>7486</v>
      </c>
    </row>
    <row r="53" spans="2:9" ht="18" thickBot="1">
      <c r="B53" s="158" t="s">
        <v>3</v>
      </c>
      <c r="C53" s="158"/>
      <c r="D53" s="159"/>
      <c r="E53" s="79">
        <v>5348</v>
      </c>
      <c r="F53" s="79">
        <v>5242</v>
      </c>
      <c r="G53" s="79">
        <v>5261</v>
      </c>
      <c r="H53" s="79">
        <v>5182</v>
      </c>
      <c r="I53" s="79">
        <v>5142</v>
      </c>
    </row>
    <row r="54" spans="2:9" s="71" customFormat="1" ht="18" thickBot="1">
      <c r="B54" s="147" t="s">
        <v>4</v>
      </c>
      <c r="C54" s="147"/>
      <c r="D54" s="148"/>
      <c r="E54" s="82">
        <v>741108</v>
      </c>
      <c r="F54" s="82">
        <v>799325</v>
      </c>
      <c r="G54" s="82">
        <v>834507</v>
      </c>
      <c r="H54" s="82">
        <v>913522</v>
      </c>
      <c r="I54" s="82">
        <v>977365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2" t="s">
        <v>47</v>
      </c>
      <c r="C82" s="23"/>
      <c r="D82" s="23"/>
      <c r="E82" s="23"/>
      <c r="F82" s="23"/>
      <c r="G82" s="23"/>
      <c r="H82" s="24" t="s">
        <v>12</v>
      </c>
      <c r="I82"/>
      <c r="J82"/>
      <c r="K82"/>
    </row>
    <row r="83" spans="2:11" ht="15.75" thickBot="1">
      <c r="B83" s="32" t="s">
        <v>18</v>
      </c>
      <c r="C83" s="73">
        <f>EDATE(D83,-1)</f>
        <v>41881</v>
      </c>
      <c r="D83" s="73">
        <f>EDATE(E83,-1)</f>
        <v>41912</v>
      </c>
      <c r="E83" s="73">
        <f>EDATE(F83,-1)</f>
        <v>41942</v>
      </c>
      <c r="F83" s="73">
        <f>EDATE(G83,-1)</f>
        <v>41973</v>
      </c>
      <c r="G83" s="73">
        <f>EDATE(H83,-1)</f>
        <v>42003</v>
      </c>
      <c r="H83" s="73">
        <f>EDATE(E11,1)</f>
        <v>42034</v>
      </c>
      <c r="I83"/>
      <c r="J83"/>
    </row>
    <row r="84" spans="2:11" ht="16.5" customHeight="1">
      <c r="B84" s="25" t="s">
        <v>0</v>
      </c>
      <c r="C84" s="63">
        <v>915943</v>
      </c>
      <c r="D84" s="80">
        <v>912627</v>
      </c>
      <c r="E84" s="80">
        <v>916147</v>
      </c>
      <c r="F84" s="80">
        <v>921438</v>
      </c>
      <c r="G84" s="80">
        <v>944559</v>
      </c>
      <c r="H84" s="80">
        <v>950502</v>
      </c>
    </row>
    <row r="85" spans="2:11" ht="16.5" customHeight="1">
      <c r="B85" s="26" t="s">
        <v>1</v>
      </c>
      <c r="C85" s="64">
        <v>19872</v>
      </c>
      <c r="D85" s="81">
        <v>19829</v>
      </c>
      <c r="E85" s="81">
        <v>19927</v>
      </c>
      <c r="F85" s="81">
        <v>19975</v>
      </c>
      <c r="G85" s="81">
        <v>20178</v>
      </c>
      <c r="H85" s="81">
        <v>20249</v>
      </c>
    </row>
    <row r="86" spans="2:11" ht="16.5" customHeight="1">
      <c r="B86" s="27" t="s">
        <v>2</v>
      </c>
      <c r="C86" s="65">
        <v>7273</v>
      </c>
      <c r="D86" s="83">
        <v>7332</v>
      </c>
      <c r="E86" s="83">
        <v>7352</v>
      </c>
      <c r="F86" s="83">
        <v>7368</v>
      </c>
      <c r="G86" s="83">
        <v>7486</v>
      </c>
      <c r="H86" s="83">
        <v>7537</v>
      </c>
    </row>
    <row r="87" spans="2:11" ht="16.5" customHeight="1" thickBot="1">
      <c r="B87" s="28" t="s">
        <v>3</v>
      </c>
      <c r="C87" s="66">
        <v>5173</v>
      </c>
      <c r="D87" s="79">
        <v>5174</v>
      </c>
      <c r="E87" s="79">
        <v>5159</v>
      </c>
      <c r="F87" s="79">
        <v>5145</v>
      </c>
      <c r="G87" s="79">
        <v>5142</v>
      </c>
      <c r="H87" s="79">
        <v>5091</v>
      </c>
    </row>
    <row r="88" spans="2:11" s="71" customFormat="1" ht="18" thickBot="1">
      <c r="B88" s="91" t="s">
        <v>4</v>
      </c>
      <c r="C88" s="67">
        <v>948261</v>
      </c>
      <c r="D88" s="82">
        <v>944962</v>
      </c>
      <c r="E88" s="82">
        <v>948585</v>
      </c>
      <c r="F88" s="82">
        <v>953926</v>
      </c>
      <c r="G88" s="82">
        <v>977365</v>
      </c>
      <c r="H88" s="82">
        <v>983379</v>
      </c>
      <c r="I88" s="58"/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29"/>
      <c r="C123" s="29"/>
      <c r="D123" s="29"/>
      <c r="E123" s="29"/>
      <c r="F123" s="29"/>
      <c r="G123" s="29"/>
      <c r="H123" s="29"/>
    </row>
    <row r="124" spans="2:8" ht="17.25">
      <c r="B124" s="30" t="s">
        <v>25</v>
      </c>
      <c r="C124" s="92">
        <f>B3</f>
        <v>42035</v>
      </c>
      <c r="D124" s="29"/>
      <c r="E124" s="29"/>
      <c r="F124" s="29"/>
      <c r="G124" s="29"/>
      <c r="H124" s="29"/>
    </row>
    <row r="125" spans="2:8" ht="18" thickBot="1">
      <c r="B125" s="31"/>
      <c r="C125" s="31"/>
      <c r="D125" s="31"/>
      <c r="E125" s="31"/>
      <c r="F125" s="31"/>
      <c r="G125" s="31"/>
      <c r="H125" s="31"/>
    </row>
    <row r="127" spans="2:8" ht="18" thickBot="1">
      <c r="B127" s="62"/>
      <c r="C127" s="74"/>
      <c r="D127" s="36"/>
      <c r="E127" s="36"/>
      <c r="F127" s="36"/>
      <c r="G127" s="36"/>
      <c r="H127" s="37" t="s">
        <v>13</v>
      </c>
    </row>
    <row r="128" spans="2:8" ht="30.75" customHeight="1" thickBot="1">
      <c r="B128" s="146" t="s">
        <v>26</v>
      </c>
      <c r="C128" s="149"/>
      <c r="D128" s="149"/>
      <c r="E128" s="149"/>
      <c r="F128" s="149"/>
      <c r="G128" s="150" t="s">
        <v>5</v>
      </c>
      <c r="H128" s="151"/>
    </row>
    <row r="129" spans="2:10" ht="18" customHeight="1" thickBot="1">
      <c r="B129" s="133" t="s">
        <v>22</v>
      </c>
      <c r="C129" s="152"/>
      <c r="D129" s="152"/>
      <c r="E129" s="152"/>
      <c r="F129" s="152"/>
      <c r="G129" s="153">
        <v>402</v>
      </c>
      <c r="H129" s="154"/>
    </row>
    <row r="132" spans="2:10" ht="17.25">
      <c r="B132" s="33"/>
      <c r="C132" s="33"/>
      <c r="D132" s="33"/>
      <c r="E132" s="33"/>
      <c r="F132" s="33"/>
      <c r="G132" s="33"/>
      <c r="H132" s="33"/>
    </row>
    <row r="133" spans="2:10" ht="17.25">
      <c r="B133" s="34" t="s">
        <v>21</v>
      </c>
      <c r="C133" s="33"/>
      <c r="D133" s="33"/>
      <c r="E133" s="34"/>
      <c r="F133" s="97">
        <f>C6</f>
        <v>42035</v>
      </c>
      <c r="G133" s="33"/>
      <c r="H133" s="33"/>
    </row>
    <row r="134" spans="2:10" ht="18" thickBot="1">
      <c r="B134" s="35"/>
      <c r="C134" s="35"/>
      <c r="D134" s="35"/>
      <c r="E134" s="35"/>
      <c r="F134" s="35"/>
      <c r="G134" s="35"/>
      <c r="H134" s="35"/>
    </row>
    <row r="136" spans="2:10" ht="17.25">
      <c r="B136" s="87" t="s">
        <v>27</v>
      </c>
      <c r="C136" s="38"/>
      <c r="D136" s="38"/>
      <c r="E136" s="38"/>
      <c r="F136" s="38"/>
      <c r="G136" s="38"/>
      <c r="H136" s="39" t="s">
        <v>13</v>
      </c>
    </row>
    <row r="137" spans="2:10" ht="18" thickBot="1">
      <c r="B137" s="88" t="s">
        <v>28</v>
      </c>
      <c r="C137" s="38"/>
      <c r="D137" s="38"/>
      <c r="E137" s="38"/>
      <c r="F137" s="38"/>
      <c r="G137" s="38"/>
      <c r="H137" s="39"/>
    </row>
    <row r="138" spans="2:10" ht="15.75" customHeight="1" thickBot="1">
      <c r="B138" s="155" t="s">
        <v>19</v>
      </c>
      <c r="C138" s="155"/>
      <c r="D138" s="155"/>
      <c r="E138" s="155"/>
      <c r="F138" s="156"/>
      <c r="G138" s="157" t="s">
        <v>6</v>
      </c>
      <c r="H138" s="144"/>
      <c r="I138"/>
    </row>
    <row r="139" spans="2:10" ht="17.25" customHeight="1">
      <c r="B139" s="140" t="s">
        <v>31</v>
      </c>
      <c r="C139" s="140" t="s">
        <v>31</v>
      </c>
      <c r="D139" s="140" t="s">
        <v>31</v>
      </c>
      <c r="E139" s="140" t="s">
        <v>31</v>
      </c>
      <c r="F139" s="141" t="s">
        <v>31</v>
      </c>
      <c r="G139" s="142">
        <v>214048</v>
      </c>
      <c r="H139" s="143">
        <v>214048</v>
      </c>
      <c r="I139" s="47"/>
      <c r="J139" s="50"/>
    </row>
    <row r="140" spans="2:10" ht="13.5" customHeight="1">
      <c r="B140" s="136" t="s">
        <v>32</v>
      </c>
      <c r="C140" s="136" t="s">
        <v>32</v>
      </c>
      <c r="D140" s="136" t="s">
        <v>32</v>
      </c>
      <c r="E140" s="136" t="s">
        <v>32</v>
      </c>
      <c r="F140" s="137" t="s">
        <v>32</v>
      </c>
      <c r="G140" s="138">
        <v>179617</v>
      </c>
      <c r="H140" s="139">
        <v>179617</v>
      </c>
      <c r="I140" s="47"/>
      <c r="J140" s="50"/>
    </row>
    <row r="141" spans="2:10" ht="17.25" customHeight="1">
      <c r="B141" s="136" t="s">
        <v>33</v>
      </c>
      <c r="C141" s="136" t="s">
        <v>33</v>
      </c>
      <c r="D141" s="136" t="s">
        <v>33</v>
      </c>
      <c r="E141" s="136" t="s">
        <v>33</v>
      </c>
      <c r="F141" s="137" t="s">
        <v>33</v>
      </c>
      <c r="G141" s="138">
        <v>125994</v>
      </c>
      <c r="H141" s="139">
        <v>125994</v>
      </c>
      <c r="I141" s="47"/>
      <c r="J141" s="50"/>
    </row>
    <row r="142" spans="2:10" ht="17.25" customHeight="1">
      <c r="B142" s="136" t="s">
        <v>34</v>
      </c>
      <c r="C142" s="136" t="s">
        <v>34</v>
      </c>
      <c r="D142" s="136" t="s">
        <v>34</v>
      </c>
      <c r="E142" s="136" t="s">
        <v>34</v>
      </c>
      <c r="F142" s="137" t="s">
        <v>34</v>
      </c>
      <c r="G142" s="138">
        <v>122950</v>
      </c>
      <c r="H142" s="139">
        <v>122950</v>
      </c>
      <c r="I142" s="47"/>
      <c r="J142" s="50"/>
    </row>
    <row r="143" spans="2:10" ht="17.25" customHeight="1">
      <c r="B143" s="136" t="s">
        <v>35</v>
      </c>
      <c r="C143" s="136" t="s">
        <v>35</v>
      </c>
      <c r="D143" s="136" t="s">
        <v>35</v>
      </c>
      <c r="E143" s="136" t="s">
        <v>35</v>
      </c>
      <c r="F143" s="137" t="s">
        <v>35</v>
      </c>
      <c r="G143" s="138">
        <v>62151</v>
      </c>
      <c r="H143" s="139">
        <v>62151</v>
      </c>
      <c r="I143" s="47"/>
      <c r="J143" s="50"/>
    </row>
    <row r="144" spans="2:10" ht="13.5" customHeight="1">
      <c r="B144" s="136" t="s">
        <v>50</v>
      </c>
      <c r="C144" s="136" t="s">
        <v>50</v>
      </c>
      <c r="D144" s="136" t="s">
        <v>50</v>
      </c>
      <c r="E144" s="136" t="s">
        <v>50</v>
      </c>
      <c r="F144" s="137" t="s">
        <v>50</v>
      </c>
      <c r="G144" s="138">
        <v>52879</v>
      </c>
      <c r="H144" s="139">
        <v>52879</v>
      </c>
      <c r="I144" s="51"/>
      <c r="J144" s="50"/>
    </row>
    <row r="145" spans="2:13" ht="17.25" customHeight="1">
      <c r="B145" s="136" t="s">
        <v>36</v>
      </c>
      <c r="C145" s="136" t="s">
        <v>36</v>
      </c>
      <c r="D145" s="136" t="s">
        <v>36</v>
      </c>
      <c r="E145" s="136" t="s">
        <v>36</v>
      </c>
      <c r="F145" s="137" t="s">
        <v>36</v>
      </c>
      <c r="G145" s="138">
        <v>45956</v>
      </c>
      <c r="H145" s="139">
        <v>45956</v>
      </c>
      <c r="I145" s="47"/>
      <c r="J145" s="50"/>
    </row>
    <row r="146" spans="2:13" ht="17.25" customHeight="1">
      <c r="B146" s="136" t="s">
        <v>37</v>
      </c>
      <c r="C146" s="136" t="s">
        <v>37</v>
      </c>
      <c r="D146" s="136" t="s">
        <v>37</v>
      </c>
      <c r="E146" s="136" t="s">
        <v>37</v>
      </c>
      <c r="F146" s="137" t="s">
        <v>37</v>
      </c>
      <c r="G146" s="138">
        <v>30949</v>
      </c>
      <c r="H146" s="139">
        <v>30949</v>
      </c>
      <c r="I146" s="47"/>
      <c r="J146" s="50"/>
    </row>
    <row r="147" spans="2:13" ht="17.25" customHeight="1">
      <c r="B147" s="136" t="s">
        <v>38</v>
      </c>
      <c r="C147" s="136" t="s">
        <v>38</v>
      </c>
      <c r="D147" s="136" t="s">
        <v>38</v>
      </c>
      <c r="E147" s="136" t="s">
        <v>38</v>
      </c>
      <c r="F147" s="137" t="s">
        <v>38</v>
      </c>
      <c r="G147" s="138">
        <v>21376</v>
      </c>
      <c r="H147" s="139">
        <v>21376</v>
      </c>
      <c r="I147" s="47"/>
      <c r="J147" s="50"/>
      <c r="L147"/>
    </row>
    <row r="148" spans="2:13" ht="18" customHeight="1" thickBot="1">
      <c r="B148" s="132" t="s">
        <v>39</v>
      </c>
      <c r="C148" s="132" t="s">
        <v>39</v>
      </c>
      <c r="D148" s="132" t="s">
        <v>39</v>
      </c>
      <c r="E148" s="132" t="s">
        <v>39</v>
      </c>
      <c r="F148" s="133" t="s">
        <v>39</v>
      </c>
      <c r="G148" s="134">
        <v>19742</v>
      </c>
      <c r="H148" s="135">
        <v>19742</v>
      </c>
      <c r="I148" s="47"/>
      <c r="J148" s="50"/>
      <c r="L148"/>
    </row>
    <row r="149" spans="2:13" ht="17.25">
      <c r="G149" s="41"/>
      <c r="H149" s="41"/>
      <c r="I149" s="52"/>
      <c r="J149" s="52"/>
    </row>
    <row r="150" spans="2:13" ht="17.25">
      <c r="B150" s="40"/>
      <c r="C150" s="40"/>
      <c r="D150" s="40"/>
      <c r="E150" s="40"/>
      <c r="F150" s="40"/>
      <c r="G150" s="41"/>
      <c r="H150" s="41"/>
      <c r="I150" s="52"/>
      <c r="J150" s="52"/>
    </row>
    <row r="151" spans="2:13" ht="17.25">
      <c r="B151" s="87" t="s">
        <v>7</v>
      </c>
      <c r="C151" s="38"/>
      <c r="D151" s="38"/>
      <c r="E151" s="38"/>
      <c r="F151" s="38"/>
      <c r="G151" s="38"/>
      <c r="H151" s="39" t="s">
        <v>12</v>
      </c>
      <c r="I151" s="52"/>
      <c r="J151" s="52"/>
    </row>
    <row r="152" spans="2:13" ht="18" thickBot="1">
      <c r="B152" s="88" t="s">
        <v>29</v>
      </c>
      <c r="C152" s="38"/>
      <c r="D152" s="38"/>
      <c r="E152" s="38"/>
      <c r="F152" s="38"/>
      <c r="G152" s="38"/>
      <c r="H152" s="39"/>
      <c r="I152" s="52"/>
      <c r="J152" s="52"/>
    </row>
    <row r="153" spans="2:13" ht="15.75" thickBot="1">
      <c r="B153" s="145" t="s">
        <v>19</v>
      </c>
      <c r="C153" s="145"/>
      <c r="D153" s="145"/>
      <c r="E153" s="145"/>
      <c r="F153" s="146"/>
      <c r="G153" s="144" t="s">
        <v>6</v>
      </c>
      <c r="H153" s="144"/>
      <c r="I153" s="52"/>
      <c r="J153" s="52"/>
      <c r="K153"/>
      <c r="L153"/>
      <c r="M153"/>
    </row>
    <row r="154" spans="2:13" ht="17.25" customHeight="1">
      <c r="B154" s="140" t="s">
        <v>32</v>
      </c>
      <c r="C154" s="140" t="s">
        <v>32</v>
      </c>
      <c r="D154" s="140" t="s">
        <v>32</v>
      </c>
      <c r="E154" s="140" t="s">
        <v>32</v>
      </c>
      <c r="F154" s="141" t="s">
        <v>32</v>
      </c>
      <c r="G154" s="142">
        <v>12438</v>
      </c>
      <c r="H154" s="143">
        <v>12438</v>
      </c>
      <c r="I154" s="53"/>
      <c r="J154" s="50"/>
      <c r="K154" s="49"/>
      <c r="L154"/>
      <c r="M154"/>
    </row>
    <row r="155" spans="2:13" ht="17.25" customHeight="1">
      <c r="B155" s="136" t="s">
        <v>33</v>
      </c>
      <c r="C155" s="136" t="s">
        <v>33</v>
      </c>
      <c r="D155" s="136" t="s">
        <v>33</v>
      </c>
      <c r="E155" s="136" t="s">
        <v>33</v>
      </c>
      <c r="F155" s="137" t="s">
        <v>33</v>
      </c>
      <c r="G155" s="138">
        <v>10343</v>
      </c>
      <c r="H155" s="139">
        <v>10343</v>
      </c>
      <c r="I155" s="53"/>
      <c r="J155" s="50"/>
      <c r="K155" s="49"/>
      <c r="L155"/>
      <c r="M155"/>
    </row>
    <row r="156" spans="2:13" ht="17.25" customHeight="1">
      <c r="B156" s="136" t="s">
        <v>34</v>
      </c>
      <c r="C156" s="136" t="s">
        <v>34</v>
      </c>
      <c r="D156" s="136" t="s">
        <v>34</v>
      </c>
      <c r="E156" s="136" t="s">
        <v>34</v>
      </c>
      <c r="F156" s="137" t="s">
        <v>34</v>
      </c>
      <c r="G156" s="138">
        <v>9720</v>
      </c>
      <c r="H156" s="139">
        <v>9720</v>
      </c>
      <c r="I156" s="53"/>
      <c r="J156" s="50"/>
      <c r="K156" s="49"/>
      <c r="L156"/>
      <c r="M156"/>
    </row>
    <row r="157" spans="2:13" ht="17.25">
      <c r="B157" s="136" t="s">
        <v>31</v>
      </c>
      <c r="C157" s="136" t="s">
        <v>31</v>
      </c>
      <c r="D157" s="136" t="s">
        <v>31</v>
      </c>
      <c r="E157" s="136" t="s">
        <v>31</v>
      </c>
      <c r="F157" s="137" t="s">
        <v>31</v>
      </c>
      <c r="G157" s="138">
        <v>8056</v>
      </c>
      <c r="H157" s="139">
        <v>8056</v>
      </c>
      <c r="I157" s="53"/>
      <c r="J157" s="50"/>
      <c r="K157" s="49"/>
      <c r="L157"/>
      <c r="M157"/>
    </row>
    <row r="158" spans="2:13" ht="17.25" customHeight="1">
      <c r="B158" s="136" t="s">
        <v>50</v>
      </c>
      <c r="C158" s="136" t="s">
        <v>50</v>
      </c>
      <c r="D158" s="136" t="s">
        <v>50</v>
      </c>
      <c r="E158" s="136" t="s">
        <v>50</v>
      </c>
      <c r="F158" s="137" t="s">
        <v>50</v>
      </c>
      <c r="G158" s="138">
        <v>6507</v>
      </c>
      <c r="H158" s="139">
        <v>6507</v>
      </c>
      <c r="I158" s="53"/>
      <c r="J158" s="50"/>
      <c r="K158" s="49"/>
      <c r="L158"/>
      <c r="M158"/>
    </row>
    <row r="159" spans="2:13" ht="17.25" customHeight="1">
      <c r="B159" s="136" t="s">
        <v>35</v>
      </c>
      <c r="C159" s="136" t="s">
        <v>35</v>
      </c>
      <c r="D159" s="136" t="s">
        <v>35</v>
      </c>
      <c r="E159" s="136" t="s">
        <v>35</v>
      </c>
      <c r="F159" s="137" t="s">
        <v>35</v>
      </c>
      <c r="G159" s="138">
        <v>4296</v>
      </c>
      <c r="H159" s="139">
        <v>4296</v>
      </c>
      <c r="I159" s="54"/>
      <c r="J159" s="50"/>
      <c r="K159" s="49"/>
      <c r="L159"/>
      <c r="M159"/>
    </row>
    <row r="160" spans="2:13" ht="17.25" customHeight="1">
      <c r="B160" s="136" t="s">
        <v>36</v>
      </c>
      <c r="C160" s="136" t="s">
        <v>36</v>
      </c>
      <c r="D160" s="136" t="s">
        <v>36</v>
      </c>
      <c r="E160" s="136" t="s">
        <v>36</v>
      </c>
      <c r="F160" s="137" t="s">
        <v>36</v>
      </c>
      <c r="G160" s="138">
        <v>2932</v>
      </c>
      <c r="H160" s="139">
        <v>2932</v>
      </c>
      <c r="I160" s="53"/>
      <c r="J160" s="50"/>
      <c r="K160" s="49"/>
      <c r="L160"/>
      <c r="M160"/>
    </row>
    <row r="161" spans="2:13" ht="17.25" customHeight="1">
      <c r="B161" s="136" t="s">
        <v>40</v>
      </c>
      <c r="C161" s="136" t="s">
        <v>40</v>
      </c>
      <c r="D161" s="136" t="s">
        <v>40</v>
      </c>
      <c r="E161" s="136" t="s">
        <v>40</v>
      </c>
      <c r="F161" s="137" t="s">
        <v>40</v>
      </c>
      <c r="G161" s="138">
        <v>2071</v>
      </c>
      <c r="H161" s="139">
        <v>2071</v>
      </c>
      <c r="I161" s="53"/>
      <c r="J161" s="50"/>
      <c r="K161" s="49"/>
      <c r="L161"/>
      <c r="M161"/>
    </row>
    <row r="162" spans="2:13" ht="17.25">
      <c r="B162" s="136" t="s">
        <v>37</v>
      </c>
      <c r="C162" s="136" t="s">
        <v>37</v>
      </c>
      <c r="D162" s="136" t="s">
        <v>37</v>
      </c>
      <c r="E162" s="136" t="s">
        <v>37</v>
      </c>
      <c r="F162" s="137" t="s">
        <v>37</v>
      </c>
      <c r="G162" s="138">
        <v>1390</v>
      </c>
      <c r="H162" s="139">
        <v>1390</v>
      </c>
      <c r="I162" s="53"/>
      <c r="J162" s="50"/>
      <c r="K162" s="49"/>
      <c r="L162"/>
      <c r="M162"/>
    </row>
    <row r="163" spans="2:13" ht="18" customHeight="1" thickBot="1">
      <c r="B163" s="132" t="s">
        <v>38</v>
      </c>
      <c r="C163" s="132" t="s">
        <v>38</v>
      </c>
      <c r="D163" s="132" t="s">
        <v>38</v>
      </c>
      <c r="E163" s="132" t="s">
        <v>38</v>
      </c>
      <c r="F163" s="133" t="s">
        <v>38</v>
      </c>
      <c r="G163" s="134">
        <v>1379</v>
      </c>
      <c r="H163" s="135">
        <v>1379</v>
      </c>
      <c r="I163" s="53"/>
      <c r="J163" s="50"/>
      <c r="K163" s="49"/>
      <c r="L163"/>
      <c r="M163"/>
    </row>
    <row r="164" spans="2:13" ht="17.25">
      <c r="B164" s="40"/>
      <c r="C164" s="40"/>
      <c r="D164" s="40"/>
      <c r="E164" s="40"/>
      <c r="F164" s="40"/>
      <c r="G164" s="93"/>
      <c r="H164" s="93"/>
      <c r="I164" s="52"/>
      <c r="J164" s="52"/>
      <c r="L164"/>
      <c r="M164"/>
    </row>
    <row r="165" spans="2:13" ht="17.25">
      <c r="G165" s="41"/>
      <c r="H165" s="41"/>
      <c r="I165" s="2"/>
      <c r="J165" s="2"/>
    </row>
    <row r="166" spans="2:13" ht="17.25">
      <c r="B166" s="87" t="s">
        <v>8</v>
      </c>
      <c r="C166" s="38"/>
      <c r="D166" s="38"/>
      <c r="E166" s="38"/>
      <c r="F166" s="38"/>
      <c r="G166" s="38"/>
      <c r="H166" s="39" t="s">
        <v>14</v>
      </c>
      <c r="I166" s="2"/>
      <c r="J166" s="52"/>
      <c r="K166"/>
    </row>
    <row r="167" spans="2:13" ht="18" thickBot="1">
      <c r="B167" s="88" t="s">
        <v>30</v>
      </c>
      <c r="C167" s="38"/>
      <c r="D167" s="38"/>
      <c r="E167" s="38"/>
      <c r="F167" s="38"/>
      <c r="G167" s="38"/>
      <c r="H167" s="39"/>
      <c r="I167" s="2"/>
      <c r="J167" s="52"/>
      <c r="K167"/>
    </row>
    <row r="168" spans="2:13" ht="15" customHeight="1" thickBot="1">
      <c r="B168" s="89" t="s">
        <v>19</v>
      </c>
      <c r="C168" s="89"/>
      <c r="D168" s="89"/>
      <c r="E168" s="89"/>
      <c r="F168" s="90"/>
      <c r="G168" s="144" t="s">
        <v>9</v>
      </c>
      <c r="H168" s="144"/>
      <c r="I168" s="2"/>
      <c r="J168" s="2"/>
    </row>
    <row r="169" spans="2:13" ht="17.25" customHeight="1">
      <c r="B169" s="140" t="s">
        <v>50</v>
      </c>
      <c r="C169" s="140" t="s">
        <v>50</v>
      </c>
      <c r="D169" s="140" t="s">
        <v>50</v>
      </c>
      <c r="E169" s="140" t="s">
        <v>50</v>
      </c>
      <c r="F169" s="141" t="s">
        <v>50</v>
      </c>
      <c r="G169" s="142">
        <v>770324591411.27295</v>
      </c>
      <c r="H169" s="143">
        <v>770324591411.27295</v>
      </c>
      <c r="I169" s="55"/>
      <c r="J169" s="56"/>
    </row>
    <row r="170" spans="2:13" ht="17.25" customHeight="1">
      <c r="B170" s="136" t="s">
        <v>34</v>
      </c>
      <c r="C170" s="136" t="s">
        <v>34</v>
      </c>
      <c r="D170" s="136" t="s">
        <v>34</v>
      </c>
      <c r="E170" s="136" t="s">
        <v>34</v>
      </c>
      <c r="F170" s="137" t="s">
        <v>34</v>
      </c>
      <c r="G170" s="138">
        <v>665610741682.104</v>
      </c>
      <c r="H170" s="139">
        <v>665610741682.104</v>
      </c>
      <c r="I170" s="55"/>
      <c r="J170" s="56"/>
    </row>
    <row r="171" spans="2:13" ht="17.25" customHeight="1">
      <c r="B171" s="136" t="s">
        <v>49</v>
      </c>
      <c r="C171" s="136" t="s">
        <v>49</v>
      </c>
      <c r="D171" s="136" t="s">
        <v>49</v>
      </c>
      <c r="E171" s="136" t="s">
        <v>49</v>
      </c>
      <c r="F171" s="137" t="s">
        <v>49</v>
      </c>
      <c r="G171" s="138">
        <v>570392462409.94604</v>
      </c>
      <c r="H171" s="139">
        <v>570392462409.94604</v>
      </c>
      <c r="I171" s="55"/>
      <c r="J171" s="56"/>
    </row>
    <row r="172" spans="2:13" ht="17.25" customHeight="1">
      <c r="B172" s="136" t="s">
        <v>32</v>
      </c>
      <c r="C172" s="136" t="s">
        <v>32</v>
      </c>
      <c r="D172" s="136" t="s">
        <v>32</v>
      </c>
      <c r="E172" s="136" t="s">
        <v>32</v>
      </c>
      <c r="F172" s="137" t="s">
        <v>32</v>
      </c>
      <c r="G172" s="138">
        <v>462809860309.87701</v>
      </c>
      <c r="H172" s="139">
        <v>462809860309.87701</v>
      </c>
      <c r="I172" s="55"/>
      <c r="J172" s="56"/>
    </row>
    <row r="173" spans="2:13" ht="17.25" customHeight="1">
      <c r="B173" s="136" t="s">
        <v>33</v>
      </c>
      <c r="C173" s="136" t="s">
        <v>33</v>
      </c>
      <c r="D173" s="136" t="s">
        <v>33</v>
      </c>
      <c r="E173" s="136" t="s">
        <v>33</v>
      </c>
      <c r="F173" s="137" t="s">
        <v>33</v>
      </c>
      <c r="G173" s="138">
        <v>225403271118.90701</v>
      </c>
      <c r="H173" s="139">
        <v>225403271118.90701</v>
      </c>
      <c r="I173" s="57"/>
      <c r="J173" s="50"/>
    </row>
    <row r="174" spans="2:13" ht="17.25" customHeight="1">
      <c r="B174" s="136" t="s">
        <v>43</v>
      </c>
      <c r="C174" s="136" t="s">
        <v>43</v>
      </c>
      <c r="D174" s="136" t="s">
        <v>43</v>
      </c>
      <c r="E174" s="136" t="s">
        <v>43</v>
      </c>
      <c r="F174" s="137" t="s">
        <v>43</v>
      </c>
      <c r="G174" s="138">
        <v>210460919765.59</v>
      </c>
      <c r="H174" s="139">
        <v>210460919765.59</v>
      </c>
      <c r="I174" s="55"/>
      <c r="J174" s="56"/>
    </row>
    <row r="175" spans="2:13" ht="17.25" customHeight="1">
      <c r="B175" s="136" t="s">
        <v>41</v>
      </c>
      <c r="C175" s="136" t="s">
        <v>41</v>
      </c>
      <c r="D175" s="136" t="s">
        <v>41</v>
      </c>
      <c r="E175" s="136" t="s">
        <v>41</v>
      </c>
      <c r="F175" s="137" t="s">
        <v>41</v>
      </c>
      <c r="G175" s="138">
        <v>205255915580.88</v>
      </c>
      <c r="H175" s="139">
        <v>205255915580.88</v>
      </c>
      <c r="I175" s="55"/>
      <c r="J175" s="56"/>
    </row>
    <row r="176" spans="2:13" ht="17.25" customHeight="1">
      <c r="B176" s="136" t="s">
        <v>42</v>
      </c>
      <c r="C176" s="136" t="s">
        <v>42</v>
      </c>
      <c r="D176" s="136" t="s">
        <v>42</v>
      </c>
      <c r="E176" s="136" t="s">
        <v>42</v>
      </c>
      <c r="F176" s="137" t="s">
        <v>42</v>
      </c>
      <c r="G176" s="138">
        <v>175076380031.67999</v>
      </c>
      <c r="H176" s="139">
        <v>175076380031.67999</v>
      </c>
      <c r="I176" s="55"/>
      <c r="J176" s="56"/>
    </row>
    <row r="177" spans="2:10" ht="17.25" customHeight="1">
      <c r="B177" s="136" t="s">
        <v>48</v>
      </c>
      <c r="C177" s="136" t="s">
        <v>48</v>
      </c>
      <c r="D177" s="136" t="s">
        <v>48</v>
      </c>
      <c r="E177" s="136" t="s">
        <v>48</v>
      </c>
      <c r="F177" s="137" t="s">
        <v>48</v>
      </c>
      <c r="G177" s="138">
        <v>155204574960.70999</v>
      </c>
      <c r="H177" s="139">
        <v>155204574960.70999</v>
      </c>
      <c r="I177" s="55"/>
      <c r="J177" s="56"/>
    </row>
    <row r="178" spans="2:10" ht="18" customHeight="1" thickBot="1">
      <c r="B178" s="132" t="s">
        <v>36</v>
      </c>
      <c r="C178" s="132" t="s">
        <v>36</v>
      </c>
      <c r="D178" s="132" t="s">
        <v>36</v>
      </c>
      <c r="E178" s="132" t="s">
        <v>36</v>
      </c>
      <c r="F178" s="133" t="s">
        <v>36</v>
      </c>
      <c r="G178" s="134">
        <v>122322277038.03</v>
      </c>
      <c r="H178" s="135">
        <v>122322277038.03</v>
      </c>
      <c r="I178" s="55"/>
      <c r="J178" s="56"/>
    </row>
    <row r="179" spans="2:10" ht="17.25">
      <c r="G179" s="41"/>
      <c r="H179" s="41"/>
      <c r="J179" s="48"/>
    </row>
    <row r="180" spans="2:10">
      <c r="B180" s="58"/>
      <c r="J180" s="48"/>
    </row>
  </sheetData>
  <dataConsolidate link="1"/>
  <mergeCells count="100">
    <mergeCell ref="B2:H2"/>
    <mergeCell ref="B3:H3"/>
    <mergeCell ref="I3:N3"/>
    <mergeCell ref="B11:D11"/>
    <mergeCell ref="B12:D12"/>
    <mergeCell ref="B13:D13"/>
    <mergeCell ref="B24:D24"/>
    <mergeCell ref="B25:D25"/>
    <mergeCell ref="B26:D26"/>
    <mergeCell ref="B27:D27"/>
    <mergeCell ref="B28:D28"/>
    <mergeCell ref="B33:D33"/>
    <mergeCell ref="B14:D14"/>
    <mergeCell ref="B15:D15"/>
    <mergeCell ref="B16:D16"/>
    <mergeCell ref="B17:D17"/>
    <mergeCell ref="B22:D22"/>
    <mergeCell ref="B23:D23"/>
    <mergeCell ref="H48:I48"/>
    <mergeCell ref="B49:D49"/>
    <mergeCell ref="B50:D50"/>
    <mergeCell ref="B51:D51"/>
    <mergeCell ref="B52:D52"/>
    <mergeCell ref="B53:D53"/>
    <mergeCell ref="B34:D34"/>
    <mergeCell ref="B35:D35"/>
    <mergeCell ref="B36:D36"/>
    <mergeCell ref="B37:D37"/>
    <mergeCell ref="B38:D38"/>
    <mergeCell ref="B39:D39"/>
    <mergeCell ref="B54:D54"/>
    <mergeCell ref="B128:F128"/>
    <mergeCell ref="G128:H128"/>
    <mergeCell ref="B143:F143"/>
    <mergeCell ref="G143:H143"/>
    <mergeCell ref="B129:F129"/>
    <mergeCell ref="G129:H129"/>
    <mergeCell ref="B138:F138"/>
    <mergeCell ref="G138:H138"/>
    <mergeCell ref="B139:F139"/>
    <mergeCell ref="G139:H139"/>
    <mergeCell ref="B144:F144"/>
    <mergeCell ref="G144:H144"/>
    <mergeCell ref="B145:F145"/>
    <mergeCell ref="G145:H145"/>
    <mergeCell ref="B140:F140"/>
    <mergeCell ref="G140:H140"/>
    <mergeCell ref="B141:F141"/>
    <mergeCell ref="G141:H141"/>
    <mergeCell ref="B142:F142"/>
    <mergeCell ref="G142:H142"/>
    <mergeCell ref="B153:F153"/>
    <mergeCell ref="G153:H153"/>
    <mergeCell ref="B154:F154"/>
    <mergeCell ref="G154:H154"/>
    <mergeCell ref="B155:F155"/>
    <mergeCell ref="G155:H155"/>
    <mergeCell ref="B146:F146"/>
    <mergeCell ref="G146:H146"/>
    <mergeCell ref="B147:F147"/>
    <mergeCell ref="G147:H147"/>
    <mergeCell ref="B148:F148"/>
    <mergeCell ref="G148:H148"/>
    <mergeCell ref="B159:F159"/>
    <mergeCell ref="G159:H159"/>
    <mergeCell ref="B160:F160"/>
    <mergeCell ref="G160:H160"/>
    <mergeCell ref="B161:F161"/>
    <mergeCell ref="G161:H161"/>
    <mergeCell ref="B156:F156"/>
    <mergeCell ref="G156:H156"/>
    <mergeCell ref="B157:F157"/>
    <mergeCell ref="G157:H157"/>
    <mergeCell ref="B158:F158"/>
    <mergeCell ref="G158:H158"/>
    <mergeCell ref="B162:F162"/>
    <mergeCell ref="G162:H162"/>
    <mergeCell ref="B163:F163"/>
    <mergeCell ref="G163:H163"/>
    <mergeCell ref="G168:H168"/>
    <mergeCell ref="B169:F169"/>
    <mergeCell ref="G169:H169"/>
    <mergeCell ref="B176:F176"/>
    <mergeCell ref="G176:H176"/>
    <mergeCell ref="B177:F177"/>
    <mergeCell ref="G177:H177"/>
    <mergeCell ref="B170:F170"/>
    <mergeCell ref="G170:H170"/>
    <mergeCell ref="B171:F171"/>
    <mergeCell ref="G171:H171"/>
    <mergeCell ref="B172:F172"/>
    <mergeCell ref="G172:H172"/>
    <mergeCell ref="B178:F178"/>
    <mergeCell ref="G178:H178"/>
    <mergeCell ref="B173:F173"/>
    <mergeCell ref="G173:H173"/>
    <mergeCell ref="B174:F174"/>
    <mergeCell ref="G174:H174"/>
    <mergeCell ref="B175:F175"/>
    <mergeCell ref="G175:H175"/>
  </mergeCells>
  <pageMargins left="0.70866141732283472" right="0.70866141732283472" top="0.15748031496062992" bottom="0.15748031496062992" header="0.31496062992125984" footer="0.11811023622047245"/>
  <pageSetup paperSize="9" scale="47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49" max="16383" man="1"/>
    <brk id="192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38241">
          <objectPr defaultSize="0" autoPict="0" dde="1">
            <anchor moveWithCells="1">
              <from>
                <xdr:col>0</xdr:col>
                <xdr:colOff>123825</xdr:colOff>
                <xdr:row>72</xdr:row>
                <xdr:rowOff>123825</xdr:rowOff>
              </from>
              <to>
                <xdr:col>1</xdr:col>
                <xdr:colOff>257175</xdr:colOff>
                <xdr:row>74</xdr:row>
                <xdr:rowOff>0</xdr:rowOff>
              </to>
            </anchor>
          </objectPr>
        </oleObject>
      </mc:Choice>
      <mc:Fallback>
        <oleObject link="[1]!'!Январь2012!R1C2:R10C9'" oleUpdate="OLEUPDATE_ALWAYS" shapeId="138241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97">
    <pageSetUpPr fitToPage="1"/>
  </sheetPr>
  <dimension ref="B2:N180"/>
  <sheetViews>
    <sheetView workbookViewId="0"/>
  </sheetViews>
  <sheetFormatPr defaultRowHeight="13.5"/>
  <cols>
    <col min="1" max="1" width="3.42578125" style="75" customWidth="1"/>
    <col min="2" max="2" width="46.7109375" style="75" customWidth="1"/>
    <col min="3" max="4" width="18.42578125" style="75" customWidth="1"/>
    <col min="5" max="9" width="25.5703125" style="75" customWidth="1"/>
    <col min="10" max="10" width="10.5703125" style="75" customWidth="1"/>
    <col min="11" max="11" width="14.85546875" style="75" bestFit="1" customWidth="1"/>
    <col min="12" max="12" width="9.140625" style="75"/>
    <col min="13" max="13" width="23.42578125" style="75" customWidth="1"/>
    <col min="14" max="16384" width="9.140625" style="75"/>
  </cols>
  <sheetData>
    <row r="2" spans="2:14" s="1" customFormat="1" ht="20.25">
      <c r="B2" s="183" t="s">
        <v>15</v>
      </c>
      <c r="C2" s="183"/>
      <c r="D2" s="183"/>
      <c r="E2" s="183"/>
      <c r="F2" s="183"/>
      <c r="G2" s="183"/>
      <c r="H2" s="183"/>
    </row>
    <row r="3" spans="2:14" s="1" customFormat="1" ht="21" thickBot="1">
      <c r="B3" s="184">
        <v>42063</v>
      </c>
      <c r="C3" s="184"/>
      <c r="D3" s="184"/>
      <c r="E3" s="184"/>
      <c r="F3" s="184"/>
      <c r="G3" s="184"/>
      <c r="H3" s="184"/>
      <c r="I3" s="184"/>
      <c r="J3" s="184"/>
      <c r="K3" s="184"/>
      <c r="L3" s="184"/>
      <c r="M3" s="184"/>
      <c r="N3" s="184"/>
    </row>
    <row r="4" spans="2:14" s="1" customFormat="1" ht="18" thickTop="1"/>
    <row r="5" spans="2:14" s="1" customFormat="1" ht="17.25">
      <c r="B5" s="17"/>
      <c r="C5" s="17"/>
      <c r="D5" s="17"/>
      <c r="E5" s="17"/>
      <c r="F5" s="17"/>
      <c r="G5" s="17"/>
      <c r="H5" s="17"/>
    </row>
    <row r="6" spans="2:14" s="1" customFormat="1" ht="17.25">
      <c r="B6" s="18" t="s">
        <v>20</v>
      </c>
      <c r="C6" s="68">
        <f>B3</f>
        <v>42063</v>
      </c>
      <c r="D6" s="17"/>
      <c r="E6" s="17"/>
      <c r="F6" s="17"/>
      <c r="G6" s="17"/>
      <c r="H6" s="17"/>
    </row>
    <row r="7" spans="2:14" s="1" customFormat="1" ht="18" thickBot="1">
      <c r="B7" s="21"/>
      <c r="C7" s="21"/>
      <c r="D7" s="21"/>
      <c r="E7" s="21"/>
      <c r="F7" s="21"/>
      <c r="G7" s="21"/>
      <c r="H7" s="21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3" t="s">
        <v>44</v>
      </c>
      <c r="C10" s="14"/>
      <c r="D10" s="14"/>
      <c r="E10" s="14"/>
      <c r="F10" s="14"/>
      <c r="G10" s="14"/>
      <c r="H10" s="15" t="s">
        <v>13</v>
      </c>
    </row>
    <row r="11" spans="2:14" s="46" customFormat="1" ht="15.75" thickBot="1">
      <c r="B11" s="179" t="s">
        <v>18</v>
      </c>
      <c r="C11" s="179"/>
      <c r="D11" s="180"/>
      <c r="E11" s="73">
        <v>42035</v>
      </c>
      <c r="F11" s="73">
        <f>EDATE(E11,1)</f>
        <v>42063</v>
      </c>
      <c r="G11" s="45" t="s">
        <v>10</v>
      </c>
      <c r="H11" s="45" t="s">
        <v>11</v>
      </c>
      <c r="J11" s="77"/>
    </row>
    <row r="12" spans="2:14" s="76" customFormat="1" ht="17.25">
      <c r="B12" s="181" t="s">
        <v>0</v>
      </c>
      <c r="C12" s="181"/>
      <c r="D12" s="182"/>
      <c r="E12" s="78">
        <f>Январь2015!F12</f>
        <v>1201812</v>
      </c>
      <c r="F12" s="84">
        <v>1165812</v>
      </c>
      <c r="G12" s="11">
        <f>F12-E12</f>
        <v>-36000</v>
      </c>
      <c r="H12" s="59">
        <f t="shared" ref="H12:H18" si="0">F12/E12-1</f>
        <v>-2.9954768299867207E-2</v>
      </c>
      <c r="I12" s="85"/>
      <c r="J12" s="86"/>
    </row>
    <row r="13" spans="2:14" s="76" customFormat="1" ht="17.25">
      <c r="B13" s="177" t="s">
        <v>1</v>
      </c>
      <c r="C13" s="177"/>
      <c r="D13" s="178"/>
      <c r="E13" s="78">
        <f>Январь2015!F13</f>
        <v>35032</v>
      </c>
      <c r="F13" s="84">
        <v>35258</v>
      </c>
      <c r="G13" s="11">
        <f t="shared" ref="G13:G18" si="1">F13-E13</f>
        <v>226</v>
      </c>
      <c r="H13" s="59">
        <f t="shared" si="0"/>
        <v>6.4512445763873494E-3</v>
      </c>
      <c r="I13" s="85"/>
      <c r="J13" s="86"/>
    </row>
    <row r="14" spans="2:14" s="76" customFormat="1" ht="17.25">
      <c r="B14" s="177" t="s">
        <v>2</v>
      </c>
      <c r="C14" s="177"/>
      <c r="D14" s="178"/>
      <c r="E14" s="78">
        <f>Январь2015!F14</f>
        <v>13040</v>
      </c>
      <c r="F14" s="84">
        <v>13101</v>
      </c>
      <c r="G14" s="11">
        <f t="shared" si="1"/>
        <v>61</v>
      </c>
      <c r="H14" s="59">
        <f t="shared" si="0"/>
        <v>4.6779141104293931E-3</v>
      </c>
      <c r="I14" s="85"/>
      <c r="J14" s="86"/>
    </row>
    <row r="15" spans="2:14" s="76" customFormat="1" ht="17.25">
      <c r="B15" s="162" t="s">
        <v>23</v>
      </c>
      <c r="C15" s="162"/>
      <c r="D15" s="163"/>
      <c r="E15" s="78">
        <f>Январь2015!F15</f>
        <v>3250</v>
      </c>
      <c r="F15" s="84">
        <v>3350</v>
      </c>
      <c r="G15" s="11">
        <f t="shared" si="1"/>
        <v>100</v>
      </c>
      <c r="H15" s="59">
        <f t="shared" si="0"/>
        <v>3.076923076923066E-2</v>
      </c>
      <c r="I15" s="85"/>
      <c r="J15" s="86"/>
    </row>
    <row r="16" spans="2:14" s="76" customFormat="1" ht="17.25">
      <c r="B16" s="164" t="s">
        <v>24</v>
      </c>
      <c r="C16" s="164"/>
      <c r="D16" s="165"/>
      <c r="E16" s="78">
        <f>Январь2015!F16</f>
        <v>9790</v>
      </c>
      <c r="F16" s="84">
        <v>9751</v>
      </c>
      <c r="G16" s="11">
        <f t="shared" si="1"/>
        <v>-39</v>
      </c>
      <c r="H16" s="59">
        <f t="shared" si="0"/>
        <v>-3.9836567926455624E-3</v>
      </c>
      <c r="I16" s="85"/>
      <c r="J16" s="86"/>
    </row>
    <row r="17" spans="2:10" s="76" customFormat="1" ht="18" customHeight="1" thickBot="1">
      <c r="B17" s="175" t="s">
        <v>3</v>
      </c>
      <c r="C17" s="175"/>
      <c r="D17" s="176"/>
      <c r="E17" s="78">
        <f>Январь2015!F17</f>
        <v>13022</v>
      </c>
      <c r="F17" s="84">
        <v>13081</v>
      </c>
      <c r="G17" s="11">
        <f t="shared" si="1"/>
        <v>59</v>
      </c>
      <c r="H17" s="59">
        <f t="shared" si="0"/>
        <v>4.5307940408538805E-3</v>
      </c>
      <c r="I17" s="85"/>
      <c r="J17" s="86"/>
    </row>
    <row r="18" spans="2:10" s="70" customFormat="1" ht="18" thickBot="1">
      <c r="B18" s="60" t="s">
        <v>4</v>
      </c>
      <c r="C18" s="60"/>
      <c r="D18" s="61"/>
      <c r="E18" s="72">
        <f>Январь2015!F18</f>
        <v>1262906</v>
      </c>
      <c r="F18" s="72">
        <v>1227252</v>
      </c>
      <c r="G18" s="72">
        <f t="shared" si="1"/>
        <v>-35654</v>
      </c>
      <c r="H18" s="69">
        <f t="shared" si="0"/>
        <v>-2.8231713207475417E-2</v>
      </c>
      <c r="I18" s="85"/>
      <c r="J18" s="86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3" t="s">
        <v>45</v>
      </c>
      <c r="C21" s="14"/>
      <c r="D21" s="14"/>
      <c r="E21" s="14"/>
      <c r="F21" s="14"/>
      <c r="G21" s="14"/>
      <c r="H21" s="15" t="s">
        <v>12</v>
      </c>
    </row>
    <row r="22" spans="2:10" s="76" customFormat="1" ht="15.75" thickBot="1">
      <c r="B22" s="179" t="s">
        <v>18</v>
      </c>
      <c r="C22" s="179"/>
      <c r="D22" s="180"/>
      <c r="E22" s="73">
        <f>E11</f>
        <v>42035</v>
      </c>
      <c r="F22" s="73">
        <f>F11</f>
        <v>42063</v>
      </c>
      <c r="G22" s="45" t="s">
        <v>10</v>
      </c>
      <c r="H22" s="45" t="s">
        <v>11</v>
      </c>
      <c r="J22" s="77"/>
    </row>
    <row r="23" spans="2:10" s="76" customFormat="1" ht="17.25">
      <c r="B23" s="181" t="s">
        <v>0</v>
      </c>
      <c r="C23" s="181"/>
      <c r="D23" s="182"/>
      <c r="E23" s="78">
        <f>Январь2015!F23</f>
        <v>950502</v>
      </c>
      <c r="F23" s="84">
        <v>964598</v>
      </c>
      <c r="G23" s="11">
        <f>F23-E23</f>
        <v>14096</v>
      </c>
      <c r="H23" s="59">
        <f>F23/E23-1</f>
        <v>1.4830058221865894E-2</v>
      </c>
      <c r="I23" s="86"/>
    </row>
    <row r="24" spans="2:10" s="76" customFormat="1" ht="17.25">
      <c r="B24" s="177" t="s">
        <v>1</v>
      </c>
      <c r="C24" s="177"/>
      <c r="D24" s="178"/>
      <c r="E24" s="78">
        <f>Январь2015!F24</f>
        <v>20249</v>
      </c>
      <c r="F24" s="84">
        <v>20398</v>
      </c>
      <c r="G24" s="11">
        <f t="shared" ref="G24:G29" si="2">F24-E24</f>
        <v>149</v>
      </c>
      <c r="H24" s="59">
        <f t="shared" ref="H24:H29" si="3">F24/E24-1</f>
        <v>7.3583880685466063E-3</v>
      </c>
      <c r="I24" s="86"/>
    </row>
    <row r="25" spans="2:10" s="76" customFormat="1" ht="17.25">
      <c r="B25" s="177" t="s">
        <v>2</v>
      </c>
      <c r="C25" s="177"/>
      <c r="D25" s="178"/>
      <c r="E25" s="78">
        <f>Январь2015!F25</f>
        <v>7537</v>
      </c>
      <c r="F25" s="84">
        <v>7683</v>
      </c>
      <c r="G25" s="11">
        <f t="shared" si="2"/>
        <v>146</v>
      </c>
      <c r="H25" s="59">
        <f t="shared" si="3"/>
        <v>1.9371102560700626E-2</v>
      </c>
      <c r="I25" s="86"/>
    </row>
    <row r="26" spans="2:10" s="76" customFormat="1" ht="17.25">
      <c r="B26" s="162" t="s">
        <v>23</v>
      </c>
      <c r="C26" s="162"/>
      <c r="D26" s="163"/>
      <c r="E26" s="78">
        <f>Январь2015!F26</f>
        <v>3174</v>
      </c>
      <c r="F26" s="84">
        <v>3272</v>
      </c>
      <c r="G26" s="11">
        <f t="shared" si="2"/>
        <v>98</v>
      </c>
      <c r="H26" s="59">
        <f t="shared" si="3"/>
        <v>3.0875866414618702E-2</v>
      </c>
      <c r="I26" s="86"/>
    </row>
    <row r="27" spans="2:10" s="76" customFormat="1" ht="17.25">
      <c r="B27" s="164" t="s">
        <v>24</v>
      </c>
      <c r="C27" s="164"/>
      <c r="D27" s="165"/>
      <c r="E27" s="78">
        <f>Январь2015!F27</f>
        <v>4363</v>
      </c>
      <c r="F27" s="84">
        <v>4411</v>
      </c>
      <c r="G27" s="11">
        <f t="shared" si="2"/>
        <v>48</v>
      </c>
      <c r="H27" s="59">
        <f t="shared" si="3"/>
        <v>1.1001604400641796E-2</v>
      </c>
      <c r="I27" s="86"/>
    </row>
    <row r="28" spans="2:10" s="76" customFormat="1" ht="18" thickBot="1">
      <c r="B28" s="175" t="s">
        <v>3</v>
      </c>
      <c r="C28" s="175"/>
      <c r="D28" s="176"/>
      <c r="E28" s="78">
        <f>Январь2015!F28</f>
        <v>5091</v>
      </c>
      <c r="F28" s="84">
        <v>5023</v>
      </c>
      <c r="G28" s="11">
        <f t="shared" si="2"/>
        <v>-68</v>
      </c>
      <c r="H28" s="59">
        <f t="shared" si="3"/>
        <v>-1.3356904340993903E-2</v>
      </c>
      <c r="I28" s="86"/>
    </row>
    <row r="29" spans="2:10" s="70" customFormat="1" ht="18" thickBot="1">
      <c r="B29" s="60" t="s">
        <v>4</v>
      </c>
      <c r="C29" s="60"/>
      <c r="D29" s="61"/>
      <c r="E29" s="72">
        <f>Январь2015!F29</f>
        <v>983379</v>
      </c>
      <c r="F29" s="72">
        <v>997702</v>
      </c>
      <c r="G29" s="72">
        <f t="shared" si="2"/>
        <v>14323</v>
      </c>
      <c r="H29" s="69">
        <f t="shared" si="3"/>
        <v>1.4565086299382024E-2</v>
      </c>
      <c r="I29" s="86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3" t="s">
        <v>16</v>
      </c>
      <c r="C32" s="14"/>
      <c r="D32" s="14"/>
      <c r="E32" s="14"/>
      <c r="F32" s="14"/>
      <c r="G32" s="14"/>
      <c r="H32" s="15" t="s">
        <v>14</v>
      </c>
    </row>
    <row r="33" spans="2:9" ht="15.75" thickBot="1">
      <c r="B33" s="145" t="s">
        <v>18</v>
      </c>
      <c r="C33" s="145"/>
      <c r="D33" s="146"/>
      <c r="E33" s="73">
        <f>E11</f>
        <v>42035</v>
      </c>
      <c r="F33" s="73">
        <f>F11</f>
        <v>42063</v>
      </c>
      <c r="G33" s="16" t="s">
        <v>10</v>
      </c>
      <c r="H33" s="16" t="s">
        <v>11</v>
      </c>
    </row>
    <row r="34" spans="2:9" ht="17.25">
      <c r="B34" s="160" t="s">
        <v>0</v>
      </c>
      <c r="C34" s="160"/>
      <c r="D34" s="161"/>
      <c r="E34" s="78">
        <f>Январь2015!F34</f>
        <v>67642</v>
      </c>
      <c r="F34" s="78">
        <v>75145</v>
      </c>
      <c r="G34" s="11">
        <f t="shared" ref="G34:G40" si="4">F34-E34</f>
        <v>7503</v>
      </c>
      <c r="H34" s="59">
        <f t="shared" ref="H34:H40" si="5">F34/E34-1</f>
        <v>0.11092220809556186</v>
      </c>
      <c r="I34" s="58"/>
    </row>
    <row r="35" spans="2:9" ht="17.25">
      <c r="B35" s="136" t="s">
        <v>1</v>
      </c>
      <c r="C35" s="136"/>
      <c r="D35" s="137"/>
      <c r="E35" s="78">
        <f>Январь2015!F35</f>
        <v>990</v>
      </c>
      <c r="F35" s="78">
        <v>1134</v>
      </c>
      <c r="G35" s="11">
        <f t="shared" si="4"/>
        <v>144</v>
      </c>
      <c r="H35" s="59">
        <f t="shared" si="5"/>
        <v>0.1454545454545455</v>
      </c>
      <c r="I35" s="58"/>
    </row>
    <row r="36" spans="2:9" ht="17.25">
      <c r="B36" s="136" t="s">
        <v>2</v>
      </c>
      <c r="C36" s="136"/>
      <c r="D36" s="137"/>
      <c r="E36" s="78">
        <f>Январь2015!F36</f>
        <v>534</v>
      </c>
      <c r="F36" s="78">
        <v>614</v>
      </c>
      <c r="G36" s="11">
        <f t="shared" si="4"/>
        <v>80</v>
      </c>
      <c r="H36" s="59">
        <f t="shared" si="5"/>
        <v>0.14981273408239693</v>
      </c>
      <c r="I36" s="58"/>
    </row>
    <row r="37" spans="2:9" ht="17.25">
      <c r="B37" s="162" t="s">
        <v>23</v>
      </c>
      <c r="C37" s="162"/>
      <c r="D37" s="163"/>
      <c r="E37" s="78">
        <f>Январь2015!F37</f>
        <v>212</v>
      </c>
      <c r="F37" s="78">
        <v>246</v>
      </c>
      <c r="G37" s="11">
        <f t="shared" si="4"/>
        <v>34</v>
      </c>
      <c r="H37" s="59">
        <f t="shared" si="5"/>
        <v>0.16037735849056611</v>
      </c>
      <c r="I37" s="58"/>
    </row>
    <row r="38" spans="2:9" ht="17.25">
      <c r="B38" s="164" t="s">
        <v>24</v>
      </c>
      <c r="C38" s="164"/>
      <c r="D38" s="165"/>
      <c r="E38" s="78">
        <f>Январь2015!F38</f>
        <v>322</v>
      </c>
      <c r="F38" s="78">
        <v>368</v>
      </c>
      <c r="G38" s="11">
        <f t="shared" si="4"/>
        <v>46</v>
      </c>
      <c r="H38" s="59">
        <f t="shared" si="5"/>
        <v>0.14285714285714279</v>
      </c>
      <c r="I38" s="58"/>
    </row>
    <row r="39" spans="2:9" ht="18" thickBot="1">
      <c r="B39" s="166" t="s">
        <v>3</v>
      </c>
      <c r="C39" s="166"/>
      <c r="D39" s="167"/>
      <c r="E39" s="78">
        <f>Январь2015!F39</f>
        <v>595</v>
      </c>
      <c r="F39" s="78">
        <v>602</v>
      </c>
      <c r="G39" s="11">
        <f t="shared" si="4"/>
        <v>7</v>
      </c>
      <c r="H39" s="59">
        <f t="shared" si="5"/>
        <v>1.1764705882352899E-2</v>
      </c>
      <c r="I39" s="58"/>
    </row>
    <row r="40" spans="2:9" s="70" customFormat="1" ht="18" thickBot="1">
      <c r="B40" s="60" t="s">
        <v>4</v>
      </c>
      <c r="C40" s="60"/>
      <c r="D40" s="61"/>
      <c r="E40" s="72">
        <f>Январь2015!F40</f>
        <v>69761</v>
      </c>
      <c r="F40" s="72">
        <v>77495</v>
      </c>
      <c r="G40" s="72">
        <f t="shared" si="4"/>
        <v>7734</v>
      </c>
      <c r="H40" s="69">
        <f t="shared" si="5"/>
        <v>0.11086423646450028</v>
      </c>
      <c r="I40" s="58"/>
    </row>
    <row r="41" spans="2:9" ht="15">
      <c r="B41" s="6"/>
      <c r="C41" s="6"/>
      <c r="D41" s="6"/>
      <c r="E41" s="42"/>
      <c r="F41" s="42"/>
      <c r="G41" s="43"/>
      <c r="H41" s="44"/>
    </row>
    <row r="42" spans="2:9" ht="15">
      <c r="B42" s="10"/>
      <c r="C42" s="2"/>
      <c r="D42" s="2"/>
      <c r="E42" s="2"/>
      <c r="F42" s="2"/>
      <c r="G42" s="2"/>
    </row>
    <row r="43" spans="2:9" ht="17.25">
      <c r="B43" s="19"/>
      <c r="C43" s="19"/>
      <c r="D43" s="19"/>
      <c r="E43" s="19"/>
      <c r="F43" s="19"/>
      <c r="G43" s="19"/>
      <c r="H43" s="19"/>
    </row>
    <row r="44" spans="2:9" ht="17.25">
      <c r="B44" s="20" t="s">
        <v>17</v>
      </c>
      <c r="C44" s="19"/>
      <c r="D44" s="19"/>
      <c r="E44" s="19"/>
      <c r="F44" s="19"/>
      <c r="G44" s="19"/>
      <c r="H44" s="19"/>
    </row>
    <row r="45" spans="2:9" ht="18" thickBot="1">
      <c r="B45" s="22"/>
      <c r="C45" s="22"/>
      <c r="D45" s="22"/>
      <c r="E45" s="22"/>
      <c r="F45" s="22"/>
      <c r="G45" s="22"/>
      <c r="H45" s="22"/>
    </row>
    <row r="47" spans="2:9">
      <c r="F47" s="5"/>
    </row>
    <row r="48" spans="2:9" ht="18" thickBot="1">
      <c r="B48" s="12" t="s">
        <v>46</v>
      </c>
      <c r="C48" s="23"/>
      <c r="D48" s="23"/>
      <c r="E48" s="23"/>
      <c r="F48" s="23"/>
      <c r="G48" s="23"/>
      <c r="H48" s="168" t="s">
        <v>13</v>
      </c>
      <c r="I48" s="168"/>
    </row>
    <row r="49" spans="2:9" ht="15.75" thickBot="1">
      <c r="B49" s="145" t="s">
        <v>18</v>
      </c>
      <c r="C49" s="145"/>
      <c r="D49" s="146"/>
      <c r="E49" s="73">
        <v>40543</v>
      </c>
      <c r="F49" s="73">
        <v>40908</v>
      </c>
      <c r="G49" s="73">
        <v>41274</v>
      </c>
      <c r="H49" s="73">
        <v>41639</v>
      </c>
      <c r="I49" s="73">
        <v>42004</v>
      </c>
    </row>
    <row r="50" spans="2:9" ht="17.25">
      <c r="B50" s="169" t="s">
        <v>0</v>
      </c>
      <c r="C50" s="169"/>
      <c r="D50" s="170"/>
      <c r="E50" s="80">
        <v>714295</v>
      </c>
      <c r="F50" s="80">
        <v>772175</v>
      </c>
      <c r="G50" s="80">
        <v>805549</v>
      </c>
      <c r="H50" s="80">
        <v>881844</v>
      </c>
      <c r="I50" s="80">
        <v>944559</v>
      </c>
    </row>
    <row r="51" spans="2:9" ht="17.25">
      <c r="B51" s="171" t="s">
        <v>1</v>
      </c>
      <c r="C51" s="171"/>
      <c r="D51" s="172"/>
      <c r="E51" s="81">
        <v>17170</v>
      </c>
      <c r="F51" s="81">
        <v>16850</v>
      </c>
      <c r="G51" s="81">
        <v>17821</v>
      </c>
      <c r="H51" s="81">
        <v>19539</v>
      </c>
      <c r="I51" s="81">
        <v>20178</v>
      </c>
    </row>
    <row r="52" spans="2:9" ht="17.25">
      <c r="B52" s="173" t="s">
        <v>2</v>
      </c>
      <c r="C52" s="173"/>
      <c r="D52" s="174"/>
      <c r="E52" s="83">
        <v>4295</v>
      </c>
      <c r="F52" s="83">
        <v>5058</v>
      </c>
      <c r="G52" s="83">
        <v>5876</v>
      </c>
      <c r="H52" s="83">
        <v>6957</v>
      </c>
      <c r="I52" s="83">
        <v>7486</v>
      </c>
    </row>
    <row r="53" spans="2:9" ht="18" thickBot="1">
      <c r="B53" s="158" t="s">
        <v>3</v>
      </c>
      <c r="C53" s="158"/>
      <c r="D53" s="159"/>
      <c r="E53" s="79">
        <v>5348</v>
      </c>
      <c r="F53" s="79">
        <v>5242</v>
      </c>
      <c r="G53" s="79">
        <v>5261</v>
      </c>
      <c r="H53" s="79">
        <v>5182</v>
      </c>
      <c r="I53" s="79">
        <v>5142</v>
      </c>
    </row>
    <row r="54" spans="2:9" s="71" customFormat="1" ht="18" thickBot="1">
      <c r="B54" s="147" t="s">
        <v>4</v>
      </c>
      <c r="C54" s="147"/>
      <c r="D54" s="148"/>
      <c r="E54" s="82">
        <v>741108</v>
      </c>
      <c r="F54" s="82">
        <v>799325</v>
      </c>
      <c r="G54" s="82">
        <v>834507</v>
      </c>
      <c r="H54" s="82">
        <v>913522</v>
      </c>
      <c r="I54" s="82">
        <v>977365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2" t="s">
        <v>47</v>
      </c>
      <c r="C82" s="23"/>
      <c r="D82" s="23"/>
      <c r="E82" s="23"/>
      <c r="F82" s="23"/>
      <c r="G82" s="23"/>
      <c r="H82" s="24" t="s">
        <v>12</v>
      </c>
      <c r="I82"/>
      <c r="J82"/>
      <c r="K82"/>
    </row>
    <row r="83" spans="2:11" ht="15.75" thickBot="1">
      <c r="B83" s="32" t="s">
        <v>18</v>
      </c>
      <c r="C83" s="73">
        <f>EDATE(D83,-1)</f>
        <v>41910</v>
      </c>
      <c r="D83" s="73">
        <f>EDATE(E83,-1)</f>
        <v>41940</v>
      </c>
      <c r="E83" s="73">
        <f>EDATE(F83,-1)</f>
        <v>41971</v>
      </c>
      <c r="F83" s="73">
        <f>EDATE(G83,-1)</f>
        <v>42001</v>
      </c>
      <c r="G83" s="73">
        <f>EDATE(H83,-1)</f>
        <v>42032</v>
      </c>
      <c r="H83" s="73">
        <f>EDATE(E11,1)</f>
        <v>42063</v>
      </c>
      <c r="I83"/>
      <c r="J83"/>
    </row>
    <row r="84" spans="2:11" ht="16.5" customHeight="1">
      <c r="B84" s="25" t="s">
        <v>0</v>
      </c>
      <c r="C84" s="80">
        <v>913288</v>
      </c>
      <c r="D84" s="80">
        <v>916806</v>
      </c>
      <c r="E84" s="80">
        <v>922106</v>
      </c>
      <c r="F84" s="80">
        <v>945143</v>
      </c>
      <c r="G84" s="80">
        <v>950502</v>
      </c>
      <c r="H84" s="80">
        <v>964598</v>
      </c>
    </row>
    <row r="85" spans="2:11" ht="16.5" customHeight="1">
      <c r="B85" s="26" t="s">
        <v>1</v>
      </c>
      <c r="C85" s="81">
        <v>19826</v>
      </c>
      <c r="D85" s="81">
        <v>19924</v>
      </c>
      <c r="E85" s="81">
        <v>19972</v>
      </c>
      <c r="F85" s="81">
        <v>20178</v>
      </c>
      <c r="G85" s="81">
        <v>20249</v>
      </c>
      <c r="H85" s="81">
        <v>20398</v>
      </c>
    </row>
    <row r="86" spans="2:11" ht="16.5" customHeight="1">
      <c r="B86" s="27" t="s">
        <v>2</v>
      </c>
      <c r="C86" s="83">
        <v>7329</v>
      </c>
      <c r="D86" s="83">
        <v>7349</v>
      </c>
      <c r="E86" s="83">
        <v>7365</v>
      </c>
      <c r="F86" s="83">
        <v>7486</v>
      </c>
      <c r="G86" s="83">
        <v>7537</v>
      </c>
      <c r="H86" s="83">
        <v>7683</v>
      </c>
    </row>
    <row r="87" spans="2:11" ht="16.5" customHeight="1" thickBot="1">
      <c r="B87" s="28" t="s">
        <v>3</v>
      </c>
      <c r="C87" s="79">
        <v>5173</v>
      </c>
      <c r="D87" s="79">
        <v>5158</v>
      </c>
      <c r="E87" s="79">
        <v>5144</v>
      </c>
      <c r="F87" s="79">
        <v>5142</v>
      </c>
      <c r="G87" s="79">
        <v>5091</v>
      </c>
      <c r="H87" s="79">
        <v>5023</v>
      </c>
    </row>
    <row r="88" spans="2:11" s="71" customFormat="1" ht="18" thickBot="1">
      <c r="B88" s="96" t="s">
        <v>4</v>
      </c>
      <c r="C88" s="82">
        <v>945616</v>
      </c>
      <c r="D88" s="82">
        <v>949237</v>
      </c>
      <c r="E88" s="82">
        <v>954587</v>
      </c>
      <c r="F88" s="82">
        <v>977949</v>
      </c>
      <c r="G88" s="82">
        <v>983379</v>
      </c>
      <c r="H88" s="82">
        <v>997702</v>
      </c>
      <c r="I88" s="58"/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29"/>
      <c r="C123" s="29"/>
      <c r="D123" s="29"/>
      <c r="E123" s="29"/>
      <c r="F123" s="29"/>
      <c r="G123" s="29"/>
      <c r="H123" s="29"/>
    </row>
    <row r="124" spans="2:8" ht="17.25">
      <c r="B124" s="30" t="s">
        <v>25</v>
      </c>
      <c r="C124" s="92">
        <f>B3</f>
        <v>42063</v>
      </c>
      <c r="D124" s="29"/>
      <c r="E124" s="29"/>
      <c r="F124" s="29"/>
      <c r="G124" s="29"/>
      <c r="H124" s="29"/>
    </row>
    <row r="125" spans="2:8" ht="18" thickBot="1">
      <c r="B125" s="31"/>
      <c r="C125" s="31"/>
      <c r="D125" s="31"/>
      <c r="E125" s="31"/>
      <c r="F125" s="31"/>
      <c r="G125" s="31"/>
      <c r="H125" s="31"/>
    </row>
    <row r="127" spans="2:8" ht="18" thickBot="1">
      <c r="B127" s="62"/>
      <c r="C127" s="74"/>
      <c r="D127" s="36"/>
      <c r="E127" s="36"/>
      <c r="F127" s="36"/>
      <c r="G127" s="36"/>
      <c r="H127" s="37" t="s">
        <v>13</v>
      </c>
    </row>
    <row r="128" spans="2:8" ht="30.75" customHeight="1" thickBot="1">
      <c r="B128" s="146" t="s">
        <v>26</v>
      </c>
      <c r="C128" s="149"/>
      <c r="D128" s="149"/>
      <c r="E128" s="149"/>
      <c r="F128" s="149"/>
      <c r="G128" s="150" t="s">
        <v>5</v>
      </c>
      <c r="H128" s="151"/>
    </row>
    <row r="129" spans="2:10" ht="18" customHeight="1" thickBot="1">
      <c r="B129" s="133" t="s">
        <v>22</v>
      </c>
      <c r="C129" s="152"/>
      <c r="D129" s="152"/>
      <c r="E129" s="152"/>
      <c r="F129" s="152"/>
      <c r="G129" s="153">
        <v>421</v>
      </c>
      <c r="H129" s="154"/>
    </row>
    <row r="132" spans="2:10" ht="17.25">
      <c r="B132" s="33"/>
      <c r="C132" s="33"/>
      <c r="D132" s="33"/>
      <c r="E132" s="33"/>
      <c r="F132" s="33"/>
      <c r="G132" s="33"/>
      <c r="H132" s="33"/>
    </row>
    <row r="133" spans="2:10" ht="17.25">
      <c r="B133" s="34" t="s">
        <v>21</v>
      </c>
      <c r="C133" s="33"/>
      <c r="D133" s="33"/>
      <c r="E133" s="34"/>
      <c r="F133" s="97">
        <f>C6</f>
        <v>42063</v>
      </c>
      <c r="G133" s="33"/>
      <c r="H133" s="33"/>
    </row>
    <row r="134" spans="2:10" ht="18" thickBot="1">
      <c r="B134" s="35"/>
      <c r="C134" s="35"/>
      <c r="D134" s="35"/>
      <c r="E134" s="35"/>
      <c r="F134" s="35"/>
      <c r="G134" s="35"/>
      <c r="H134" s="35"/>
    </row>
    <row r="136" spans="2:10" ht="17.25">
      <c r="B136" s="87" t="s">
        <v>27</v>
      </c>
      <c r="C136" s="38"/>
      <c r="D136" s="38"/>
      <c r="E136" s="38"/>
      <c r="F136" s="38"/>
      <c r="G136" s="38"/>
      <c r="H136" s="39" t="s">
        <v>13</v>
      </c>
    </row>
    <row r="137" spans="2:10" ht="18" thickBot="1">
      <c r="B137" s="88" t="s">
        <v>28</v>
      </c>
      <c r="C137" s="38"/>
      <c r="D137" s="38"/>
      <c r="E137" s="38"/>
      <c r="F137" s="38"/>
      <c r="G137" s="38"/>
      <c r="H137" s="39"/>
    </row>
    <row r="138" spans="2:10" ht="15.75" customHeight="1" thickBot="1">
      <c r="B138" s="155" t="s">
        <v>19</v>
      </c>
      <c r="C138" s="155"/>
      <c r="D138" s="155"/>
      <c r="E138" s="155"/>
      <c r="F138" s="156"/>
      <c r="G138" s="157" t="s">
        <v>6</v>
      </c>
      <c r="H138" s="144"/>
      <c r="I138"/>
    </row>
    <row r="139" spans="2:10" ht="17.25" customHeight="1">
      <c r="B139" s="140" t="s">
        <v>31</v>
      </c>
      <c r="C139" s="140" t="s">
        <v>31</v>
      </c>
      <c r="D139" s="140" t="s">
        <v>31</v>
      </c>
      <c r="E139" s="140" t="s">
        <v>31</v>
      </c>
      <c r="F139" s="141" t="s">
        <v>31</v>
      </c>
      <c r="G139" s="142">
        <v>215241</v>
      </c>
      <c r="H139" s="143">
        <v>215241</v>
      </c>
      <c r="I139" s="47"/>
      <c r="J139" s="50"/>
    </row>
    <row r="140" spans="2:10" ht="13.5" customHeight="1">
      <c r="B140" s="136" t="s">
        <v>32</v>
      </c>
      <c r="C140" s="136" t="s">
        <v>32</v>
      </c>
      <c r="D140" s="136" t="s">
        <v>32</v>
      </c>
      <c r="E140" s="136" t="s">
        <v>32</v>
      </c>
      <c r="F140" s="137" t="s">
        <v>32</v>
      </c>
      <c r="G140" s="138">
        <v>180659</v>
      </c>
      <c r="H140" s="139">
        <v>180659</v>
      </c>
      <c r="I140" s="47"/>
      <c r="J140" s="50"/>
    </row>
    <row r="141" spans="2:10" ht="17.25" customHeight="1">
      <c r="B141" s="136" t="s">
        <v>33</v>
      </c>
      <c r="C141" s="136" t="s">
        <v>33</v>
      </c>
      <c r="D141" s="136" t="s">
        <v>33</v>
      </c>
      <c r="E141" s="136" t="s">
        <v>33</v>
      </c>
      <c r="F141" s="137" t="s">
        <v>33</v>
      </c>
      <c r="G141" s="138">
        <v>127466</v>
      </c>
      <c r="H141" s="139">
        <v>127466</v>
      </c>
      <c r="I141" s="47"/>
      <c r="J141" s="50"/>
    </row>
    <row r="142" spans="2:10" ht="17.25" customHeight="1">
      <c r="B142" s="136" t="s">
        <v>34</v>
      </c>
      <c r="C142" s="136" t="s">
        <v>34</v>
      </c>
      <c r="D142" s="136" t="s">
        <v>34</v>
      </c>
      <c r="E142" s="136" t="s">
        <v>34</v>
      </c>
      <c r="F142" s="137" t="s">
        <v>34</v>
      </c>
      <c r="G142" s="138">
        <v>124684</v>
      </c>
      <c r="H142" s="139">
        <v>124684</v>
      </c>
      <c r="I142" s="47"/>
      <c r="J142" s="50"/>
    </row>
    <row r="143" spans="2:10" ht="17.25" customHeight="1">
      <c r="B143" s="136" t="s">
        <v>35</v>
      </c>
      <c r="C143" s="136" t="s">
        <v>35</v>
      </c>
      <c r="D143" s="136" t="s">
        <v>35</v>
      </c>
      <c r="E143" s="136" t="s">
        <v>35</v>
      </c>
      <c r="F143" s="137" t="s">
        <v>35</v>
      </c>
      <c r="G143" s="138">
        <v>62609</v>
      </c>
      <c r="H143" s="139">
        <v>62609</v>
      </c>
      <c r="I143" s="47"/>
      <c r="J143" s="50"/>
    </row>
    <row r="144" spans="2:10" ht="13.5" customHeight="1">
      <c r="B144" s="136" t="s">
        <v>50</v>
      </c>
      <c r="C144" s="136" t="s">
        <v>50</v>
      </c>
      <c r="D144" s="136" t="s">
        <v>50</v>
      </c>
      <c r="E144" s="136" t="s">
        <v>50</v>
      </c>
      <c r="F144" s="137" t="s">
        <v>50</v>
      </c>
      <c r="G144" s="138">
        <v>54928</v>
      </c>
      <c r="H144" s="139">
        <v>54928</v>
      </c>
      <c r="I144" s="51"/>
      <c r="J144" s="50"/>
    </row>
    <row r="145" spans="2:13" ht="17.25" customHeight="1">
      <c r="B145" s="136" t="s">
        <v>36</v>
      </c>
      <c r="C145" s="136" t="s">
        <v>36</v>
      </c>
      <c r="D145" s="136" t="s">
        <v>36</v>
      </c>
      <c r="E145" s="136" t="s">
        <v>36</v>
      </c>
      <c r="F145" s="137" t="s">
        <v>36</v>
      </c>
      <c r="G145" s="138">
        <v>46181</v>
      </c>
      <c r="H145" s="139">
        <v>46181</v>
      </c>
      <c r="I145" s="47"/>
      <c r="J145" s="50"/>
    </row>
    <row r="146" spans="2:13" ht="17.25" customHeight="1">
      <c r="B146" s="136" t="s">
        <v>37</v>
      </c>
      <c r="C146" s="136" t="s">
        <v>37</v>
      </c>
      <c r="D146" s="136" t="s">
        <v>37</v>
      </c>
      <c r="E146" s="136" t="s">
        <v>37</v>
      </c>
      <c r="F146" s="137" t="s">
        <v>37</v>
      </c>
      <c r="G146" s="138">
        <v>31053</v>
      </c>
      <c r="H146" s="139">
        <v>31053</v>
      </c>
      <c r="I146" s="47"/>
      <c r="J146" s="50"/>
    </row>
    <row r="147" spans="2:13" ht="17.25" customHeight="1">
      <c r="B147" s="136" t="s">
        <v>38</v>
      </c>
      <c r="C147" s="136" t="s">
        <v>38</v>
      </c>
      <c r="D147" s="136" t="s">
        <v>38</v>
      </c>
      <c r="E147" s="136" t="s">
        <v>38</v>
      </c>
      <c r="F147" s="137" t="s">
        <v>38</v>
      </c>
      <c r="G147" s="138">
        <v>21506</v>
      </c>
      <c r="H147" s="139">
        <v>21506</v>
      </c>
      <c r="I147" s="47"/>
      <c r="J147" s="50"/>
      <c r="L147"/>
    </row>
    <row r="148" spans="2:13" ht="18" customHeight="1" thickBot="1">
      <c r="B148" s="132" t="s">
        <v>39</v>
      </c>
      <c r="C148" s="132" t="s">
        <v>39</v>
      </c>
      <c r="D148" s="132" t="s">
        <v>39</v>
      </c>
      <c r="E148" s="132" t="s">
        <v>39</v>
      </c>
      <c r="F148" s="133" t="s">
        <v>39</v>
      </c>
      <c r="G148" s="134">
        <v>19762</v>
      </c>
      <c r="H148" s="135">
        <v>19762</v>
      </c>
      <c r="I148" s="47"/>
      <c r="J148" s="50"/>
      <c r="L148"/>
    </row>
    <row r="149" spans="2:13" ht="17.25">
      <c r="G149" s="41"/>
      <c r="H149" s="41"/>
      <c r="I149" s="52"/>
      <c r="J149" s="52"/>
    </row>
    <row r="150" spans="2:13" ht="17.25">
      <c r="B150" s="40"/>
      <c r="C150" s="40"/>
      <c r="D150" s="40"/>
      <c r="E150" s="40"/>
      <c r="F150" s="40"/>
      <c r="G150" s="41"/>
      <c r="H150" s="41"/>
      <c r="I150" s="52"/>
      <c r="J150" s="52"/>
    </row>
    <row r="151" spans="2:13" ht="17.25">
      <c r="B151" s="87" t="s">
        <v>7</v>
      </c>
      <c r="C151" s="38"/>
      <c r="D151" s="38"/>
      <c r="E151" s="38"/>
      <c r="F151" s="38"/>
      <c r="G151" s="38"/>
      <c r="H151" s="39" t="s">
        <v>12</v>
      </c>
      <c r="I151" s="52"/>
      <c r="J151" s="52"/>
    </row>
    <row r="152" spans="2:13" ht="18" thickBot="1">
      <c r="B152" s="88" t="s">
        <v>29</v>
      </c>
      <c r="C152" s="38"/>
      <c r="D152" s="38"/>
      <c r="E152" s="38"/>
      <c r="F152" s="38"/>
      <c r="G152" s="38"/>
      <c r="H152" s="39"/>
      <c r="I152" s="52"/>
      <c r="J152" s="52"/>
    </row>
    <row r="153" spans="2:13" ht="15.75" thickBot="1">
      <c r="B153" s="145" t="s">
        <v>19</v>
      </c>
      <c r="C153" s="145"/>
      <c r="D153" s="145"/>
      <c r="E153" s="145"/>
      <c r="F153" s="146"/>
      <c r="G153" s="144" t="s">
        <v>6</v>
      </c>
      <c r="H153" s="144"/>
      <c r="I153" s="52"/>
      <c r="J153" s="52"/>
      <c r="K153"/>
      <c r="L153"/>
      <c r="M153"/>
    </row>
    <row r="154" spans="2:13" ht="17.25" customHeight="1">
      <c r="B154" s="140" t="s">
        <v>32</v>
      </c>
      <c r="C154" s="140" t="s">
        <v>32</v>
      </c>
      <c r="D154" s="140" t="s">
        <v>32</v>
      </c>
      <c r="E154" s="140" t="s">
        <v>32</v>
      </c>
      <c r="F154" s="141" t="s">
        <v>32</v>
      </c>
      <c r="G154" s="142">
        <v>14659</v>
      </c>
      <c r="H154" s="143">
        <v>14659</v>
      </c>
      <c r="I154" s="53"/>
      <c r="J154" s="50"/>
      <c r="K154" s="49"/>
      <c r="L154"/>
      <c r="M154"/>
    </row>
    <row r="155" spans="2:13" ht="17.25" customHeight="1">
      <c r="B155" s="136" t="s">
        <v>33</v>
      </c>
      <c r="C155" s="136" t="s">
        <v>33</v>
      </c>
      <c r="D155" s="136" t="s">
        <v>33</v>
      </c>
      <c r="E155" s="136" t="s">
        <v>33</v>
      </c>
      <c r="F155" s="137" t="s">
        <v>33</v>
      </c>
      <c r="G155" s="138">
        <v>11536</v>
      </c>
      <c r="H155" s="139">
        <v>11536</v>
      </c>
      <c r="I155" s="53"/>
      <c r="J155" s="50"/>
      <c r="K155" s="49"/>
      <c r="L155"/>
      <c r="M155"/>
    </row>
    <row r="156" spans="2:13" ht="17.25" customHeight="1">
      <c r="B156" s="136" t="s">
        <v>34</v>
      </c>
      <c r="C156" s="136" t="s">
        <v>34</v>
      </c>
      <c r="D156" s="136" t="s">
        <v>34</v>
      </c>
      <c r="E156" s="136" t="s">
        <v>34</v>
      </c>
      <c r="F156" s="137" t="s">
        <v>34</v>
      </c>
      <c r="G156" s="138">
        <v>11077</v>
      </c>
      <c r="H156" s="139">
        <v>11077</v>
      </c>
      <c r="I156" s="53"/>
      <c r="J156" s="50"/>
      <c r="K156" s="49"/>
      <c r="L156"/>
      <c r="M156"/>
    </row>
    <row r="157" spans="2:13" ht="17.25">
      <c r="B157" s="136" t="s">
        <v>31</v>
      </c>
      <c r="C157" s="136" t="s">
        <v>31</v>
      </c>
      <c r="D157" s="136" t="s">
        <v>31</v>
      </c>
      <c r="E157" s="136" t="s">
        <v>31</v>
      </c>
      <c r="F157" s="137" t="s">
        <v>31</v>
      </c>
      <c r="G157" s="138">
        <v>9145</v>
      </c>
      <c r="H157" s="139">
        <v>9145</v>
      </c>
      <c r="I157" s="53"/>
      <c r="J157" s="50"/>
      <c r="K157" s="49"/>
      <c r="L157"/>
      <c r="M157"/>
    </row>
    <row r="158" spans="2:13" ht="17.25" customHeight="1">
      <c r="B158" s="136" t="s">
        <v>50</v>
      </c>
      <c r="C158" s="136" t="s">
        <v>50</v>
      </c>
      <c r="D158" s="136" t="s">
        <v>50</v>
      </c>
      <c r="E158" s="136" t="s">
        <v>50</v>
      </c>
      <c r="F158" s="137" t="s">
        <v>50</v>
      </c>
      <c r="G158" s="138">
        <v>6063</v>
      </c>
      <c r="H158" s="139">
        <v>6063</v>
      </c>
      <c r="I158" s="53"/>
      <c r="J158" s="50"/>
      <c r="K158" s="49"/>
      <c r="L158"/>
      <c r="M158"/>
    </row>
    <row r="159" spans="2:13" ht="17.25" customHeight="1">
      <c r="B159" s="136" t="s">
        <v>35</v>
      </c>
      <c r="C159" s="136" t="s">
        <v>35</v>
      </c>
      <c r="D159" s="136" t="s">
        <v>35</v>
      </c>
      <c r="E159" s="136" t="s">
        <v>35</v>
      </c>
      <c r="F159" s="137" t="s">
        <v>35</v>
      </c>
      <c r="G159" s="138">
        <v>4833</v>
      </c>
      <c r="H159" s="139">
        <v>4833</v>
      </c>
      <c r="I159" s="54"/>
      <c r="J159" s="50"/>
      <c r="K159" s="49"/>
      <c r="L159"/>
      <c r="M159"/>
    </row>
    <row r="160" spans="2:13" ht="17.25" customHeight="1">
      <c r="B160" s="136" t="s">
        <v>36</v>
      </c>
      <c r="C160" s="136" t="s">
        <v>36</v>
      </c>
      <c r="D160" s="136" t="s">
        <v>36</v>
      </c>
      <c r="E160" s="136" t="s">
        <v>36</v>
      </c>
      <c r="F160" s="137" t="s">
        <v>36</v>
      </c>
      <c r="G160" s="138">
        <v>3314</v>
      </c>
      <c r="H160" s="139">
        <v>3314</v>
      </c>
      <c r="I160" s="53"/>
      <c r="J160" s="50"/>
      <c r="K160" s="49"/>
      <c r="L160"/>
      <c r="M160"/>
    </row>
    <row r="161" spans="2:13" ht="17.25" customHeight="1">
      <c r="B161" s="136" t="s">
        <v>40</v>
      </c>
      <c r="C161" s="136" t="s">
        <v>40</v>
      </c>
      <c r="D161" s="136" t="s">
        <v>40</v>
      </c>
      <c r="E161" s="136" t="s">
        <v>40</v>
      </c>
      <c r="F161" s="137" t="s">
        <v>40</v>
      </c>
      <c r="G161" s="138">
        <v>2269</v>
      </c>
      <c r="H161" s="139">
        <v>2269</v>
      </c>
      <c r="I161" s="53"/>
      <c r="J161" s="50"/>
      <c r="K161" s="49"/>
      <c r="L161"/>
      <c r="M161"/>
    </row>
    <row r="162" spans="2:13" ht="17.25">
      <c r="B162" s="136" t="s">
        <v>37</v>
      </c>
      <c r="C162" s="136" t="s">
        <v>37</v>
      </c>
      <c r="D162" s="136" t="s">
        <v>37</v>
      </c>
      <c r="E162" s="136" t="s">
        <v>37</v>
      </c>
      <c r="F162" s="137" t="s">
        <v>37</v>
      </c>
      <c r="G162" s="138">
        <v>1545</v>
      </c>
      <c r="H162" s="139">
        <v>1545</v>
      </c>
      <c r="I162" s="53"/>
      <c r="J162" s="50"/>
      <c r="K162" s="49"/>
      <c r="L162"/>
      <c r="M162"/>
    </row>
    <row r="163" spans="2:13" ht="18" customHeight="1" thickBot="1">
      <c r="B163" s="132" t="s">
        <v>38</v>
      </c>
      <c r="C163" s="132" t="s">
        <v>38</v>
      </c>
      <c r="D163" s="132" t="s">
        <v>38</v>
      </c>
      <c r="E163" s="132" t="s">
        <v>38</v>
      </c>
      <c r="F163" s="133" t="s">
        <v>38</v>
      </c>
      <c r="G163" s="134">
        <v>1525</v>
      </c>
      <c r="H163" s="135">
        <v>1525</v>
      </c>
      <c r="I163" s="53"/>
      <c r="J163" s="50"/>
      <c r="K163" s="49"/>
      <c r="L163"/>
      <c r="M163"/>
    </row>
    <row r="164" spans="2:13" ht="17.25">
      <c r="B164" s="40"/>
      <c r="C164" s="40"/>
      <c r="D164" s="40"/>
      <c r="E164" s="40"/>
      <c r="F164" s="40"/>
      <c r="G164" s="93"/>
      <c r="H164" s="93"/>
      <c r="I164" s="52"/>
      <c r="J164" s="52"/>
      <c r="L164"/>
      <c r="M164"/>
    </row>
    <row r="165" spans="2:13" ht="17.25">
      <c r="G165" s="41"/>
      <c r="H165" s="41"/>
      <c r="I165" s="2"/>
      <c r="J165" s="2"/>
    </row>
    <row r="166" spans="2:13" ht="17.25">
      <c r="B166" s="87" t="s">
        <v>8</v>
      </c>
      <c r="C166" s="38"/>
      <c r="D166" s="38"/>
      <c r="E166" s="38"/>
      <c r="F166" s="38"/>
      <c r="G166" s="38"/>
      <c r="H166" s="39" t="s">
        <v>14</v>
      </c>
      <c r="I166" s="2"/>
      <c r="J166" s="52"/>
      <c r="K166"/>
    </row>
    <row r="167" spans="2:13" ht="18" thickBot="1">
      <c r="B167" s="88" t="s">
        <v>30</v>
      </c>
      <c r="C167" s="38"/>
      <c r="D167" s="38"/>
      <c r="E167" s="38"/>
      <c r="F167" s="38"/>
      <c r="G167" s="38"/>
      <c r="H167" s="39"/>
      <c r="I167" s="2"/>
      <c r="J167" s="52"/>
      <c r="K167"/>
    </row>
    <row r="168" spans="2:13" ht="15" customHeight="1" thickBot="1">
      <c r="B168" s="94" t="s">
        <v>19</v>
      </c>
      <c r="C168" s="94"/>
      <c r="D168" s="94"/>
      <c r="E168" s="94"/>
      <c r="F168" s="95"/>
      <c r="G168" s="144" t="s">
        <v>9</v>
      </c>
      <c r="H168" s="144"/>
      <c r="I168" s="2"/>
      <c r="J168" s="2"/>
    </row>
    <row r="169" spans="2:13" ht="17.25" customHeight="1">
      <c r="B169" s="140" t="s">
        <v>50</v>
      </c>
      <c r="C169" s="140" t="s">
        <v>50</v>
      </c>
      <c r="D169" s="140" t="s">
        <v>50</v>
      </c>
      <c r="E169" s="140" t="s">
        <v>50</v>
      </c>
      <c r="F169" s="141" t="s">
        <v>50</v>
      </c>
      <c r="G169" s="142">
        <v>1393512095469.71</v>
      </c>
      <c r="H169" s="143">
        <v>1393512095469.71</v>
      </c>
      <c r="I169" s="55"/>
      <c r="J169" s="56"/>
    </row>
    <row r="170" spans="2:13" ht="17.25" customHeight="1">
      <c r="B170" s="136" t="s">
        <v>49</v>
      </c>
      <c r="C170" s="136" t="s">
        <v>49</v>
      </c>
      <c r="D170" s="136" t="s">
        <v>49</v>
      </c>
      <c r="E170" s="136" t="s">
        <v>49</v>
      </c>
      <c r="F170" s="137" t="s">
        <v>49</v>
      </c>
      <c r="G170" s="138">
        <v>949483060587.64001</v>
      </c>
      <c r="H170" s="139">
        <v>949483060587.64001</v>
      </c>
      <c r="I170" s="55"/>
      <c r="J170" s="56"/>
    </row>
    <row r="171" spans="2:13" ht="17.25" customHeight="1">
      <c r="B171" s="136" t="s">
        <v>34</v>
      </c>
      <c r="C171" s="136" t="s">
        <v>34</v>
      </c>
      <c r="D171" s="136" t="s">
        <v>34</v>
      </c>
      <c r="E171" s="136" t="s">
        <v>34</v>
      </c>
      <c r="F171" s="137" t="s">
        <v>34</v>
      </c>
      <c r="G171" s="138">
        <v>913058006778.20996</v>
      </c>
      <c r="H171" s="139">
        <v>913058006778.20996</v>
      </c>
      <c r="I171" s="55"/>
      <c r="J171" s="56"/>
    </row>
    <row r="172" spans="2:13" ht="17.25" customHeight="1">
      <c r="B172" s="136" t="s">
        <v>32</v>
      </c>
      <c r="C172" s="136" t="s">
        <v>32</v>
      </c>
      <c r="D172" s="136" t="s">
        <v>32</v>
      </c>
      <c r="E172" s="136" t="s">
        <v>32</v>
      </c>
      <c r="F172" s="137" t="s">
        <v>32</v>
      </c>
      <c r="G172" s="138">
        <v>767508519765.44995</v>
      </c>
      <c r="H172" s="139">
        <v>767508519765.44995</v>
      </c>
      <c r="I172" s="55"/>
      <c r="J172" s="56"/>
    </row>
    <row r="173" spans="2:13" ht="17.25" customHeight="1">
      <c r="B173" s="136" t="s">
        <v>43</v>
      </c>
      <c r="C173" s="136" t="s">
        <v>43</v>
      </c>
      <c r="D173" s="136" t="s">
        <v>43</v>
      </c>
      <c r="E173" s="136" t="s">
        <v>43</v>
      </c>
      <c r="F173" s="137" t="s">
        <v>43</v>
      </c>
      <c r="G173" s="138">
        <v>370011943884.58002</v>
      </c>
      <c r="H173" s="139">
        <v>370011943884.58002</v>
      </c>
      <c r="I173" s="57"/>
      <c r="J173" s="50"/>
    </row>
    <row r="174" spans="2:13" ht="17.25" customHeight="1">
      <c r="B174" s="136" t="s">
        <v>42</v>
      </c>
      <c r="C174" s="136" t="s">
        <v>42</v>
      </c>
      <c r="D174" s="136" t="s">
        <v>42</v>
      </c>
      <c r="E174" s="136" t="s">
        <v>42</v>
      </c>
      <c r="F174" s="137" t="s">
        <v>42</v>
      </c>
      <c r="G174" s="138">
        <v>301609464276.22998</v>
      </c>
      <c r="H174" s="139">
        <v>301609464276.22998</v>
      </c>
      <c r="I174" s="55"/>
      <c r="J174" s="56"/>
    </row>
    <row r="175" spans="2:13" ht="17.25" customHeight="1">
      <c r="B175" s="136" t="s">
        <v>33</v>
      </c>
      <c r="C175" s="136" t="s">
        <v>33</v>
      </c>
      <c r="D175" s="136" t="s">
        <v>33</v>
      </c>
      <c r="E175" s="136" t="s">
        <v>33</v>
      </c>
      <c r="F175" s="137" t="s">
        <v>33</v>
      </c>
      <c r="G175" s="138">
        <v>270247662315.73001</v>
      </c>
      <c r="H175" s="139">
        <v>270247662315.73001</v>
      </c>
      <c r="I175" s="55"/>
      <c r="J175" s="56"/>
    </row>
    <row r="176" spans="2:13" ht="17.25" customHeight="1">
      <c r="B176" s="136" t="s">
        <v>41</v>
      </c>
      <c r="C176" s="136" t="s">
        <v>41</v>
      </c>
      <c r="D176" s="136" t="s">
        <v>41</v>
      </c>
      <c r="E176" s="136" t="s">
        <v>41</v>
      </c>
      <c r="F176" s="137" t="s">
        <v>41</v>
      </c>
      <c r="G176" s="138">
        <v>265789629975.97</v>
      </c>
      <c r="H176" s="139">
        <v>265789629975.97</v>
      </c>
      <c r="I176" s="55"/>
      <c r="J176" s="56"/>
    </row>
    <row r="177" spans="2:10" ht="17.25" customHeight="1">
      <c r="B177" s="136" t="s">
        <v>48</v>
      </c>
      <c r="C177" s="136" t="s">
        <v>48</v>
      </c>
      <c r="D177" s="136" t="s">
        <v>48</v>
      </c>
      <c r="E177" s="136" t="s">
        <v>48</v>
      </c>
      <c r="F177" s="137" t="s">
        <v>48</v>
      </c>
      <c r="G177" s="138">
        <v>207048991605.14001</v>
      </c>
      <c r="H177" s="139">
        <v>207048991605.14001</v>
      </c>
      <c r="I177" s="55"/>
      <c r="J177" s="56"/>
    </row>
    <row r="178" spans="2:10" ht="18" customHeight="1" thickBot="1">
      <c r="B178" s="132" t="s">
        <v>37</v>
      </c>
      <c r="C178" s="132" t="s">
        <v>37</v>
      </c>
      <c r="D178" s="132" t="s">
        <v>37</v>
      </c>
      <c r="E178" s="132" t="s">
        <v>37</v>
      </c>
      <c r="F178" s="133" t="s">
        <v>37</v>
      </c>
      <c r="G178" s="134">
        <v>161744842375.54999</v>
      </c>
      <c r="H178" s="135">
        <v>161744842375.54999</v>
      </c>
      <c r="I178" s="55"/>
      <c r="J178" s="56"/>
    </row>
    <row r="179" spans="2:10" ht="17.25">
      <c r="G179" s="41"/>
      <c r="H179" s="41"/>
      <c r="J179" s="48"/>
    </row>
    <row r="180" spans="2:10">
      <c r="B180" s="58"/>
      <c r="J180" s="48"/>
    </row>
  </sheetData>
  <dataConsolidate link="1"/>
  <mergeCells count="100">
    <mergeCell ref="B2:H2"/>
    <mergeCell ref="B3:H3"/>
    <mergeCell ref="I3:N3"/>
    <mergeCell ref="B11:D11"/>
    <mergeCell ref="B12:D12"/>
    <mergeCell ref="B13:D13"/>
    <mergeCell ref="B24:D24"/>
    <mergeCell ref="B25:D25"/>
    <mergeCell ref="B26:D26"/>
    <mergeCell ref="B27:D27"/>
    <mergeCell ref="B28:D28"/>
    <mergeCell ref="B33:D33"/>
    <mergeCell ref="B14:D14"/>
    <mergeCell ref="B15:D15"/>
    <mergeCell ref="B16:D16"/>
    <mergeCell ref="B17:D17"/>
    <mergeCell ref="B22:D22"/>
    <mergeCell ref="B23:D23"/>
    <mergeCell ref="H48:I48"/>
    <mergeCell ref="B49:D49"/>
    <mergeCell ref="B50:D50"/>
    <mergeCell ref="B51:D51"/>
    <mergeCell ref="B52:D52"/>
    <mergeCell ref="B53:D53"/>
    <mergeCell ref="B34:D34"/>
    <mergeCell ref="B35:D35"/>
    <mergeCell ref="B36:D36"/>
    <mergeCell ref="B37:D37"/>
    <mergeCell ref="B38:D38"/>
    <mergeCell ref="B39:D39"/>
    <mergeCell ref="B54:D54"/>
    <mergeCell ref="B128:F128"/>
    <mergeCell ref="G128:H128"/>
    <mergeCell ref="B143:F143"/>
    <mergeCell ref="G143:H143"/>
    <mergeCell ref="B129:F129"/>
    <mergeCell ref="G129:H129"/>
    <mergeCell ref="B138:F138"/>
    <mergeCell ref="G138:H138"/>
    <mergeCell ref="B139:F139"/>
    <mergeCell ref="G139:H139"/>
    <mergeCell ref="B144:F144"/>
    <mergeCell ref="G144:H144"/>
    <mergeCell ref="B145:F145"/>
    <mergeCell ref="G145:H145"/>
    <mergeCell ref="B140:F140"/>
    <mergeCell ref="G140:H140"/>
    <mergeCell ref="B141:F141"/>
    <mergeCell ref="G141:H141"/>
    <mergeCell ref="B142:F142"/>
    <mergeCell ref="G142:H142"/>
    <mergeCell ref="B153:F153"/>
    <mergeCell ref="G153:H153"/>
    <mergeCell ref="B154:F154"/>
    <mergeCell ref="G154:H154"/>
    <mergeCell ref="B155:F155"/>
    <mergeCell ref="G155:H155"/>
    <mergeCell ref="B146:F146"/>
    <mergeCell ref="G146:H146"/>
    <mergeCell ref="B147:F147"/>
    <mergeCell ref="G147:H147"/>
    <mergeCell ref="B148:F148"/>
    <mergeCell ref="G148:H148"/>
    <mergeCell ref="B159:F159"/>
    <mergeCell ref="G159:H159"/>
    <mergeCell ref="B160:F160"/>
    <mergeCell ref="G160:H160"/>
    <mergeCell ref="B161:F161"/>
    <mergeCell ref="G161:H161"/>
    <mergeCell ref="B156:F156"/>
    <mergeCell ref="G156:H156"/>
    <mergeCell ref="B157:F157"/>
    <mergeCell ref="G157:H157"/>
    <mergeCell ref="B158:F158"/>
    <mergeCell ref="G158:H158"/>
    <mergeCell ref="B162:F162"/>
    <mergeCell ref="G162:H162"/>
    <mergeCell ref="B163:F163"/>
    <mergeCell ref="G163:H163"/>
    <mergeCell ref="G168:H168"/>
    <mergeCell ref="B169:F169"/>
    <mergeCell ref="G169:H169"/>
    <mergeCell ref="B176:F176"/>
    <mergeCell ref="G176:H176"/>
    <mergeCell ref="B177:F177"/>
    <mergeCell ref="G177:H177"/>
    <mergeCell ref="B170:F170"/>
    <mergeCell ref="G170:H170"/>
    <mergeCell ref="B171:F171"/>
    <mergeCell ref="G171:H171"/>
    <mergeCell ref="B172:F172"/>
    <mergeCell ref="G172:H172"/>
    <mergeCell ref="B178:F178"/>
    <mergeCell ref="G178:H178"/>
    <mergeCell ref="B173:F173"/>
    <mergeCell ref="G173:H173"/>
    <mergeCell ref="B174:F174"/>
    <mergeCell ref="G174:H174"/>
    <mergeCell ref="B175:F175"/>
    <mergeCell ref="G175:H175"/>
  </mergeCells>
  <pageMargins left="0.70866141732283472" right="0.70866141732283472" top="0.15748031496062992" bottom="0.15748031496062992" header="0.31496062992125984" footer="0.11811023622047245"/>
  <pageSetup paperSize="9" scale="47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49" max="16383" man="1"/>
    <brk id="192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39265">
          <objectPr defaultSize="0" autoPict="0" dde="1">
            <anchor moveWithCells="1">
              <from>
                <xdr:col>0</xdr:col>
                <xdr:colOff>123825</xdr:colOff>
                <xdr:row>72</xdr:row>
                <xdr:rowOff>123825</xdr:rowOff>
              </from>
              <to>
                <xdr:col>1</xdr:col>
                <xdr:colOff>257175</xdr:colOff>
                <xdr:row>74</xdr:row>
                <xdr:rowOff>0</xdr:rowOff>
              </to>
            </anchor>
          </objectPr>
        </oleObject>
      </mc:Choice>
      <mc:Fallback>
        <oleObject link="[1]!'!Январь2012!R1C2:R10C9'" oleUpdate="OLEUPDATE_ALWAYS" shapeId="139265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98">
    <pageSetUpPr fitToPage="1"/>
  </sheetPr>
  <dimension ref="B2:N180"/>
  <sheetViews>
    <sheetView workbookViewId="0"/>
  </sheetViews>
  <sheetFormatPr defaultRowHeight="13.5"/>
  <cols>
    <col min="1" max="1" width="3.42578125" style="75" customWidth="1"/>
    <col min="2" max="2" width="46.7109375" style="75" customWidth="1"/>
    <col min="3" max="4" width="18.42578125" style="75" customWidth="1"/>
    <col min="5" max="9" width="25.5703125" style="75" customWidth="1"/>
    <col min="10" max="10" width="10.5703125" style="75" customWidth="1"/>
    <col min="11" max="11" width="14.85546875" style="75" bestFit="1" customWidth="1"/>
    <col min="12" max="12" width="9.140625" style="75"/>
    <col min="13" max="13" width="23.42578125" style="75" customWidth="1"/>
    <col min="14" max="16384" width="9.140625" style="75"/>
  </cols>
  <sheetData>
    <row r="2" spans="2:14" s="1" customFormat="1" ht="20.25">
      <c r="B2" s="183" t="s">
        <v>15</v>
      </c>
      <c r="C2" s="183"/>
      <c r="D2" s="183"/>
      <c r="E2" s="183"/>
      <c r="F2" s="183"/>
      <c r="G2" s="183"/>
      <c r="H2" s="183"/>
    </row>
    <row r="3" spans="2:14" s="1" customFormat="1" ht="21" thickBot="1">
      <c r="B3" s="184">
        <v>42094</v>
      </c>
      <c r="C3" s="184"/>
      <c r="D3" s="184"/>
      <c r="E3" s="184"/>
      <c r="F3" s="184"/>
      <c r="G3" s="184"/>
      <c r="H3" s="184"/>
      <c r="I3" s="184"/>
      <c r="J3" s="184"/>
      <c r="K3" s="184"/>
      <c r="L3" s="184"/>
      <c r="M3" s="184"/>
      <c r="N3" s="184"/>
    </row>
    <row r="4" spans="2:14" s="1" customFormat="1" ht="18" thickTop="1"/>
    <row r="5" spans="2:14" s="1" customFormat="1" ht="17.25">
      <c r="B5" s="17"/>
      <c r="C5" s="17"/>
      <c r="D5" s="17"/>
      <c r="E5" s="17"/>
      <c r="F5" s="17"/>
      <c r="G5" s="17"/>
      <c r="H5" s="17"/>
    </row>
    <row r="6" spans="2:14" s="1" customFormat="1" ht="17.25">
      <c r="B6" s="18" t="s">
        <v>20</v>
      </c>
      <c r="C6" s="68">
        <f>B3</f>
        <v>42094</v>
      </c>
      <c r="D6" s="17"/>
      <c r="E6" s="17"/>
      <c r="F6" s="17"/>
      <c r="G6" s="17"/>
      <c r="H6" s="17"/>
    </row>
    <row r="7" spans="2:14" s="1" customFormat="1" ht="18" thickBot="1">
      <c r="B7" s="21"/>
      <c r="C7" s="21"/>
      <c r="D7" s="21"/>
      <c r="E7" s="21"/>
      <c r="F7" s="21"/>
      <c r="G7" s="21"/>
      <c r="H7" s="21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3" t="s">
        <v>44</v>
      </c>
      <c r="C10" s="14"/>
      <c r="D10" s="14"/>
      <c r="E10" s="14"/>
      <c r="F10" s="14"/>
      <c r="G10" s="14"/>
      <c r="H10" s="15" t="s">
        <v>13</v>
      </c>
    </row>
    <row r="11" spans="2:14" s="46" customFormat="1" ht="15.75" thickBot="1">
      <c r="B11" s="179" t="s">
        <v>18</v>
      </c>
      <c r="C11" s="179"/>
      <c r="D11" s="180"/>
      <c r="E11" s="73">
        <v>42063</v>
      </c>
      <c r="F11" s="73">
        <f>EDATE(E11,1)</f>
        <v>42091</v>
      </c>
      <c r="G11" s="45" t="s">
        <v>10</v>
      </c>
      <c r="H11" s="45" t="s">
        <v>11</v>
      </c>
      <c r="J11" s="77"/>
    </row>
    <row r="12" spans="2:14" s="76" customFormat="1" ht="17.25">
      <c r="B12" s="181" t="s">
        <v>0</v>
      </c>
      <c r="C12" s="181"/>
      <c r="D12" s="182"/>
      <c r="E12" s="78">
        <f>Февраль2015!F12</f>
        <v>1165812</v>
      </c>
      <c r="F12" s="84">
        <v>1171185</v>
      </c>
      <c r="G12" s="11">
        <f>F12-E12</f>
        <v>5373</v>
      </c>
      <c r="H12" s="59">
        <f t="shared" ref="H12:H18" si="0">F12/E12-1</f>
        <v>4.6088048501817802E-3</v>
      </c>
      <c r="I12" s="85"/>
      <c r="J12" s="86"/>
    </row>
    <row r="13" spans="2:14" s="76" customFormat="1" ht="17.25">
      <c r="B13" s="177" t="s">
        <v>1</v>
      </c>
      <c r="C13" s="177"/>
      <c r="D13" s="178"/>
      <c r="E13" s="78">
        <f>Февраль2015!F13</f>
        <v>35258</v>
      </c>
      <c r="F13" s="84">
        <v>35547</v>
      </c>
      <c r="G13" s="11">
        <f t="shared" ref="G13:G18" si="1">F13-E13</f>
        <v>289</v>
      </c>
      <c r="H13" s="59">
        <f t="shared" si="0"/>
        <v>8.1967213114753079E-3</v>
      </c>
      <c r="I13" s="85"/>
      <c r="J13" s="86"/>
    </row>
    <row r="14" spans="2:14" s="76" customFormat="1" ht="17.25">
      <c r="B14" s="177" t="s">
        <v>2</v>
      </c>
      <c r="C14" s="177"/>
      <c r="D14" s="178"/>
      <c r="E14" s="78">
        <f>Февраль2015!F14</f>
        <v>13101</v>
      </c>
      <c r="F14" s="84">
        <v>13591</v>
      </c>
      <c r="G14" s="11">
        <f t="shared" si="1"/>
        <v>490</v>
      </c>
      <c r="H14" s="59">
        <f t="shared" si="0"/>
        <v>3.7401725059155844E-2</v>
      </c>
      <c r="I14" s="85"/>
      <c r="J14" s="86"/>
    </row>
    <row r="15" spans="2:14" s="76" customFormat="1" ht="17.25">
      <c r="B15" s="162" t="s">
        <v>23</v>
      </c>
      <c r="C15" s="162"/>
      <c r="D15" s="163"/>
      <c r="E15" s="78">
        <f>Февраль2015!F15</f>
        <v>3350</v>
      </c>
      <c r="F15" s="84">
        <v>3434</v>
      </c>
      <c r="G15" s="11">
        <f t="shared" si="1"/>
        <v>84</v>
      </c>
      <c r="H15" s="59">
        <f t="shared" si="0"/>
        <v>2.5074626865671634E-2</v>
      </c>
      <c r="I15" s="85"/>
      <c r="J15" s="86"/>
    </row>
    <row r="16" spans="2:14" s="76" customFormat="1" ht="17.25">
      <c r="B16" s="164" t="s">
        <v>24</v>
      </c>
      <c r="C16" s="164"/>
      <c r="D16" s="165"/>
      <c r="E16" s="78">
        <f>Февраль2015!F16</f>
        <v>9751</v>
      </c>
      <c r="F16" s="84">
        <v>10157</v>
      </c>
      <c r="G16" s="11">
        <f t="shared" si="1"/>
        <v>406</v>
      </c>
      <c r="H16" s="59">
        <f t="shared" si="0"/>
        <v>4.1636755204594422E-2</v>
      </c>
      <c r="I16" s="85"/>
      <c r="J16" s="86"/>
    </row>
    <row r="17" spans="2:10" s="76" customFormat="1" ht="18" customHeight="1" thickBot="1">
      <c r="B17" s="175" t="s">
        <v>3</v>
      </c>
      <c r="C17" s="175"/>
      <c r="D17" s="176"/>
      <c r="E17" s="78">
        <f>Февраль2015!F17</f>
        <v>13081</v>
      </c>
      <c r="F17" s="84">
        <v>13329</v>
      </c>
      <c r="G17" s="11">
        <f t="shared" si="1"/>
        <v>248</v>
      </c>
      <c r="H17" s="59">
        <f t="shared" si="0"/>
        <v>1.8958795199143896E-2</v>
      </c>
      <c r="I17" s="85"/>
      <c r="J17" s="86"/>
    </row>
    <row r="18" spans="2:10" s="70" customFormat="1" ht="18" thickBot="1">
      <c r="B18" s="60" t="s">
        <v>4</v>
      </c>
      <c r="C18" s="60"/>
      <c r="D18" s="61"/>
      <c r="E18" s="72">
        <f>Февраль2015!F18</f>
        <v>1227252</v>
      </c>
      <c r="F18" s="72">
        <v>1233652</v>
      </c>
      <c r="G18" s="72">
        <f t="shared" si="1"/>
        <v>6400</v>
      </c>
      <c r="H18" s="69">
        <f t="shared" si="0"/>
        <v>5.2149028887302773E-3</v>
      </c>
      <c r="I18" s="85"/>
      <c r="J18" s="86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3" t="s">
        <v>45</v>
      </c>
      <c r="C21" s="14"/>
      <c r="D21" s="14"/>
      <c r="E21" s="14"/>
      <c r="F21" s="14"/>
      <c r="G21" s="14"/>
      <c r="H21" s="15" t="s">
        <v>12</v>
      </c>
    </row>
    <row r="22" spans="2:10" s="76" customFormat="1" ht="15.75" thickBot="1">
      <c r="B22" s="179" t="s">
        <v>18</v>
      </c>
      <c r="C22" s="179"/>
      <c r="D22" s="180"/>
      <c r="E22" s="73">
        <f>E11</f>
        <v>42063</v>
      </c>
      <c r="F22" s="73">
        <f>F11</f>
        <v>42091</v>
      </c>
      <c r="G22" s="45" t="s">
        <v>10</v>
      </c>
      <c r="H22" s="45" t="s">
        <v>11</v>
      </c>
      <c r="J22" s="77"/>
    </row>
    <row r="23" spans="2:10" s="76" customFormat="1" ht="17.25">
      <c r="B23" s="181" t="s">
        <v>0</v>
      </c>
      <c r="C23" s="181"/>
      <c r="D23" s="182"/>
      <c r="E23" s="78">
        <f>Февраль2015!F23</f>
        <v>964598</v>
      </c>
      <c r="F23" s="84">
        <v>965577</v>
      </c>
      <c r="G23" s="11">
        <f>F23-E23</f>
        <v>979</v>
      </c>
      <c r="H23" s="59">
        <f>F23/E23-1</f>
        <v>1.0149305721138813E-3</v>
      </c>
      <c r="I23" s="86"/>
    </row>
    <row r="24" spans="2:10" s="76" customFormat="1" ht="17.25">
      <c r="B24" s="177" t="s">
        <v>1</v>
      </c>
      <c r="C24" s="177"/>
      <c r="D24" s="178"/>
      <c r="E24" s="78">
        <f>Февраль2015!F24</f>
        <v>20398</v>
      </c>
      <c r="F24" s="84">
        <v>20587</v>
      </c>
      <c r="G24" s="11">
        <f t="shared" ref="G24:G29" si="2">F24-E24</f>
        <v>189</v>
      </c>
      <c r="H24" s="59">
        <f t="shared" ref="H24:H29" si="3">F24/E24-1</f>
        <v>9.2656142759093285E-3</v>
      </c>
      <c r="I24" s="86"/>
    </row>
    <row r="25" spans="2:10" s="76" customFormat="1" ht="17.25">
      <c r="B25" s="177" t="s">
        <v>2</v>
      </c>
      <c r="C25" s="177"/>
      <c r="D25" s="178"/>
      <c r="E25" s="78">
        <f>Февраль2015!F25</f>
        <v>7683</v>
      </c>
      <c r="F25" s="84">
        <v>8231</v>
      </c>
      <c r="G25" s="11">
        <f t="shared" si="2"/>
        <v>548</v>
      </c>
      <c r="H25" s="59">
        <f t="shared" si="3"/>
        <v>7.1326304828842835E-2</v>
      </c>
      <c r="I25" s="86"/>
    </row>
    <row r="26" spans="2:10" s="76" customFormat="1" ht="17.25">
      <c r="B26" s="162" t="s">
        <v>23</v>
      </c>
      <c r="C26" s="162"/>
      <c r="D26" s="163"/>
      <c r="E26" s="78">
        <f>Февраль2015!F26</f>
        <v>3272</v>
      </c>
      <c r="F26" s="84">
        <v>3345</v>
      </c>
      <c r="G26" s="11">
        <f t="shared" si="2"/>
        <v>73</v>
      </c>
      <c r="H26" s="59">
        <f t="shared" si="3"/>
        <v>2.2310513447432845E-2</v>
      </c>
      <c r="I26" s="86"/>
    </row>
    <row r="27" spans="2:10" s="76" customFormat="1" ht="17.25">
      <c r="B27" s="164" t="s">
        <v>24</v>
      </c>
      <c r="C27" s="164"/>
      <c r="D27" s="165"/>
      <c r="E27" s="78">
        <f>Февраль2015!F27</f>
        <v>4411</v>
      </c>
      <c r="F27" s="84">
        <v>4886</v>
      </c>
      <c r="G27" s="11">
        <f t="shared" si="2"/>
        <v>475</v>
      </c>
      <c r="H27" s="59">
        <f t="shared" si="3"/>
        <v>0.10768533212423481</v>
      </c>
      <c r="I27" s="86"/>
    </row>
    <row r="28" spans="2:10" s="76" customFormat="1" ht="18" thickBot="1">
      <c r="B28" s="175" t="s">
        <v>3</v>
      </c>
      <c r="C28" s="175"/>
      <c r="D28" s="176"/>
      <c r="E28" s="78">
        <f>Февраль2015!F28</f>
        <v>5023</v>
      </c>
      <c r="F28" s="84">
        <v>5043</v>
      </c>
      <c r="G28" s="11">
        <f t="shared" si="2"/>
        <v>20</v>
      </c>
      <c r="H28" s="59">
        <f t="shared" si="3"/>
        <v>3.9816842524387219E-3</v>
      </c>
      <c r="I28" s="86"/>
    </row>
    <row r="29" spans="2:10" s="70" customFormat="1" ht="18" thickBot="1">
      <c r="B29" s="60" t="s">
        <v>4</v>
      </c>
      <c r="C29" s="60"/>
      <c r="D29" s="61"/>
      <c r="E29" s="72">
        <f>Февраль2015!F29</f>
        <v>997702</v>
      </c>
      <c r="F29" s="72">
        <v>999438</v>
      </c>
      <c r="G29" s="72">
        <f t="shared" si="2"/>
        <v>1736</v>
      </c>
      <c r="H29" s="69">
        <f t="shared" si="3"/>
        <v>1.7399985165911236E-3</v>
      </c>
      <c r="I29" s="86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3" t="s">
        <v>16</v>
      </c>
      <c r="C32" s="14"/>
      <c r="D32" s="14"/>
      <c r="E32" s="14"/>
      <c r="F32" s="14"/>
      <c r="G32" s="14"/>
      <c r="H32" s="15" t="s">
        <v>14</v>
      </c>
    </row>
    <row r="33" spans="2:9" ht="15.75" thickBot="1">
      <c r="B33" s="145" t="s">
        <v>18</v>
      </c>
      <c r="C33" s="145"/>
      <c r="D33" s="146"/>
      <c r="E33" s="73">
        <f>E11</f>
        <v>42063</v>
      </c>
      <c r="F33" s="73">
        <f>F11</f>
        <v>42091</v>
      </c>
      <c r="G33" s="16" t="s">
        <v>10</v>
      </c>
      <c r="H33" s="16" t="s">
        <v>11</v>
      </c>
    </row>
    <row r="34" spans="2:9" ht="17.25">
      <c r="B34" s="160" t="s">
        <v>0</v>
      </c>
      <c r="C34" s="160"/>
      <c r="D34" s="161"/>
      <c r="E34" s="78">
        <f>Февраль2015!F34</f>
        <v>75145</v>
      </c>
      <c r="F34" s="78">
        <v>72982</v>
      </c>
      <c r="G34" s="11">
        <f t="shared" ref="G34:G40" si="4">F34-E34</f>
        <v>-2163</v>
      </c>
      <c r="H34" s="59">
        <f t="shared" ref="H34:H40" si="5">F34/E34-1</f>
        <v>-2.8784350256171432E-2</v>
      </c>
      <c r="I34" s="58"/>
    </row>
    <row r="35" spans="2:9" ht="17.25">
      <c r="B35" s="136" t="s">
        <v>1</v>
      </c>
      <c r="C35" s="136"/>
      <c r="D35" s="137"/>
      <c r="E35" s="78">
        <f>Февраль2015!F35</f>
        <v>1134</v>
      </c>
      <c r="F35" s="78">
        <v>1165</v>
      </c>
      <c r="G35" s="11">
        <f t="shared" si="4"/>
        <v>31</v>
      </c>
      <c r="H35" s="59">
        <f t="shared" si="5"/>
        <v>2.733686067019403E-2</v>
      </c>
      <c r="I35" s="58"/>
    </row>
    <row r="36" spans="2:9" ht="17.25">
      <c r="B36" s="136" t="s">
        <v>2</v>
      </c>
      <c r="C36" s="136"/>
      <c r="D36" s="137"/>
      <c r="E36" s="78">
        <f>Февраль2015!F36</f>
        <v>614</v>
      </c>
      <c r="F36" s="78">
        <v>632</v>
      </c>
      <c r="G36" s="11">
        <f t="shared" si="4"/>
        <v>18</v>
      </c>
      <c r="H36" s="59">
        <f t="shared" si="5"/>
        <v>2.931596091205213E-2</v>
      </c>
      <c r="I36" s="58"/>
    </row>
    <row r="37" spans="2:9" ht="17.25">
      <c r="B37" s="162" t="s">
        <v>23</v>
      </c>
      <c r="C37" s="162"/>
      <c r="D37" s="163"/>
      <c r="E37" s="78">
        <f>Февраль2015!F37</f>
        <v>246</v>
      </c>
      <c r="F37" s="78">
        <v>252</v>
      </c>
      <c r="G37" s="11">
        <f t="shared" si="4"/>
        <v>6</v>
      </c>
      <c r="H37" s="59">
        <f t="shared" si="5"/>
        <v>2.4390243902439046E-2</v>
      </c>
      <c r="I37" s="58"/>
    </row>
    <row r="38" spans="2:9" ht="17.25">
      <c r="B38" s="164" t="s">
        <v>24</v>
      </c>
      <c r="C38" s="164"/>
      <c r="D38" s="165"/>
      <c r="E38" s="78">
        <f>Февраль2015!F38</f>
        <v>368</v>
      </c>
      <c r="F38" s="78">
        <v>380</v>
      </c>
      <c r="G38" s="11">
        <f t="shared" si="4"/>
        <v>12</v>
      </c>
      <c r="H38" s="59">
        <f t="shared" si="5"/>
        <v>3.2608695652173836E-2</v>
      </c>
      <c r="I38" s="58"/>
    </row>
    <row r="39" spans="2:9" ht="18" thickBot="1">
      <c r="B39" s="166" t="s">
        <v>3</v>
      </c>
      <c r="C39" s="166"/>
      <c r="D39" s="167"/>
      <c r="E39" s="78">
        <f>Февраль2015!F39</f>
        <v>602</v>
      </c>
      <c r="F39" s="78">
        <v>524</v>
      </c>
      <c r="G39" s="11">
        <f t="shared" si="4"/>
        <v>-78</v>
      </c>
      <c r="H39" s="59">
        <f t="shared" si="5"/>
        <v>-0.12956810631229232</v>
      </c>
      <c r="I39" s="58"/>
    </row>
    <row r="40" spans="2:9" s="70" customFormat="1" ht="18" thickBot="1">
      <c r="B40" s="60" t="s">
        <v>4</v>
      </c>
      <c r="C40" s="60"/>
      <c r="D40" s="61"/>
      <c r="E40" s="72">
        <f>Февраль2015!F40</f>
        <v>77495</v>
      </c>
      <c r="F40" s="72">
        <v>75303</v>
      </c>
      <c r="G40" s="72">
        <f t="shared" si="4"/>
        <v>-2192</v>
      </c>
      <c r="H40" s="69">
        <f t="shared" si="5"/>
        <v>-2.8285695851345216E-2</v>
      </c>
      <c r="I40" s="58"/>
    </row>
    <row r="41" spans="2:9" ht="15">
      <c r="B41" s="6"/>
      <c r="C41" s="6"/>
      <c r="D41" s="6"/>
      <c r="E41" s="42"/>
      <c r="F41" s="42"/>
      <c r="G41" s="43"/>
      <c r="H41" s="44"/>
    </row>
    <row r="42" spans="2:9" ht="15">
      <c r="B42" s="10"/>
      <c r="C42" s="2"/>
      <c r="D42" s="2"/>
      <c r="E42" s="2"/>
      <c r="F42" s="2"/>
      <c r="G42" s="2"/>
    </row>
    <row r="43" spans="2:9" ht="17.25">
      <c r="B43" s="19"/>
      <c r="C43" s="19"/>
      <c r="D43" s="19"/>
      <c r="E43" s="19"/>
      <c r="F43" s="19"/>
      <c r="G43" s="19"/>
      <c r="H43" s="19"/>
    </row>
    <row r="44" spans="2:9" ht="17.25">
      <c r="B44" s="20" t="s">
        <v>17</v>
      </c>
      <c r="C44" s="19"/>
      <c r="D44" s="19"/>
      <c r="E44" s="19"/>
      <c r="F44" s="19"/>
      <c r="G44" s="19"/>
      <c r="H44" s="19"/>
    </row>
    <row r="45" spans="2:9" ht="18" thickBot="1">
      <c r="B45" s="22"/>
      <c r="C45" s="22"/>
      <c r="D45" s="22"/>
      <c r="E45" s="22"/>
      <c r="F45" s="22"/>
      <c r="G45" s="22"/>
      <c r="H45" s="22"/>
    </row>
    <row r="47" spans="2:9">
      <c r="F47" s="5"/>
    </row>
    <row r="48" spans="2:9" ht="18" thickBot="1">
      <c r="B48" s="12" t="s">
        <v>46</v>
      </c>
      <c r="C48" s="23"/>
      <c r="D48" s="23"/>
      <c r="E48" s="23"/>
      <c r="F48" s="23"/>
      <c r="G48" s="23"/>
      <c r="H48" s="168" t="s">
        <v>13</v>
      </c>
      <c r="I48" s="168"/>
    </row>
    <row r="49" spans="2:9" ht="15.75" thickBot="1">
      <c r="B49" s="145" t="s">
        <v>18</v>
      </c>
      <c r="C49" s="145"/>
      <c r="D49" s="146"/>
      <c r="E49" s="73">
        <v>40543</v>
      </c>
      <c r="F49" s="73">
        <v>40908</v>
      </c>
      <c r="G49" s="73">
        <v>41274</v>
      </c>
      <c r="H49" s="73">
        <v>41639</v>
      </c>
      <c r="I49" s="73">
        <v>42004</v>
      </c>
    </row>
    <row r="50" spans="2:9" ht="17.25">
      <c r="B50" s="169" t="s">
        <v>0</v>
      </c>
      <c r="C50" s="169"/>
      <c r="D50" s="170"/>
      <c r="E50" s="80">
        <v>714295</v>
      </c>
      <c r="F50" s="80">
        <v>772175</v>
      </c>
      <c r="G50" s="80">
        <v>805549</v>
      </c>
      <c r="H50" s="80">
        <v>881844</v>
      </c>
      <c r="I50" s="80">
        <v>944559</v>
      </c>
    </row>
    <row r="51" spans="2:9" ht="17.25">
      <c r="B51" s="171" t="s">
        <v>1</v>
      </c>
      <c r="C51" s="171"/>
      <c r="D51" s="172"/>
      <c r="E51" s="81">
        <v>17170</v>
      </c>
      <c r="F51" s="81">
        <v>16850</v>
      </c>
      <c r="G51" s="81">
        <v>17821</v>
      </c>
      <c r="H51" s="81">
        <v>19539</v>
      </c>
      <c r="I51" s="81">
        <v>20178</v>
      </c>
    </row>
    <row r="52" spans="2:9" ht="17.25">
      <c r="B52" s="173" t="s">
        <v>2</v>
      </c>
      <c r="C52" s="173"/>
      <c r="D52" s="174"/>
      <c r="E52" s="83">
        <v>4295</v>
      </c>
      <c r="F52" s="83">
        <v>5058</v>
      </c>
      <c r="G52" s="83">
        <v>5876</v>
      </c>
      <c r="H52" s="83">
        <v>6957</v>
      </c>
      <c r="I52" s="83">
        <v>7486</v>
      </c>
    </row>
    <row r="53" spans="2:9" ht="18" thickBot="1">
      <c r="B53" s="158" t="s">
        <v>3</v>
      </c>
      <c r="C53" s="158"/>
      <c r="D53" s="159"/>
      <c r="E53" s="79">
        <v>5348</v>
      </c>
      <c r="F53" s="79">
        <v>5242</v>
      </c>
      <c r="G53" s="79">
        <v>5261</v>
      </c>
      <c r="H53" s="79">
        <v>5182</v>
      </c>
      <c r="I53" s="79">
        <v>5142</v>
      </c>
    </row>
    <row r="54" spans="2:9" s="71" customFormat="1" ht="18" thickBot="1">
      <c r="B54" s="147" t="s">
        <v>4</v>
      </c>
      <c r="C54" s="147"/>
      <c r="D54" s="148"/>
      <c r="E54" s="82">
        <v>741108</v>
      </c>
      <c r="F54" s="82">
        <v>799325</v>
      </c>
      <c r="G54" s="82">
        <v>834507</v>
      </c>
      <c r="H54" s="82">
        <v>913522</v>
      </c>
      <c r="I54" s="82">
        <v>977365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2" t="s">
        <v>47</v>
      </c>
      <c r="C82" s="23"/>
      <c r="D82" s="23"/>
      <c r="E82" s="23"/>
      <c r="F82" s="23"/>
      <c r="G82" s="23"/>
      <c r="H82" s="24" t="s">
        <v>12</v>
      </c>
      <c r="I82"/>
      <c r="J82"/>
      <c r="K82"/>
    </row>
    <row r="83" spans="2:11" ht="15.75" thickBot="1">
      <c r="B83" s="32" t="s">
        <v>18</v>
      </c>
      <c r="C83" s="73">
        <f>EDATE(D83,-1)</f>
        <v>41940</v>
      </c>
      <c r="D83" s="73">
        <f>EDATE(E83,-1)</f>
        <v>41971</v>
      </c>
      <c r="E83" s="73">
        <f>EDATE(F83,-1)</f>
        <v>42001</v>
      </c>
      <c r="F83" s="73">
        <f>EDATE(G83,-1)</f>
        <v>42032</v>
      </c>
      <c r="G83" s="73">
        <f>EDATE(H83,-1)</f>
        <v>42063</v>
      </c>
      <c r="H83" s="73">
        <f>EDATE(E11,1)</f>
        <v>42091</v>
      </c>
      <c r="I83"/>
      <c r="J83"/>
    </row>
    <row r="84" spans="2:11" ht="16.5" customHeight="1">
      <c r="B84" s="25" t="s">
        <v>0</v>
      </c>
      <c r="C84" s="80">
        <v>916806</v>
      </c>
      <c r="D84" s="80">
        <v>922106</v>
      </c>
      <c r="E84" s="80">
        <v>945143</v>
      </c>
      <c r="F84" s="80">
        <v>950502</v>
      </c>
      <c r="G84" s="80">
        <v>964598</v>
      </c>
      <c r="H84" s="80">
        <v>965577</v>
      </c>
    </row>
    <row r="85" spans="2:11" ht="16.5" customHeight="1">
      <c r="B85" s="26" t="s">
        <v>1</v>
      </c>
      <c r="C85" s="81">
        <v>19924</v>
      </c>
      <c r="D85" s="81">
        <v>19972</v>
      </c>
      <c r="E85" s="81">
        <v>20178</v>
      </c>
      <c r="F85" s="81">
        <v>20249</v>
      </c>
      <c r="G85" s="81">
        <v>20398</v>
      </c>
      <c r="H85" s="81">
        <v>20587</v>
      </c>
    </row>
    <row r="86" spans="2:11" ht="16.5" customHeight="1">
      <c r="B86" s="27" t="s">
        <v>2</v>
      </c>
      <c r="C86" s="83">
        <v>7349</v>
      </c>
      <c r="D86" s="83">
        <v>7365</v>
      </c>
      <c r="E86" s="83">
        <v>7486</v>
      </c>
      <c r="F86" s="83">
        <v>7537</v>
      </c>
      <c r="G86" s="83">
        <v>7683</v>
      </c>
      <c r="H86" s="83">
        <v>8231</v>
      </c>
    </row>
    <row r="87" spans="2:11" ht="16.5" customHeight="1" thickBot="1">
      <c r="B87" s="28" t="s">
        <v>3</v>
      </c>
      <c r="C87" s="79">
        <v>5158</v>
      </c>
      <c r="D87" s="79">
        <v>5144</v>
      </c>
      <c r="E87" s="79">
        <v>5142</v>
      </c>
      <c r="F87" s="79">
        <v>5091</v>
      </c>
      <c r="G87" s="79">
        <v>5023</v>
      </c>
      <c r="H87" s="79">
        <v>5043</v>
      </c>
    </row>
    <row r="88" spans="2:11" s="71" customFormat="1" ht="18" thickBot="1">
      <c r="B88" s="100" t="s">
        <v>4</v>
      </c>
      <c r="C88" s="82">
        <v>949237</v>
      </c>
      <c r="D88" s="82">
        <v>954587</v>
      </c>
      <c r="E88" s="82">
        <v>977949</v>
      </c>
      <c r="F88" s="82">
        <v>983379</v>
      </c>
      <c r="G88" s="82">
        <v>997702</v>
      </c>
      <c r="H88" s="82">
        <v>999438</v>
      </c>
      <c r="I88" s="58"/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29"/>
      <c r="C123" s="29"/>
      <c r="D123" s="29"/>
      <c r="E123" s="29"/>
      <c r="F123" s="29"/>
      <c r="G123" s="29"/>
      <c r="H123" s="29"/>
    </row>
    <row r="124" spans="2:8" ht="17.25">
      <c r="B124" s="30" t="s">
        <v>25</v>
      </c>
      <c r="C124" s="92">
        <f>B3</f>
        <v>42094</v>
      </c>
      <c r="D124" s="29"/>
      <c r="E124" s="29"/>
      <c r="F124" s="29"/>
      <c r="G124" s="29"/>
      <c r="H124" s="29"/>
    </row>
    <row r="125" spans="2:8" ht="18" thickBot="1">
      <c r="B125" s="31"/>
      <c r="C125" s="31"/>
      <c r="D125" s="31"/>
      <c r="E125" s="31"/>
      <c r="F125" s="31"/>
      <c r="G125" s="31"/>
      <c r="H125" s="31"/>
    </row>
    <row r="127" spans="2:8" ht="18" thickBot="1">
      <c r="B127" s="62"/>
      <c r="C127" s="74"/>
      <c r="D127" s="36"/>
      <c r="E127" s="36"/>
      <c r="F127" s="36"/>
      <c r="G127" s="36"/>
      <c r="H127" s="37" t="s">
        <v>13</v>
      </c>
    </row>
    <row r="128" spans="2:8" ht="30.75" customHeight="1" thickBot="1">
      <c r="B128" s="146" t="s">
        <v>26</v>
      </c>
      <c r="C128" s="149"/>
      <c r="D128" s="149"/>
      <c r="E128" s="149"/>
      <c r="F128" s="149"/>
      <c r="G128" s="150" t="s">
        <v>5</v>
      </c>
      <c r="H128" s="151"/>
    </row>
    <row r="129" spans="2:10" ht="18" customHeight="1" thickBot="1">
      <c r="B129" s="133" t="s">
        <v>22</v>
      </c>
      <c r="C129" s="152"/>
      <c r="D129" s="152"/>
      <c r="E129" s="152"/>
      <c r="F129" s="152"/>
      <c r="G129" s="153">
        <v>430</v>
      </c>
      <c r="H129" s="154"/>
    </row>
    <row r="132" spans="2:10" ht="17.25">
      <c r="B132" s="33"/>
      <c r="C132" s="33"/>
      <c r="D132" s="33"/>
      <c r="E132" s="33"/>
      <c r="F132" s="33"/>
      <c r="G132" s="33"/>
      <c r="H132" s="33"/>
    </row>
    <row r="133" spans="2:10" ht="17.25">
      <c r="B133" s="34" t="s">
        <v>21</v>
      </c>
      <c r="C133" s="33"/>
      <c r="D133" s="33"/>
      <c r="E133" s="34"/>
      <c r="F133" s="97">
        <f>C6</f>
        <v>42094</v>
      </c>
      <c r="G133" s="33"/>
      <c r="H133" s="33"/>
    </row>
    <row r="134" spans="2:10" ht="18" thickBot="1">
      <c r="B134" s="35"/>
      <c r="C134" s="35"/>
      <c r="D134" s="35"/>
      <c r="E134" s="35"/>
      <c r="F134" s="35"/>
      <c r="G134" s="35"/>
      <c r="H134" s="35"/>
    </row>
    <row r="136" spans="2:10" ht="17.25">
      <c r="B136" s="87" t="s">
        <v>27</v>
      </c>
      <c r="C136" s="38"/>
      <c r="D136" s="38"/>
      <c r="E136" s="38"/>
      <c r="F136" s="38"/>
      <c r="G136" s="38"/>
      <c r="H136" s="39" t="s">
        <v>13</v>
      </c>
    </row>
    <row r="137" spans="2:10" ht="18" thickBot="1">
      <c r="B137" s="88" t="s">
        <v>28</v>
      </c>
      <c r="C137" s="38"/>
      <c r="D137" s="38"/>
      <c r="E137" s="38"/>
      <c r="F137" s="38"/>
      <c r="G137" s="38"/>
      <c r="H137" s="39"/>
    </row>
    <row r="138" spans="2:10" ht="15.75" customHeight="1" thickBot="1">
      <c r="B138" s="155" t="s">
        <v>19</v>
      </c>
      <c r="C138" s="155"/>
      <c r="D138" s="155"/>
      <c r="E138" s="155"/>
      <c r="F138" s="156"/>
      <c r="G138" s="157" t="s">
        <v>6</v>
      </c>
      <c r="H138" s="144"/>
      <c r="I138"/>
    </row>
    <row r="139" spans="2:10" ht="17.25" customHeight="1">
      <c r="B139" s="140" t="s">
        <v>52</v>
      </c>
      <c r="C139" s="140" t="s">
        <v>52</v>
      </c>
      <c r="D139" s="140" t="s">
        <v>52</v>
      </c>
      <c r="E139" s="140" t="s">
        <v>52</v>
      </c>
      <c r="F139" s="141" t="s">
        <v>52</v>
      </c>
      <c r="G139" s="142">
        <v>216932</v>
      </c>
      <c r="H139" s="143">
        <v>216932</v>
      </c>
      <c r="I139" s="47"/>
      <c r="J139" s="50"/>
    </row>
    <row r="140" spans="2:10" ht="13.5" customHeight="1">
      <c r="B140" s="136" t="s">
        <v>32</v>
      </c>
      <c r="C140" s="136" t="s">
        <v>32</v>
      </c>
      <c r="D140" s="136" t="s">
        <v>32</v>
      </c>
      <c r="E140" s="136" t="s">
        <v>32</v>
      </c>
      <c r="F140" s="137" t="s">
        <v>32</v>
      </c>
      <c r="G140" s="138">
        <v>181251</v>
      </c>
      <c r="H140" s="139">
        <v>181251</v>
      </c>
      <c r="I140" s="47"/>
      <c r="J140" s="50"/>
    </row>
    <row r="141" spans="2:10" ht="17.25" customHeight="1">
      <c r="B141" s="136" t="s">
        <v>53</v>
      </c>
      <c r="C141" s="136" t="s">
        <v>53</v>
      </c>
      <c r="D141" s="136" t="s">
        <v>53</v>
      </c>
      <c r="E141" s="136" t="s">
        <v>53</v>
      </c>
      <c r="F141" s="137" t="s">
        <v>53</v>
      </c>
      <c r="G141" s="138">
        <v>128529</v>
      </c>
      <c r="H141" s="139">
        <v>128529</v>
      </c>
      <c r="I141" s="47"/>
      <c r="J141" s="50"/>
    </row>
    <row r="142" spans="2:10" ht="17.25" customHeight="1">
      <c r="B142" s="136" t="s">
        <v>34</v>
      </c>
      <c r="C142" s="136" t="s">
        <v>34</v>
      </c>
      <c r="D142" s="136" t="s">
        <v>34</v>
      </c>
      <c r="E142" s="136" t="s">
        <v>34</v>
      </c>
      <c r="F142" s="137" t="s">
        <v>34</v>
      </c>
      <c r="G142" s="138">
        <v>125922</v>
      </c>
      <c r="H142" s="139">
        <v>125922</v>
      </c>
      <c r="I142" s="47"/>
      <c r="J142" s="50"/>
    </row>
    <row r="143" spans="2:10" ht="17.25" customHeight="1">
      <c r="B143" s="136" t="s">
        <v>54</v>
      </c>
      <c r="C143" s="136" t="s">
        <v>54</v>
      </c>
      <c r="D143" s="136" t="s">
        <v>54</v>
      </c>
      <c r="E143" s="136" t="s">
        <v>54</v>
      </c>
      <c r="F143" s="137" t="s">
        <v>54</v>
      </c>
      <c r="G143" s="138">
        <v>62892</v>
      </c>
      <c r="H143" s="139">
        <v>62892</v>
      </c>
      <c r="I143" s="47"/>
      <c r="J143" s="50"/>
    </row>
    <row r="144" spans="2:10" ht="13.5" customHeight="1">
      <c r="B144" s="136" t="s">
        <v>50</v>
      </c>
      <c r="C144" s="136" t="s">
        <v>50</v>
      </c>
      <c r="D144" s="136" t="s">
        <v>50</v>
      </c>
      <c r="E144" s="136" t="s">
        <v>50</v>
      </c>
      <c r="F144" s="137" t="s">
        <v>50</v>
      </c>
      <c r="G144" s="138">
        <v>56455</v>
      </c>
      <c r="H144" s="139">
        <v>56455</v>
      </c>
      <c r="I144" s="51"/>
      <c r="J144" s="50"/>
    </row>
    <row r="145" spans="2:13" ht="17.25" customHeight="1">
      <c r="B145" s="136" t="s">
        <v>36</v>
      </c>
      <c r="C145" s="136" t="s">
        <v>36</v>
      </c>
      <c r="D145" s="136" t="s">
        <v>36</v>
      </c>
      <c r="E145" s="136" t="s">
        <v>36</v>
      </c>
      <c r="F145" s="137" t="s">
        <v>36</v>
      </c>
      <c r="G145" s="138">
        <v>46427</v>
      </c>
      <c r="H145" s="139">
        <v>46427</v>
      </c>
      <c r="I145" s="47"/>
      <c r="J145" s="50"/>
    </row>
    <row r="146" spans="2:13" ht="17.25" customHeight="1">
      <c r="B146" s="136" t="s">
        <v>37</v>
      </c>
      <c r="C146" s="136" t="s">
        <v>37</v>
      </c>
      <c r="D146" s="136" t="s">
        <v>37</v>
      </c>
      <c r="E146" s="136" t="s">
        <v>37</v>
      </c>
      <c r="F146" s="137" t="s">
        <v>37</v>
      </c>
      <c r="G146" s="138">
        <v>31124</v>
      </c>
      <c r="H146" s="139">
        <v>31124</v>
      </c>
      <c r="I146" s="47"/>
      <c r="J146" s="50"/>
    </row>
    <row r="147" spans="2:13" ht="17.25" customHeight="1">
      <c r="B147" s="136" t="s">
        <v>38</v>
      </c>
      <c r="C147" s="136" t="s">
        <v>38</v>
      </c>
      <c r="D147" s="136" t="s">
        <v>38</v>
      </c>
      <c r="E147" s="136" t="s">
        <v>38</v>
      </c>
      <c r="F147" s="137" t="s">
        <v>38</v>
      </c>
      <c r="G147" s="138">
        <v>21635</v>
      </c>
      <c r="H147" s="139">
        <v>21635</v>
      </c>
      <c r="I147" s="47"/>
      <c r="J147" s="50"/>
      <c r="L147"/>
    </row>
    <row r="148" spans="2:13" ht="18" customHeight="1" thickBot="1">
      <c r="B148" s="132" t="s">
        <v>39</v>
      </c>
      <c r="C148" s="132" t="s">
        <v>39</v>
      </c>
      <c r="D148" s="132" t="s">
        <v>39</v>
      </c>
      <c r="E148" s="132" t="s">
        <v>39</v>
      </c>
      <c r="F148" s="133" t="s">
        <v>39</v>
      </c>
      <c r="G148" s="134">
        <v>19775</v>
      </c>
      <c r="H148" s="135">
        <v>19775</v>
      </c>
      <c r="I148" s="47"/>
      <c r="J148" s="50"/>
      <c r="L148"/>
    </row>
    <row r="149" spans="2:13" ht="17.25">
      <c r="G149" s="41"/>
      <c r="H149" s="41"/>
      <c r="I149" s="52"/>
      <c r="J149" s="52"/>
    </row>
    <row r="150" spans="2:13" ht="17.25">
      <c r="B150" s="40"/>
      <c r="C150" s="40"/>
      <c r="D150" s="40"/>
      <c r="E150" s="40"/>
      <c r="F150" s="40"/>
      <c r="G150" s="41"/>
      <c r="H150" s="41"/>
      <c r="I150" s="52"/>
      <c r="J150" s="52"/>
    </row>
    <row r="151" spans="2:13" ht="17.25">
      <c r="B151" s="87" t="s">
        <v>7</v>
      </c>
      <c r="C151" s="38"/>
      <c r="D151" s="38"/>
      <c r="E151" s="38"/>
      <c r="F151" s="38"/>
      <c r="G151" s="38"/>
      <c r="H151" s="39" t="s">
        <v>12</v>
      </c>
      <c r="I151" s="52"/>
      <c r="J151" s="52"/>
    </row>
    <row r="152" spans="2:13" ht="18" thickBot="1">
      <c r="B152" s="88" t="s">
        <v>29</v>
      </c>
      <c r="C152" s="38"/>
      <c r="D152" s="38"/>
      <c r="E152" s="38"/>
      <c r="F152" s="38"/>
      <c r="G152" s="38"/>
      <c r="H152" s="39"/>
      <c r="I152" s="52"/>
      <c r="J152" s="52"/>
    </row>
    <row r="153" spans="2:13" ht="15.75" thickBot="1">
      <c r="B153" s="145" t="s">
        <v>19</v>
      </c>
      <c r="C153" s="145"/>
      <c r="D153" s="145"/>
      <c r="E153" s="145"/>
      <c r="F153" s="146"/>
      <c r="G153" s="144" t="s">
        <v>6</v>
      </c>
      <c r="H153" s="144"/>
      <c r="I153" s="52"/>
      <c r="J153" s="52"/>
      <c r="K153"/>
      <c r="L153"/>
      <c r="M153"/>
    </row>
    <row r="154" spans="2:13" ht="17.25" customHeight="1">
      <c r="B154" s="140" t="s">
        <v>32</v>
      </c>
      <c r="C154" s="140" t="s">
        <v>32</v>
      </c>
      <c r="D154" s="140" t="s">
        <v>32</v>
      </c>
      <c r="E154" s="140" t="s">
        <v>32</v>
      </c>
      <c r="F154" s="141" t="s">
        <v>32</v>
      </c>
      <c r="G154" s="142">
        <v>13600</v>
      </c>
      <c r="H154" s="143">
        <v>13600</v>
      </c>
      <c r="I154" s="53"/>
      <c r="J154" s="50"/>
      <c r="K154" s="49"/>
      <c r="L154"/>
      <c r="M154"/>
    </row>
    <row r="155" spans="2:13" ht="17.25" customHeight="1">
      <c r="B155" s="136" t="s">
        <v>53</v>
      </c>
      <c r="C155" s="136" t="s">
        <v>53</v>
      </c>
      <c r="D155" s="136" t="s">
        <v>53</v>
      </c>
      <c r="E155" s="136" t="s">
        <v>53</v>
      </c>
      <c r="F155" s="137" t="s">
        <v>53</v>
      </c>
      <c r="G155" s="138">
        <v>11136</v>
      </c>
      <c r="H155" s="139">
        <v>11136</v>
      </c>
      <c r="I155" s="53"/>
      <c r="J155" s="50"/>
      <c r="K155" s="49"/>
      <c r="L155"/>
      <c r="M155"/>
    </row>
    <row r="156" spans="2:13" ht="17.25" customHeight="1">
      <c r="B156" s="136" t="s">
        <v>34</v>
      </c>
      <c r="C156" s="136" t="s">
        <v>34</v>
      </c>
      <c r="D156" s="136" t="s">
        <v>34</v>
      </c>
      <c r="E156" s="136" t="s">
        <v>34</v>
      </c>
      <c r="F156" s="137" t="s">
        <v>34</v>
      </c>
      <c r="G156" s="138">
        <v>11015</v>
      </c>
      <c r="H156" s="139">
        <v>11015</v>
      </c>
      <c r="I156" s="53"/>
      <c r="J156" s="50"/>
      <c r="K156" s="49"/>
      <c r="L156"/>
      <c r="M156"/>
    </row>
    <row r="157" spans="2:13" ht="17.25">
      <c r="B157" s="136" t="s">
        <v>52</v>
      </c>
      <c r="C157" s="136" t="s">
        <v>52</v>
      </c>
      <c r="D157" s="136" t="s">
        <v>52</v>
      </c>
      <c r="E157" s="136" t="s">
        <v>52</v>
      </c>
      <c r="F157" s="137" t="s">
        <v>52</v>
      </c>
      <c r="G157" s="138">
        <v>9514</v>
      </c>
      <c r="H157" s="139">
        <v>9514</v>
      </c>
      <c r="I157" s="53"/>
      <c r="J157" s="50"/>
      <c r="K157" s="49"/>
      <c r="L157"/>
      <c r="M157"/>
    </row>
    <row r="158" spans="2:13" ht="17.25" customHeight="1">
      <c r="B158" s="136" t="s">
        <v>50</v>
      </c>
      <c r="C158" s="136" t="s">
        <v>50</v>
      </c>
      <c r="D158" s="136" t="s">
        <v>50</v>
      </c>
      <c r="E158" s="136" t="s">
        <v>50</v>
      </c>
      <c r="F158" s="137" t="s">
        <v>50</v>
      </c>
      <c r="G158" s="138">
        <v>6267</v>
      </c>
      <c r="H158" s="139">
        <v>6267</v>
      </c>
      <c r="I158" s="53"/>
      <c r="J158" s="50"/>
      <c r="K158" s="49"/>
      <c r="L158"/>
      <c r="M158"/>
    </row>
    <row r="159" spans="2:13" ht="17.25" customHeight="1">
      <c r="B159" s="136" t="s">
        <v>54</v>
      </c>
      <c r="C159" s="136" t="s">
        <v>54</v>
      </c>
      <c r="D159" s="136" t="s">
        <v>54</v>
      </c>
      <c r="E159" s="136" t="s">
        <v>54</v>
      </c>
      <c r="F159" s="137" t="s">
        <v>54</v>
      </c>
      <c r="G159" s="138">
        <v>4552</v>
      </c>
      <c r="H159" s="139">
        <v>4552</v>
      </c>
      <c r="I159" s="54"/>
      <c r="J159" s="50"/>
      <c r="K159" s="49"/>
      <c r="L159"/>
      <c r="M159"/>
    </row>
    <row r="160" spans="2:13" ht="17.25" customHeight="1">
      <c r="B160" s="136" t="s">
        <v>36</v>
      </c>
      <c r="C160" s="136" t="s">
        <v>36</v>
      </c>
      <c r="D160" s="136" t="s">
        <v>36</v>
      </c>
      <c r="E160" s="136" t="s">
        <v>36</v>
      </c>
      <c r="F160" s="137" t="s">
        <v>36</v>
      </c>
      <c r="G160" s="138">
        <v>3148</v>
      </c>
      <c r="H160" s="139">
        <v>3148</v>
      </c>
      <c r="I160" s="53"/>
      <c r="J160" s="50"/>
      <c r="K160" s="49"/>
      <c r="L160"/>
      <c r="M160"/>
    </row>
    <row r="161" spans="2:13" ht="17.25" customHeight="1">
      <c r="B161" s="136" t="s">
        <v>55</v>
      </c>
      <c r="C161" s="136" t="s">
        <v>55</v>
      </c>
      <c r="D161" s="136" t="s">
        <v>55</v>
      </c>
      <c r="E161" s="136" t="s">
        <v>55</v>
      </c>
      <c r="F161" s="137" t="s">
        <v>55</v>
      </c>
      <c r="G161" s="138">
        <v>2159</v>
      </c>
      <c r="H161" s="139">
        <v>2159</v>
      </c>
      <c r="I161" s="53"/>
      <c r="J161" s="50"/>
      <c r="K161" s="49"/>
      <c r="L161"/>
      <c r="M161"/>
    </row>
    <row r="162" spans="2:13" ht="17.25">
      <c r="B162" s="136" t="s">
        <v>38</v>
      </c>
      <c r="C162" s="136" t="s">
        <v>38</v>
      </c>
      <c r="D162" s="136" t="s">
        <v>38</v>
      </c>
      <c r="E162" s="136" t="s">
        <v>38</v>
      </c>
      <c r="F162" s="137" t="s">
        <v>38</v>
      </c>
      <c r="G162" s="138">
        <v>1493</v>
      </c>
      <c r="H162" s="139">
        <v>1493</v>
      </c>
      <c r="I162" s="53"/>
      <c r="J162" s="50"/>
      <c r="K162" s="49"/>
      <c r="L162"/>
      <c r="M162"/>
    </row>
    <row r="163" spans="2:13" ht="18" customHeight="1" thickBot="1">
      <c r="B163" s="132" t="s">
        <v>37</v>
      </c>
      <c r="C163" s="132" t="s">
        <v>37</v>
      </c>
      <c r="D163" s="132" t="s">
        <v>37</v>
      </c>
      <c r="E163" s="132" t="s">
        <v>37</v>
      </c>
      <c r="F163" s="133" t="s">
        <v>37</v>
      </c>
      <c r="G163" s="134">
        <v>1473</v>
      </c>
      <c r="H163" s="135">
        <v>1473</v>
      </c>
      <c r="I163" s="53"/>
      <c r="J163" s="50"/>
      <c r="K163" s="49"/>
      <c r="L163"/>
      <c r="M163"/>
    </row>
    <row r="164" spans="2:13" ht="17.25">
      <c r="B164" s="40"/>
      <c r="C164" s="40"/>
      <c r="D164" s="40"/>
      <c r="E164" s="40"/>
      <c r="F164" s="40"/>
      <c r="G164" s="93"/>
      <c r="H164" s="93"/>
      <c r="I164" s="52"/>
      <c r="J164" s="52"/>
      <c r="L164"/>
      <c r="M164"/>
    </row>
    <row r="165" spans="2:13" ht="17.25">
      <c r="G165" s="41"/>
      <c r="H165" s="41"/>
      <c r="I165" s="2"/>
      <c r="J165" s="2"/>
    </row>
    <row r="166" spans="2:13" ht="17.25">
      <c r="B166" s="87" t="s">
        <v>8</v>
      </c>
      <c r="C166" s="38"/>
      <c r="D166" s="38"/>
      <c r="E166" s="38"/>
      <c r="F166" s="38"/>
      <c r="G166" s="38"/>
      <c r="H166" s="39" t="s">
        <v>14</v>
      </c>
      <c r="I166" s="2"/>
      <c r="J166" s="52"/>
      <c r="K166"/>
    </row>
    <row r="167" spans="2:13" ht="18" thickBot="1">
      <c r="B167" s="88" t="s">
        <v>30</v>
      </c>
      <c r="C167" s="38"/>
      <c r="D167" s="38"/>
      <c r="E167" s="38"/>
      <c r="F167" s="38"/>
      <c r="G167" s="38"/>
      <c r="H167" s="39"/>
      <c r="I167" s="2"/>
      <c r="J167" s="52"/>
      <c r="K167"/>
    </row>
    <row r="168" spans="2:13" ht="15" customHeight="1" thickBot="1">
      <c r="B168" s="98" t="s">
        <v>19</v>
      </c>
      <c r="C168" s="98"/>
      <c r="D168" s="98"/>
      <c r="E168" s="98"/>
      <c r="F168" s="99"/>
      <c r="G168" s="144" t="s">
        <v>9</v>
      </c>
      <c r="H168" s="144"/>
      <c r="I168" s="2"/>
      <c r="J168" s="2"/>
    </row>
    <row r="169" spans="2:13" ht="17.25" customHeight="1">
      <c r="B169" s="140" t="s">
        <v>50</v>
      </c>
      <c r="C169" s="140" t="s">
        <v>50</v>
      </c>
      <c r="D169" s="140" t="s">
        <v>50</v>
      </c>
      <c r="E169" s="140" t="s">
        <v>50</v>
      </c>
      <c r="F169" s="141" t="s">
        <v>50</v>
      </c>
      <c r="G169" s="142">
        <v>2131935552342.3501</v>
      </c>
      <c r="H169" s="143">
        <v>2131935552342.3501</v>
      </c>
      <c r="I169" s="55"/>
      <c r="J169" s="56"/>
    </row>
    <row r="170" spans="2:13" ht="17.25" customHeight="1">
      <c r="B170" s="136" t="s">
        <v>32</v>
      </c>
      <c r="C170" s="136" t="s">
        <v>32</v>
      </c>
      <c r="D170" s="136" t="s">
        <v>32</v>
      </c>
      <c r="E170" s="136" t="s">
        <v>32</v>
      </c>
      <c r="F170" s="137" t="s">
        <v>32</v>
      </c>
      <c r="G170" s="138">
        <v>1046140863751.75</v>
      </c>
      <c r="H170" s="139">
        <v>1046140863751.75</v>
      </c>
      <c r="I170" s="55"/>
      <c r="J170" s="56"/>
    </row>
    <row r="171" spans="2:13" ht="17.25" customHeight="1">
      <c r="B171" s="136" t="s">
        <v>56</v>
      </c>
      <c r="C171" s="136" t="s">
        <v>56</v>
      </c>
      <c r="D171" s="136" t="s">
        <v>56</v>
      </c>
      <c r="E171" s="136" t="s">
        <v>56</v>
      </c>
      <c r="F171" s="137" t="s">
        <v>56</v>
      </c>
      <c r="G171" s="138">
        <v>1044663184125.42</v>
      </c>
      <c r="H171" s="139">
        <v>1044663184125.42</v>
      </c>
      <c r="I171" s="55"/>
      <c r="J171" s="56"/>
    </row>
    <row r="172" spans="2:13" ht="17.25" customHeight="1">
      <c r="B172" s="136" t="s">
        <v>34</v>
      </c>
      <c r="C172" s="136" t="s">
        <v>34</v>
      </c>
      <c r="D172" s="136" t="s">
        <v>34</v>
      </c>
      <c r="E172" s="136" t="s">
        <v>34</v>
      </c>
      <c r="F172" s="137" t="s">
        <v>34</v>
      </c>
      <c r="G172" s="138">
        <v>1034276165927.46</v>
      </c>
      <c r="H172" s="139">
        <v>1034276165927.46</v>
      </c>
      <c r="I172" s="55"/>
      <c r="J172" s="56"/>
    </row>
    <row r="173" spans="2:13" ht="17.25" customHeight="1">
      <c r="B173" s="136" t="s">
        <v>43</v>
      </c>
      <c r="C173" s="136" t="s">
        <v>43</v>
      </c>
      <c r="D173" s="136" t="s">
        <v>43</v>
      </c>
      <c r="E173" s="136" t="s">
        <v>43</v>
      </c>
      <c r="F173" s="137" t="s">
        <v>43</v>
      </c>
      <c r="G173" s="138">
        <v>329500566553.16998</v>
      </c>
      <c r="H173" s="139">
        <v>329500566553.16998</v>
      </c>
      <c r="I173" s="57"/>
      <c r="J173" s="50"/>
    </row>
    <row r="174" spans="2:13" ht="17.25" customHeight="1">
      <c r="B174" s="136" t="s">
        <v>42</v>
      </c>
      <c r="C174" s="136" t="s">
        <v>42</v>
      </c>
      <c r="D174" s="136" t="s">
        <v>42</v>
      </c>
      <c r="E174" s="136" t="s">
        <v>42</v>
      </c>
      <c r="F174" s="137" t="s">
        <v>42</v>
      </c>
      <c r="G174" s="138">
        <v>309978425645.21997</v>
      </c>
      <c r="H174" s="139">
        <v>309978425645.21997</v>
      </c>
      <c r="I174" s="55"/>
      <c r="J174" s="56"/>
    </row>
    <row r="175" spans="2:13" ht="17.25" customHeight="1">
      <c r="B175" s="136" t="s">
        <v>57</v>
      </c>
      <c r="C175" s="136" t="s">
        <v>57</v>
      </c>
      <c r="D175" s="136" t="s">
        <v>57</v>
      </c>
      <c r="E175" s="136" t="s">
        <v>57</v>
      </c>
      <c r="F175" s="137" t="s">
        <v>57</v>
      </c>
      <c r="G175" s="138">
        <v>278703255437.64001</v>
      </c>
      <c r="H175" s="139">
        <v>278703255437.64001</v>
      </c>
      <c r="I175" s="55"/>
      <c r="J175" s="56"/>
    </row>
    <row r="176" spans="2:13" ht="17.25" customHeight="1">
      <c r="B176" s="136" t="s">
        <v>53</v>
      </c>
      <c r="C176" s="136" t="s">
        <v>53</v>
      </c>
      <c r="D176" s="136" t="s">
        <v>53</v>
      </c>
      <c r="E176" s="136" t="s">
        <v>53</v>
      </c>
      <c r="F176" s="137" t="s">
        <v>53</v>
      </c>
      <c r="G176" s="138">
        <v>275679110874.15997</v>
      </c>
      <c r="H176" s="139">
        <v>275679110874.15997</v>
      </c>
      <c r="I176" s="55"/>
      <c r="J176" s="56"/>
    </row>
    <row r="177" spans="2:10" ht="17.25" customHeight="1">
      <c r="B177" s="136" t="s">
        <v>36</v>
      </c>
      <c r="C177" s="136" t="s">
        <v>36</v>
      </c>
      <c r="D177" s="136" t="s">
        <v>36</v>
      </c>
      <c r="E177" s="136" t="s">
        <v>36</v>
      </c>
      <c r="F177" s="137" t="s">
        <v>36</v>
      </c>
      <c r="G177" s="138">
        <v>245825459050.53</v>
      </c>
      <c r="H177" s="139">
        <v>245825459050.53</v>
      </c>
      <c r="I177" s="55"/>
      <c r="J177" s="56"/>
    </row>
    <row r="178" spans="2:10" ht="18" customHeight="1" thickBot="1">
      <c r="B178" s="132" t="s">
        <v>51</v>
      </c>
      <c r="C178" s="132" t="s">
        <v>51</v>
      </c>
      <c r="D178" s="132" t="s">
        <v>51</v>
      </c>
      <c r="E178" s="132" t="s">
        <v>51</v>
      </c>
      <c r="F178" s="133" t="s">
        <v>51</v>
      </c>
      <c r="G178" s="134">
        <v>184993758525.62</v>
      </c>
      <c r="H178" s="135">
        <v>184993758525.62</v>
      </c>
      <c r="I178" s="55"/>
      <c r="J178" s="56"/>
    </row>
    <row r="179" spans="2:10" ht="17.25">
      <c r="G179" s="41"/>
      <c r="H179" s="41"/>
      <c r="J179" s="48"/>
    </row>
    <row r="180" spans="2:10">
      <c r="B180" s="58"/>
      <c r="J180" s="48"/>
    </row>
  </sheetData>
  <dataConsolidate link="1"/>
  <mergeCells count="100">
    <mergeCell ref="B176:F176"/>
    <mergeCell ref="G176:H176"/>
    <mergeCell ref="B177:F177"/>
    <mergeCell ref="G177:H177"/>
    <mergeCell ref="B178:F178"/>
    <mergeCell ref="G178:H178"/>
    <mergeCell ref="B173:F173"/>
    <mergeCell ref="G173:H173"/>
    <mergeCell ref="B174:F174"/>
    <mergeCell ref="G174:H174"/>
    <mergeCell ref="B175:F175"/>
    <mergeCell ref="G175:H175"/>
    <mergeCell ref="B170:F170"/>
    <mergeCell ref="G170:H170"/>
    <mergeCell ref="B171:F171"/>
    <mergeCell ref="G171:H171"/>
    <mergeCell ref="B172:F172"/>
    <mergeCell ref="G172:H172"/>
    <mergeCell ref="B169:F169"/>
    <mergeCell ref="G169:H169"/>
    <mergeCell ref="B159:F159"/>
    <mergeCell ref="G159:H159"/>
    <mergeCell ref="B160:F160"/>
    <mergeCell ref="G160:H160"/>
    <mergeCell ref="B161:F161"/>
    <mergeCell ref="G161:H161"/>
    <mergeCell ref="B162:F162"/>
    <mergeCell ref="G162:H162"/>
    <mergeCell ref="B163:F163"/>
    <mergeCell ref="G163:H163"/>
    <mergeCell ref="G168:H168"/>
    <mergeCell ref="B156:F156"/>
    <mergeCell ref="G156:H156"/>
    <mergeCell ref="B157:F157"/>
    <mergeCell ref="G157:H157"/>
    <mergeCell ref="B158:F158"/>
    <mergeCell ref="G158:H158"/>
    <mergeCell ref="B153:F153"/>
    <mergeCell ref="G153:H153"/>
    <mergeCell ref="B154:F154"/>
    <mergeCell ref="G154:H154"/>
    <mergeCell ref="B155:F155"/>
    <mergeCell ref="G155:H155"/>
    <mergeCell ref="B146:F146"/>
    <mergeCell ref="G146:H146"/>
    <mergeCell ref="B147:F147"/>
    <mergeCell ref="G147:H147"/>
    <mergeCell ref="B148:F148"/>
    <mergeCell ref="G148:H148"/>
    <mergeCell ref="B143:F143"/>
    <mergeCell ref="G143:H143"/>
    <mergeCell ref="B144:F144"/>
    <mergeCell ref="G144:H144"/>
    <mergeCell ref="B145:F145"/>
    <mergeCell ref="G145:H145"/>
    <mergeCell ref="B140:F140"/>
    <mergeCell ref="G140:H140"/>
    <mergeCell ref="B141:F141"/>
    <mergeCell ref="G141:H141"/>
    <mergeCell ref="B142:F142"/>
    <mergeCell ref="G142:H142"/>
    <mergeCell ref="B129:F129"/>
    <mergeCell ref="G129:H129"/>
    <mergeCell ref="B138:F138"/>
    <mergeCell ref="G138:H138"/>
    <mergeCell ref="B139:F139"/>
    <mergeCell ref="G139:H139"/>
    <mergeCell ref="B37:D37"/>
    <mergeCell ref="B38:D38"/>
    <mergeCell ref="B54:D54"/>
    <mergeCell ref="B128:F128"/>
    <mergeCell ref="G128:H128"/>
    <mergeCell ref="H48:I48"/>
    <mergeCell ref="B49:D49"/>
    <mergeCell ref="B50:D50"/>
    <mergeCell ref="B51:D51"/>
    <mergeCell ref="B52:D52"/>
    <mergeCell ref="B53:D53"/>
    <mergeCell ref="I3:N3"/>
    <mergeCell ref="B11:D11"/>
    <mergeCell ref="B12:D12"/>
    <mergeCell ref="B39:D39"/>
    <mergeCell ref="B27:D27"/>
    <mergeCell ref="B28:D28"/>
    <mergeCell ref="B33:D33"/>
    <mergeCell ref="B14:D14"/>
    <mergeCell ref="B15:D15"/>
    <mergeCell ref="B16:D16"/>
    <mergeCell ref="B17:D17"/>
    <mergeCell ref="B22:D22"/>
    <mergeCell ref="B23:D23"/>
    <mergeCell ref="B34:D34"/>
    <mergeCell ref="B35:D35"/>
    <mergeCell ref="B36:D36"/>
    <mergeCell ref="B13:D13"/>
    <mergeCell ref="B24:D24"/>
    <mergeCell ref="B25:D25"/>
    <mergeCell ref="B26:D26"/>
    <mergeCell ref="B2:H2"/>
    <mergeCell ref="B3:H3"/>
  </mergeCells>
  <pageMargins left="0.70866141732283472" right="0.70866141732283472" top="0.15748031496062992" bottom="0.15748031496062992" header="0.31496062992125984" footer="0.11811023622047245"/>
  <pageSetup paperSize="9" scale="47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49" max="16383" man="1"/>
    <brk id="192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40289">
          <objectPr defaultSize="0" autoPict="0" dde="1">
            <anchor moveWithCells="1">
              <from>
                <xdr:col>0</xdr:col>
                <xdr:colOff>123825</xdr:colOff>
                <xdr:row>72</xdr:row>
                <xdr:rowOff>123825</xdr:rowOff>
              </from>
              <to>
                <xdr:col>1</xdr:col>
                <xdr:colOff>257175</xdr:colOff>
                <xdr:row>74</xdr:row>
                <xdr:rowOff>0</xdr:rowOff>
              </to>
            </anchor>
          </objectPr>
        </oleObject>
      </mc:Choice>
      <mc:Fallback>
        <oleObject link="[1]!'!Январь2012!R1C2:R10C9'" oleUpdate="OLEUPDATE_ALWAYS" shapeId="140289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99">
    <pageSetUpPr fitToPage="1"/>
  </sheetPr>
  <dimension ref="B2:N180"/>
  <sheetViews>
    <sheetView workbookViewId="0"/>
  </sheetViews>
  <sheetFormatPr defaultRowHeight="13.5"/>
  <cols>
    <col min="1" max="1" width="3.42578125" style="75" customWidth="1"/>
    <col min="2" max="2" width="46.7109375" style="75" customWidth="1"/>
    <col min="3" max="4" width="18.42578125" style="75" customWidth="1"/>
    <col min="5" max="9" width="25.5703125" style="75" customWidth="1"/>
    <col min="10" max="10" width="10.5703125" style="75" customWidth="1"/>
    <col min="11" max="11" width="14.85546875" style="75" bestFit="1" customWidth="1"/>
    <col min="12" max="12" width="9.140625" style="75"/>
    <col min="13" max="13" width="23.42578125" style="75" customWidth="1"/>
    <col min="14" max="16384" width="9.140625" style="75"/>
  </cols>
  <sheetData>
    <row r="2" spans="2:14" s="1" customFormat="1" ht="20.25">
      <c r="B2" s="183" t="s">
        <v>15</v>
      </c>
      <c r="C2" s="183"/>
      <c r="D2" s="183"/>
      <c r="E2" s="183"/>
      <c r="F2" s="183"/>
      <c r="G2" s="183"/>
      <c r="H2" s="183"/>
    </row>
    <row r="3" spans="2:14" s="1" customFormat="1" ht="21" thickBot="1">
      <c r="B3" s="184">
        <v>42124</v>
      </c>
      <c r="C3" s="184"/>
      <c r="D3" s="184"/>
      <c r="E3" s="184"/>
      <c r="F3" s="184"/>
      <c r="G3" s="184"/>
      <c r="H3" s="184"/>
      <c r="I3" s="184"/>
      <c r="J3" s="184"/>
      <c r="K3" s="184"/>
      <c r="L3" s="184"/>
      <c r="M3" s="184"/>
      <c r="N3" s="184"/>
    </row>
    <row r="4" spans="2:14" s="1" customFormat="1" ht="18" thickTop="1"/>
    <row r="5" spans="2:14" s="1" customFormat="1" ht="17.25">
      <c r="B5" s="17"/>
      <c r="C5" s="17"/>
      <c r="D5" s="17"/>
      <c r="E5" s="17"/>
      <c r="F5" s="17"/>
      <c r="G5" s="17"/>
      <c r="H5" s="17"/>
    </row>
    <row r="6" spans="2:14" s="1" customFormat="1" ht="17.25">
      <c r="B6" s="18" t="s">
        <v>20</v>
      </c>
      <c r="C6" s="68">
        <f>B3</f>
        <v>42124</v>
      </c>
      <c r="D6" s="17"/>
      <c r="E6" s="17"/>
      <c r="F6" s="17"/>
      <c r="G6" s="17"/>
      <c r="H6" s="17"/>
    </row>
    <row r="7" spans="2:14" s="1" customFormat="1" ht="18" thickBot="1">
      <c r="B7" s="21"/>
      <c r="C7" s="21"/>
      <c r="D7" s="21"/>
      <c r="E7" s="21"/>
      <c r="F7" s="21"/>
      <c r="G7" s="21"/>
      <c r="H7" s="21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3" t="s">
        <v>44</v>
      </c>
      <c r="C10" s="14"/>
      <c r="D10" s="14"/>
      <c r="E10" s="14"/>
      <c r="F10" s="14"/>
      <c r="G10" s="14"/>
      <c r="H10" s="15" t="s">
        <v>13</v>
      </c>
    </row>
    <row r="11" spans="2:14" s="46" customFormat="1" ht="15.75" thickBot="1">
      <c r="B11" s="179" t="s">
        <v>18</v>
      </c>
      <c r="C11" s="179"/>
      <c r="D11" s="180"/>
      <c r="E11" s="73">
        <v>42094</v>
      </c>
      <c r="F11" s="73">
        <f>EDATE(E11,1)</f>
        <v>42124</v>
      </c>
      <c r="G11" s="45" t="s">
        <v>10</v>
      </c>
      <c r="H11" s="45" t="s">
        <v>11</v>
      </c>
      <c r="J11" s="77"/>
    </row>
    <row r="12" spans="2:14" s="76" customFormat="1" ht="17.25">
      <c r="B12" s="181" t="s">
        <v>0</v>
      </c>
      <c r="C12" s="181"/>
      <c r="D12" s="182"/>
      <c r="E12" s="78">
        <f>Март2015!F12</f>
        <v>1171185</v>
      </c>
      <c r="F12" s="84">
        <v>1184558</v>
      </c>
      <c r="G12" s="11">
        <f>F12-E12</f>
        <v>13373</v>
      </c>
      <c r="H12" s="59">
        <f t="shared" ref="H12:H18" si="0">F12/E12-1</f>
        <v>1.141834979102363E-2</v>
      </c>
      <c r="I12" s="85"/>
      <c r="J12" s="86"/>
    </row>
    <row r="13" spans="2:14" s="76" customFormat="1" ht="17.25">
      <c r="B13" s="177" t="s">
        <v>1</v>
      </c>
      <c r="C13" s="177"/>
      <c r="D13" s="178"/>
      <c r="E13" s="78">
        <f>Март2015!F13</f>
        <v>35547</v>
      </c>
      <c r="F13" s="84">
        <v>35683</v>
      </c>
      <c r="G13" s="11">
        <f t="shared" ref="G13:G18" si="1">F13-E13</f>
        <v>136</v>
      </c>
      <c r="H13" s="59">
        <f t="shared" si="0"/>
        <v>3.825920612147371E-3</v>
      </c>
      <c r="I13" s="85"/>
      <c r="J13" s="86"/>
    </row>
    <row r="14" spans="2:14" s="76" customFormat="1" ht="17.25">
      <c r="B14" s="177" t="s">
        <v>2</v>
      </c>
      <c r="C14" s="177"/>
      <c r="D14" s="178"/>
      <c r="E14" s="78">
        <f>Март2015!F14</f>
        <v>13591</v>
      </c>
      <c r="F14" s="84">
        <v>13593</v>
      </c>
      <c r="G14" s="11">
        <f t="shared" si="1"/>
        <v>2</v>
      </c>
      <c r="H14" s="59">
        <f t="shared" si="0"/>
        <v>1.4715620631289283E-4</v>
      </c>
      <c r="I14" s="85"/>
      <c r="J14" s="86"/>
    </row>
    <row r="15" spans="2:14" s="76" customFormat="1" ht="17.25">
      <c r="B15" s="162" t="s">
        <v>23</v>
      </c>
      <c r="C15" s="162"/>
      <c r="D15" s="163"/>
      <c r="E15" s="78">
        <f>Март2015!F15</f>
        <v>3434</v>
      </c>
      <c r="F15" s="84">
        <v>3526</v>
      </c>
      <c r="G15" s="11">
        <f t="shared" si="1"/>
        <v>92</v>
      </c>
      <c r="H15" s="59">
        <f t="shared" si="0"/>
        <v>2.6790914385556253E-2</v>
      </c>
      <c r="I15" s="85"/>
      <c r="J15" s="86"/>
    </row>
    <row r="16" spans="2:14" s="76" customFormat="1" ht="17.25">
      <c r="B16" s="164" t="s">
        <v>24</v>
      </c>
      <c r="C16" s="164"/>
      <c r="D16" s="165"/>
      <c r="E16" s="78">
        <f>Март2015!F16</f>
        <v>10157</v>
      </c>
      <c r="F16" s="84">
        <v>10067</v>
      </c>
      <c r="G16" s="11">
        <f t="shared" si="1"/>
        <v>-90</v>
      </c>
      <c r="H16" s="59">
        <f t="shared" si="0"/>
        <v>-8.8608841193266175E-3</v>
      </c>
      <c r="I16" s="85"/>
      <c r="J16" s="86"/>
    </row>
    <row r="17" spans="2:10" s="76" customFormat="1" ht="18" customHeight="1" thickBot="1">
      <c r="B17" s="175" t="s">
        <v>3</v>
      </c>
      <c r="C17" s="175"/>
      <c r="D17" s="176"/>
      <c r="E17" s="78">
        <f>Март2015!F17</f>
        <v>13329</v>
      </c>
      <c r="F17" s="84">
        <v>13853</v>
      </c>
      <c r="G17" s="11">
        <f t="shared" si="1"/>
        <v>524</v>
      </c>
      <c r="H17" s="59">
        <f t="shared" si="0"/>
        <v>3.9312776652411952E-2</v>
      </c>
      <c r="I17" s="85"/>
      <c r="J17" s="86"/>
    </row>
    <row r="18" spans="2:10" s="70" customFormat="1" ht="18" thickBot="1">
      <c r="B18" s="60" t="s">
        <v>4</v>
      </c>
      <c r="C18" s="60"/>
      <c r="D18" s="61"/>
      <c r="E18" s="72">
        <f>Март2015!F18</f>
        <v>1233652</v>
      </c>
      <c r="F18" s="72">
        <v>1247687</v>
      </c>
      <c r="G18" s="72">
        <f t="shared" si="1"/>
        <v>14035</v>
      </c>
      <c r="H18" s="69">
        <f t="shared" si="0"/>
        <v>1.1376790213123211E-2</v>
      </c>
      <c r="I18" s="85"/>
      <c r="J18" s="86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3" t="s">
        <v>45</v>
      </c>
      <c r="C21" s="14"/>
      <c r="D21" s="14"/>
      <c r="E21" s="14"/>
      <c r="F21" s="14"/>
      <c r="G21" s="14"/>
      <c r="H21" s="15" t="s">
        <v>12</v>
      </c>
    </row>
    <row r="22" spans="2:10" s="76" customFormat="1" ht="15.75" thickBot="1">
      <c r="B22" s="179" t="s">
        <v>18</v>
      </c>
      <c r="C22" s="179"/>
      <c r="D22" s="180"/>
      <c r="E22" s="73">
        <f>E11</f>
        <v>42094</v>
      </c>
      <c r="F22" s="73">
        <f>F11</f>
        <v>42124</v>
      </c>
      <c r="G22" s="45" t="s">
        <v>10</v>
      </c>
      <c r="H22" s="45" t="s">
        <v>11</v>
      </c>
      <c r="J22" s="77"/>
    </row>
    <row r="23" spans="2:10" s="76" customFormat="1" ht="17.25">
      <c r="B23" s="181" t="s">
        <v>0</v>
      </c>
      <c r="C23" s="181"/>
      <c r="D23" s="182"/>
      <c r="E23" s="78">
        <f>Март2015!F23</f>
        <v>965577</v>
      </c>
      <c r="F23" s="84">
        <v>971876</v>
      </c>
      <c r="G23" s="11">
        <f>F23-E23</f>
        <v>6299</v>
      </c>
      <c r="H23" s="59">
        <f>F23/E23-1</f>
        <v>6.5235605239146732E-3</v>
      </c>
      <c r="I23" s="86"/>
    </row>
    <row r="24" spans="2:10" s="76" customFormat="1" ht="17.25">
      <c r="B24" s="177" t="s">
        <v>1</v>
      </c>
      <c r="C24" s="177"/>
      <c r="D24" s="178"/>
      <c r="E24" s="78">
        <f>Март2015!F24</f>
        <v>20587</v>
      </c>
      <c r="F24" s="84">
        <v>20753</v>
      </c>
      <c r="G24" s="11">
        <f t="shared" ref="G24:G29" si="2">F24-E24</f>
        <v>166</v>
      </c>
      <c r="H24" s="59">
        <f t="shared" ref="H24:H29" si="3">F24/E24-1</f>
        <v>8.0633409433137349E-3</v>
      </c>
      <c r="I24" s="86"/>
    </row>
    <row r="25" spans="2:10" s="76" customFormat="1" ht="17.25">
      <c r="B25" s="177" t="s">
        <v>2</v>
      </c>
      <c r="C25" s="177"/>
      <c r="D25" s="178"/>
      <c r="E25" s="78">
        <f>Март2015!F25</f>
        <v>8231</v>
      </c>
      <c r="F25" s="84">
        <v>8355</v>
      </c>
      <c r="G25" s="11">
        <f t="shared" si="2"/>
        <v>124</v>
      </c>
      <c r="H25" s="59">
        <f t="shared" si="3"/>
        <v>1.5064998177621192E-2</v>
      </c>
      <c r="I25" s="86"/>
    </row>
    <row r="26" spans="2:10" s="76" customFormat="1" ht="17.25">
      <c r="B26" s="162" t="s">
        <v>23</v>
      </c>
      <c r="C26" s="162"/>
      <c r="D26" s="163"/>
      <c r="E26" s="78">
        <f>Март2015!F26</f>
        <v>3345</v>
      </c>
      <c r="F26" s="84">
        <v>3435</v>
      </c>
      <c r="G26" s="11">
        <f t="shared" si="2"/>
        <v>90</v>
      </c>
      <c r="H26" s="59">
        <f t="shared" si="3"/>
        <v>2.6905829596412634E-2</v>
      </c>
      <c r="I26" s="86"/>
    </row>
    <row r="27" spans="2:10" s="76" customFormat="1" ht="17.25">
      <c r="B27" s="164" t="s">
        <v>24</v>
      </c>
      <c r="C27" s="164"/>
      <c r="D27" s="165"/>
      <c r="E27" s="78">
        <f>Март2015!F27</f>
        <v>4886</v>
      </c>
      <c r="F27" s="84">
        <v>4920</v>
      </c>
      <c r="G27" s="11">
        <f t="shared" si="2"/>
        <v>34</v>
      </c>
      <c r="H27" s="59">
        <f t="shared" si="3"/>
        <v>6.9586573884568015E-3</v>
      </c>
      <c r="I27" s="86"/>
    </row>
    <row r="28" spans="2:10" s="76" customFormat="1" ht="18" thickBot="1">
      <c r="B28" s="175" t="s">
        <v>3</v>
      </c>
      <c r="C28" s="175"/>
      <c r="D28" s="176"/>
      <c r="E28" s="78">
        <f>Март2015!F28</f>
        <v>5043</v>
      </c>
      <c r="F28" s="84">
        <v>4971</v>
      </c>
      <c r="G28" s="11">
        <f t="shared" si="2"/>
        <v>-72</v>
      </c>
      <c r="H28" s="59">
        <f t="shared" si="3"/>
        <v>-1.4277215942891108E-2</v>
      </c>
      <c r="I28" s="86"/>
    </row>
    <row r="29" spans="2:10" s="70" customFormat="1" ht="18" thickBot="1">
      <c r="B29" s="60" t="s">
        <v>4</v>
      </c>
      <c r="C29" s="60"/>
      <c r="D29" s="61"/>
      <c r="E29" s="72">
        <f>Март2015!F29</f>
        <v>999438</v>
      </c>
      <c r="F29" s="72">
        <v>1005955</v>
      </c>
      <c r="G29" s="72">
        <f t="shared" si="2"/>
        <v>6517</v>
      </c>
      <c r="H29" s="69">
        <f t="shared" si="3"/>
        <v>6.52066461351275E-3</v>
      </c>
      <c r="I29" s="86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3" t="s">
        <v>16</v>
      </c>
      <c r="C32" s="14"/>
      <c r="D32" s="14"/>
      <c r="E32" s="14"/>
      <c r="F32" s="14"/>
      <c r="G32" s="14"/>
      <c r="H32" s="15" t="s">
        <v>14</v>
      </c>
    </row>
    <row r="33" spans="2:9" ht="15.75" thickBot="1">
      <c r="B33" s="145" t="s">
        <v>18</v>
      </c>
      <c r="C33" s="145"/>
      <c r="D33" s="146"/>
      <c r="E33" s="73">
        <f>E11</f>
        <v>42094</v>
      </c>
      <c r="F33" s="73">
        <f>F11</f>
        <v>42124</v>
      </c>
      <c r="G33" s="16" t="s">
        <v>10</v>
      </c>
      <c r="H33" s="16" t="s">
        <v>11</v>
      </c>
    </row>
    <row r="34" spans="2:9" ht="17.25">
      <c r="B34" s="160" t="s">
        <v>0</v>
      </c>
      <c r="C34" s="160"/>
      <c r="D34" s="161"/>
      <c r="E34" s="78">
        <f>Март2015!F34</f>
        <v>72982</v>
      </c>
      <c r="F34" s="78">
        <v>72144</v>
      </c>
      <c r="G34" s="11">
        <f t="shared" ref="G34:G40" si="4">F34-E34</f>
        <v>-838</v>
      </c>
      <c r="H34" s="59">
        <f t="shared" ref="H34:H40" si="5">F34/E34-1</f>
        <v>-1.1482283302732155E-2</v>
      </c>
      <c r="I34" s="58"/>
    </row>
    <row r="35" spans="2:9" ht="17.25">
      <c r="B35" s="136" t="s">
        <v>1</v>
      </c>
      <c r="C35" s="136"/>
      <c r="D35" s="137"/>
      <c r="E35" s="78">
        <f>Март2015!F35</f>
        <v>1165</v>
      </c>
      <c r="F35" s="78">
        <v>1177</v>
      </c>
      <c r="G35" s="11">
        <f t="shared" si="4"/>
        <v>12</v>
      </c>
      <c r="H35" s="59">
        <f t="shared" si="5"/>
        <v>1.0300429184549431E-2</v>
      </c>
      <c r="I35" s="58"/>
    </row>
    <row r="36" spans="2:9" ht="17.25">
      <c r="B36" s="136" t="s">
        <v>2</v>
      </c>
      <c r="C36" s="136"/>
      <c r="D36" s="137"/>
      <c r="E36" s="78">
        <f>Март2015!F36</f>
        <v>632</v>
      </c>
      <c r="F36" s="78">
        <v>613</v>
      </c>
      <c r="G36" s="11">
        <f t="shared" si="4"/>
        <v>-19</v>
      </c>
      <c r="H36" s="59">
        <f t="shared" si="5"/>
        <v>-3.0063291139240556E-2</v>
      </c>
      <c r="I36" s="58"/>
    </row>
    <row r="37" spans="2:9" ht="17.25">
      <c r="B37" s="162" t="s">
        <v>23</v>
      </c>
      <c r="C37" s="162"/>
      <c r="D37" s="163"/>
      <c r="E37" s="78">
        <f>Март2015!F37</f>
        <v>252</v>
      </c>
      <c r="F37" s="78">
        <v>245</v>
      </c>
      <c r="G37" s="11">
        <f t="shared" si="4"/>
        <v>-7</v>
      </c>
      <c r="H37" s="59">
        <f t="shared" si="5"/>
        <v>-2.777777777777779E-2</v>
      </c>
      <c r="I37" s="58"/>
    </row>
    <row r="38" spans="2:9" ht="17.25">
      <c r="B38" s="164" t="s">
        <v>24</v>
      </c>
      <c r="C38" s="164"/>
      <c r="D38" s="165"/>
      <c r="E38" s="78">
        <f>Март2015!F38</f>
        <v>380</v>
      </c>
      <c r="F38" s="78">
        <v>368</v>
      </c>
      <c r="G38" s="11">
        <f t="shared" si="4"/>
        <v>-12</v>
      </c>
      <c r="H38" s="59">
        <f t="shared" si="5"/>
        <v>-3.157894736842104E-2</v>
      </c>
      <c r="I38" s="58"/>
    </row>
    <row r="39" spans="2:9" ht="18" thickBot="1">
      <c r="B39" s="166" t="s">
        <v>3</v>
      </c>
      <c r="C39" s="166"/>
      <c r="D39" s="167"/>
      <c r="E39" s="78">
        <f>Март2015!F39</f>
        <v>524</v>
      </c>
      <c r="F39" s="78">
        <v>582</v>
      </c>
      <c r="G39" s="11">
        <f t="shared" si="4"/>
        <v>58</v>
      </c>
      <c r="H39" s="59">
        <f t="shared" si="5"/>
        <v>0.11068702290076327</v>
      </c>
      <c r="I39" s="58"/>
    </row>
    <row r="40" spans="2:9" s="70" customFormat="1" ht="18" thickBot="1">
      <c r="B40" s="60" t="s">
        <v>4</v>
      </c>
      <c r="C40" s="60"/>
      <c r="D40" s="61"/>
      <c r="E40" s="72">
        <f>Март2015!F40</f>
        <v>75303</v>
      </c>
      <c r="F40" s="72">
        <v>74516</v>
      </c>
      <c r="G40" s="72">
        <f t="shared" si="4"/>
        <v>-787</v>
      </c>
      <c r="H40" s="69">
        <f t="shared" si="5"/>
        <v>-1.045111084551742E-2</v>
      </c>
      <c r="I40" s="58"/>
    </row>
    <row r="41" spans="2:9" ht="15">
      <c r="B41" s="6"/>
      <c r="C41" s="6"/>
      <c r="D41" s="6"/>
      <c r="E41" s="42"/>
      <c r="F41" s="42"/>
      <c r="G41" s="43"/>
      <c r="H41" s="44"/>
    </row>
    <row r="42" spans="2:9" ht="15">
      <c r="B42" s="10"/>
      <c r="C42" s="2"/>
      <c r="D42" s="2"/>
      <c r="E42" s="2"/>
      <c r="F42" s="2"/>
      <c r="G42" s="2"/>
    </row>
    <row r="43" spans="2:9" ht="17.25">
      <c r="B43" s="19"/>
      <c r="C43" s="19"/>
      <c r="D43" s="19"/>
      <c r="E43" s="19"/>
      <c r="F43" s="19"/>
      <c r="G43" s="19"/>
      <c r="H43" s="19"/>
    </row>
    <row r="44" spans="2:9" ht="17.25">
      <c r="B44" s="20" t="s">
        <v>17</v>
      </c>
      <c r="C44" s="19"/>
      <c r="D44" s="19"/>
      <c r="E44" s="19"/>
      <c r="F44" s="19"/>
      <c r="G44" s="19"/>
      <c r="H44" s="19"/>
    </row>
    <row r="45" spans="2:9" ht="18" thickBot="1">
      <c r="B45" s="22"/>
      <c r="C45" s="22"/>
      <c r="D45" s="22"/>
      <c r="E45" s="22"/>
      <c r="F45" s="22"/>
      <c r="G45" s="22"/>
      <c r="H45" s="22"/>
    </row>
    <row r="47" spans="2:9">
      <c r="F47" s="5"/>
    </row>
    <row r="48" spans="2:9" ht="18" thickBot="1">
      <c r="B48" s="12" t="s">
        <v>46</v>
      </c>
      <c r="C48" s="23"/>
      <c r="D48" s="23"/>
      <c r="E48" s="23"/>
      <c r="F48" s="23"/>
      <c r="G48" s="23"/>
      <c r="H48" s="168" t="s">
        <v>13</v>
      </c>
      <c r="I48" s="168"/>
    </row>
    <row r="49" spans="2:9" ht="15.75" thickBot="1">
      <c r="B49" s="145" t="s">
        <v>18</v>
      </c>
      <c r="C49" s="145"/>
      <c r="D49" s="146"/>
      <c r="E49" s="73">
        <v>40543</v>
      </c>
      <c r="F49" s="73">
        <v>40908</v>
      </c>
      <c r="G49" s="73">
        <v>41274</v>
      </c>
      <c r="H49" s="73">
        <v>41639</v>
      </c>
      <c r="I49" s="73">
        <v>42004</v>
      </c>
    </row>
    <row r="50" spans="2:9" ht="17.25">
      <c r="B50" s="169" t="s">
        <v>0</v>
      </c>
      <c r="C50" s="169"/>
      <c r="D50" s="170"/>
      <c r="E50" s="80">
        <v>714295</v>
      </c>
      <c r="F50" s="80">
        <v>772175</v>
      </c>
      <c r="G50" s="80">
        <v>805549</v>
      </c>
      <c r="H50" s="80">
        <v>881844</v>
      </c>
      <c r="I50" s="80">
        <v>944559</v>
      </c>
    </row>
    <row r="51" spans="2:9" ht="17.25">
      <c r="B51" s="171" t="s">
        <v>1</v>
      </c>
      <c r="C51" s="171"/>
      <c r="D51" s="172"/>
      <c r="E51" s="81">
        <v>17170</v>
      </c>
      <c r="F51" s="81">
        <v>16850</v>
      </c>
      <c r="G51" s="81">
        <v>17821</v>
      </c>
      <c r="H51" s="81">
        <v>19539</v>
      </c>
      <c r="I51" s="81">
        <v>20178</v>
      </c>
    </row>
    <row r="52" spans="2:9" ht="17.25">
      <c r="B52" s="173" t="s">
        <v>2</v>
      </c>
      <c r="C52" s="173"/>
      <c r="D52" s="174"/>
      <c r="E52" s="83">
        <v>4295</v>
      </c>
      <c r="F52" s="83">
        <v>5058</v>
      </c>
      <c r="G52" s="83">
        <v>5876</v>
      </c>
      <c r="H52" s="83">
        <v>6957</v>
      </c>
      <c r="I52" s="83">
        <v>7486</v>
      </c>
    </row>
    <row r="53" spans="2:9" ht="18" thickBot="1">
      <c r="B53" s="158" t="s">
        <v>3</v>
      </c>
      <c r="C53" s="158"/>
      <c r="D53" s="159"/>
      <c r="E53" s="79">
        <v>5348</v>
      </c>
      <c r="F53" s="79">
        <v>5242</v>
      </c>
      <c r="G53" s="79">
        <v>5261</v>
      </c>
      <c r="H53" s="79">
        <v>5182</v>
      </c>
      <c r="I53" s="79">
        <v>5142</v>
      </c>
    </row>
    <row r="54" spans="2:9" s="71" customFormat="1" ht="18" thickBot="1">
      <c r="B54" s="147" t="s">
        <v>4</v>
      </c>
      <c r="C54" s="147"/>
      <c r="D54" s="148"/>
      <c r="E54" s="82">
        <v>741108</v>
      </c>
      <c r="F54" s="82">
        <v>799325</v>
      </c>
      <c r="G54" s="82">
        <v>834507</v>
      </c>
      <c r="H54" s="82">
        <v>913522</v>
      </c>
      <c r="I54" s="82">
        <v>977365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2" t="s">
        <v>47</v>
      </c>
      <c r="C82" s="23"/>
      <c r="D82" s="23"/>
      <c r="E82" s="23"/>
      <c r="F82" s="23"/>
      <c r="G82" s="23"/>
      <c r="H82" s="24" t="s">
        <v>12</v>
      </c>
      <c r="I82"/>
      <c r="J82"/>
      <c r="K82"/>
    </row>
    <row r="83" spans="2:11" ht="15.75" thickBot="1">
      <c r="B83" s="32" t="s">
        <v>18</v>
      </c>
      <c r="C83" s="73">
        <f>EDATE(D83,-1)</f>
        <v>41971</v>
      </c>
      <c r="D83" s="73">
        <f>EDATE(E83,-1)</f>
        <v>42001</v>
      </c>
      <c r="E83" s="73">
        <f>EDATE(F83,-1)</f>
        <v>42032</v>
      </c>
      <c r="F83" s="73">
        <f>EDATE(G83,-1)</f>
        <v>42063</v>
      </c>
      <c r="G83" s="73">
        <f>EDATE(H83,-1)</f>
        <v>42093</v>
      </c>
      <c r="H83" s="73">
        <f>EDATE(E11,1)</f>
        <v>42124</v>
      </c>
      <c r="I83"/>
      <c r="J83"/>
    </row>
    <row r="84" spans="2:11" ht="16.5" customHeight="1">
      <c r="B84" s="25" t="s">
        <v>0</v>
      </c>
      <c r="C84" s="80">
        <v>922106</v>
      </c>
      <c r="D84" s="80">
        <v>945143</v>
      </c>
      <c r="E84" s="80">
        <v>950502</v>
      </c>
      <c r="F84" s="80">
        <v>964598</v>
      </c>
      <c r="G84" s="80">
        <v>965577</v>
      </c>
      <c r="H84" s="80">
        <v>971876</v>
      </c>
    </row>
    <row r="85" spans="2:11" ht="16.5" customHeight="1">
      <c r="B85" s="26" t="s">
        <v>1</v>
      </c>
      <c r="C85" s="81">
        <v>19972</v>
      </c>
      <c r="D85" s="81">
        <v>20178</v>
      </c>
      <c r="E85" s="81">
        <v>20249</v>
      </c>
      <c r="F85" s="81">
        <v>20398</v>
      </c>
      <c r="G85" s="81">
        <v>20587</v>
      </c>
      <c r="H85" s="81">
        <v>20753</v>
      </c>
    </row>
    <row r="86" spans="2:11" ht="16.5" customHeight="1">
      <c r="B86" s="27" t="s">
        <v>2</v>
      </c>
      <c r="C86" s="83">
        <v>7365</v>
      </c>
      <c r="D86" s="83">
        <v>7486</v>
      </c>
      <c r="E86" s="83">
        <v>7537</v>
      </c>
      <c r="F86" s="83">
        <v>7683</v>
      </c>
      <c r="G86" s="83">
        <v>8231</v>
      </c>
      <c r="H86" s="83">
        <v>8355</v>
      </c>
    </row>
    <row r="87" spans="2:11" ht="16.5" customHeight="1" thickBot="1">
      <c r="B87" s="28" t="s">
        <v>3</v>
      </c>
      <c r="C87" s="79">
        <v>5144</v>
      </c>
      <c r="D87" s="79">
        <v>5142</v>
      </c>
      <c r="E87" s="79">
        <v>5091</v>
      </c>
      <c r="F87" s="79">
        <v>5023</v>
      </c>
      <c r="G87" s="79">
        <v>5043</v>
      </c>
      <c r="H87" s="79">
        <v>4971</v>
      </c>
    </row>
    <row r="88" spans="2:11" s="71" customFormat="1" ht="18" thickBot="1">
      <c r="B88" s="103" t="s">
        <v>4</v>
      </c>
      <c r="C88" s="82">
        <v>954587</v>
      </c>
      <c r="D88" s="82">
        <v>977949</v>
      </c>
      <c r="E88" s="82">
        <v>983379</v>
      </c>
      <c r="F88" s="82">
        <v>997702</v>
      </c>
      <c r="G88" s="82">
        <v>999438</v>
      </c>
      <c r="H88" s="82">
        <v>1005955</v>
      </c>
      <c r="I88" s="58"/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29"/>
      <c r="C123" s="29"/>
      <c r="D123" s="29"/>
      <c r="E123" s="29"/>
      <c r="F123" s="29"/>
      <c r="G123" s="29"/>
      <c r="H123" s="29"/>
    </row>
    <row r="124" spans="2:8" ht="17.25">
      <c r="B124" s="30" t="s">
        <v>25</v>
      </c>
      <c r="C124" s="92">
        <f>B3</f>
        <v>42124</v>
      </c>
      <c r="D124" s="29"/>
      <c r="E124" s="29"/>
      <c r="F124" s="29"/>
      <c r="G124" s="29"/>
      <c r="H124" s="29"/>
    </row>
    <row r="125" spans="2:8" ht="18" thickBot="1">
      <c r="B125" s="31"/>
      <c r="C125" s="31"/>
      <c r="D125" s="31"/>
      <c r="E125" s="31"/>
      <c r="F125" s="31"/>
      <c r="G125" s="31"/>
      <c r="H125" s="31"/>
    </row>
    <row r="127" spans="2:8" ht="18" thickBot="1">
      <c r="B127" s="62"/>
      <c r="C127" s="74"/>
      <c r="D127" s="36"/>
      <c r="E127" s="36"/>
      <c r="F127" s="36"/>
      <c r="G127" s="36"/>
      <c r="H127" s="37" t="s">
        <v>13</v>
      </c>
    </row>
    <row r="128" spans="2:8" ht="30.75" customHeight="1" thickBot="1">
      <c r="B128" s="146" t="s">
        <v>26</v>
      </c>
      <c r="C128" s="149"/>
      <c r="D128" s="149"/>
      <c r="E128" s="149"/>
      <c r="F128" s="149"/>
      <c r="G128" s="150" t="s">
        <v>5</v>
      </c>
      <c r="H128" s="151"/>
    </row>
    <row r="129" spans="2:10" ht="18" customHeight="1" thickBot="1">
      <c r="B129" s="133" t="s">
        <v>22</v>
      </c>
      <c r="C129" s="152"/>
      <c r="D129" s="152"/>
      <c r="E129" s="152"/>
      <c r="F129" s="152"/>
      <c r="G129" s="153">
        <v>422</v>
      </c>
      <c r="H129" s="154"/>
    </row>
    <row r="132" spans="2:10" ht="17.25">
      <c r="B132" s="33"/>
      <c r="C132" s="33"/>
      <c r="D132" s="33"/>
      <c r="E132" s="33"/>
      <c r="F132" s="33"/>
      <c r="G132" s="33"/>
      <c r="H132" s="33"/>
    </row>
    <row r="133" spans="2:10" ht="17.25">
      <c r="B133" s="34" t="s">
        <v>21</v>
      </c>
      <c r="C133" s="33"/>
      <c r="D133" s="33"/>
      <c r="E133" s="34"/>
      <c r="F133" s="97">
        <f>C6</f>
        <v>42124</v>
      </c>
      <c r="G133" s="33"/>
      <c r="H133" s="33"/>
    </row>
    <row r="134" spans="2:10" ht="18" thickBot="1">
      <c r="B134" s="35"/>
      <c r="C134" s="35"/>
      <c r="D134" s="35"/>
      <c r="E134" s="35"/>
      <c r="F134" s="35"/>
      <c r="G134" s="35"/>
      <c r="H134" s="35"/>
    </row>
    <row r="136" spans="2:10" ht="17.25">
      <c r="B136" s="87" t="s">
        <v>27</v>
      </c>
      <c r="C136" s="38"/>
      <c r="D136" s="38"/>
      <c r="E136" s="38"/>
      <c r="F136" s="38"/>
      <c r="G136" s="38"/>
      <c r="H136" s="39" t="s">
        <v>13</v>
      </c>
    </row>
    <row r="137" spans="2:10" ht="18" thickBot="1">
      <c r="B137" s="88" t="s">
        <v>28</v>
      </c>
      <c r="C137" s="38"/>
      <c r="D137" s="38"/>
      <c r="E137" s="38"/>
      <c r="F137" s="38"/>
      <c r="G137" s="38"/>
      <c r="H137" s="39"/>
    </row>
    <row r="138" spans="2:10" ht="15.75" customHeight="1" thickBot="1">
      <c r="B138" s="155" t="s">
        <v>19</v>
      </c>
      <c r="C138" s="155"/>
      <c r="D138" s="155"/>
      <c r="E138" s="155"/>
      <c r="F138" s="156"/>
      <c r="G138" s="157" t="s">
        <v>6</v>
      </c>
      <c r="H138" s="144"/>
      <c r="I138"/>
    </row>
    <row r="139" spans="2:10" ht="17.25" customHeight="1">
      <c r="B139" s="140" t="s">
        <v>52</v>
      </c>
      <c r="C139" s="140" t="s">
        <v>52</v>
      </c>
      <c r="D139" s="140" t="s">
        <v>52</v>
      </c>
      <c r="E139" s="140" t="s">
        <v>52</v>
      </c>
      <c r="F139" s="141" t="s">
        <v>52</v>
      </c>
      <c r="G139" s="142">
        <v>218580</v>
      </c>
      <c r="H139" s="143">
        <v>218580</v>
      </c>
      <c r="I139" s="47"/>
      <c r="J139" s="50"/>
    </row>
    <row r="140" spans="2:10" ht="13.5" customHeight="1">
      <c r="B140" s="136" t="s">
        <v>32</v>
      </c>
      <c r="C140" s="136" t="s">
        <v>32</v>
      </c>
      <c r="D140" s="136" t="s">
        <v>32</v>
      </c>
      <c r="E140" s="136" t="s">
        <v>32</v>
      </c>
      <c r="F140" s="137" t="s">
        <v>32</v>
      </c>
      <c r="G140" s="138">
        <v>182036</v>
      </c>
      <c r="H140" s="139">
        <v>182036</v>
      </c>
      <c r="I140" s="47"/>
      <c r="J140" s="50"/>
    </row>
    <row r="141" spans="2:10" ht="17.25" customHeight="1">
      <c r="B141" s="136" t="s">
        <v>53</v>
      </c>
      <c r="C141" s="136" t="s">
        <v>53</v>
      </c>
      <c r="D141" s="136" t="s">
        <v>53</v>
      </c>
      <c r="E141" s="136" t="s">
        <v>53</v>
      </c>
      <c r="F141" s="137" t="s">
        <v>53</v>
      </c>
      <c r="G141" s="138">
        <v>129757</v>
      </c>
      <c r="H141" s="139">
        <v>129757</v>
      </c>
      <c r="I141" s="47"/>
      <c r="J141" s="50"/>
    </row>
    <row r="142" spans="2:10" ht="17.25" customHeight="1">
      <c r="B142" s="136" t="s">
        <v>34</v>
      </c>
      <c r="C142" s="136" t="s">
        <v>34</v>
      </c>
      <c r="D142" s="136" t="s">
        <v>34</v>
      </c>
      <c r="E142" s="136" t="s">
        <v>34</v>
      </c>
      <c r="F142" s="137" t="s">
        <v>34</v>
      </c>
      <c r="G142" s="138">
        <v>127241</v>
      </c>
      <c r="H142" s="139">
        <v>127241</v>
      </c>
      <c r="I142" s="47"/>
      <c r="J142" s="50"/>
    </row>
    <row r="143" spans="2:10" ht="17.25" customHeight="1">
      <c r="B143" s="136" t="s">
        <v>54</v>
      </c>
      <c r="C143" s="136" t="s">
        <v>54</v>
      </c>
      <c r="D143" s="136" t="s">
        <v>54</v>
      </c>
      <c r="E143" s="136" t="s">
        <v>54</v>
      </c>
      <c r="F143" s="137" t="s">
        <v>54</v>
      </c>
      <c r="G143" s="138">
        <v>63139</v>
      </c>
      <c r="H143" s="139">
        <v>63139</v>
      </c>
      <c r="I143" s="47"/>
      <c r="J143" s="50"/>
    </row>
    <row r="144" spans="2:10" ht="13.5" customHeight="1">
      <c r="B144" s="136" t="s">
        <v>50</v>
      </c>
      <c r="C144" s="136" t="s">
        <v>50</v>
      </c>
      <c r="D144" s="136" t="s">
        <v>50</v>
      </c>
      <c r="E144" s="136" t="s">
        <v>50</v>
      </c>
      <c r="F144" s="137" t="s">
        <v>50</v>
      </c>
      <c r="G144" s="138">
        <v>58051</v>
      </c>
      <c r="H144" s="139">
        <v>58051</v>
      </c>
      <c r="I144" s="51"/>
      <c r="J144" s="50"/>
    </row>
    <row r="145" spans="2:13" ht="17.25" customHeight="1">
      <c r="B145" s="136" t="s">
        <v>36</v>
      </c>
      <c r="C145" s="136" t="s">
        <v>36</v>
      </c>
      <c r="D145" s="136" t="s">
        <v>36</v>
      </c>
      <c r="E145" s="136" t="s">
        <v>36</v>
      </c>
      <c r="F145" s="137" t="s">
        <v>36</v>
      </c>
      <c r="G145" s="138">
        <v>46605</v>
      </c>
      <c r="H145" s="139">
        <v>46605</v>
      </c>
      <c r="I145" s="47"/>
      <c r="J145" s="50"/>
    </row>
    <row r="146" spans="2:13" ht="17.25" customHeight="1">
      <c r="B146" s="136" t="s">
        <v>37</v>
      </c>
      <c r="C146" s="136" t="s">
        <v>37</v>
      </c>
      <c r="D146" s="136" t="s">
        <v>37</v>
      </c>
      <c r="E146" s="136" t="s">
        <v>37</v>
      </c>
      <c r="F146" s="137" t="s">
        <v>37</v>
      </c>
      <c r="G146" s="138">
        <v>31204</v>
      </c>
      <c r="H146" s="139">
        <v>31204</v>
      </c>
      <c r="I146" s="47"/>
      <c r="J146" s="50"/>
    </row>
    <row r="147" spans="2:13" ht="17.25" customHeight="1">
      <c r="B147" s="136" t="s">
        <v>38</v>
      </c>
      <c r="C147" s="136" t="s">
        <v>38</v>
      </c>
      <c r="D147" s="136" t="s">
        <v>38</v>
      </c>
      <c r="E147" s="136" t="s">
        <v>38</v>
      </c>
      <c r="F147" s="137" t="s">
        <v>38</v>
      </c>
      <c r="G147" s="138">
        <v>21743</v>
      </c>
      <c r="H147" s="139">
        <v>21743</v>
      </c>
      <c r="I147" s="47"/>
      <c r="J147" s="50"/>
      <c r="L147"/>
    </row>
    <row r="148" spans="2:13" ht="18" customHeight="1" thickBot="1">
      <c r="B148" s="132" t="s">
        <v>39</v>
      </c>
      <c r="C148" s="132" t="s">
        <v>39</v>
      </c>
      <c r="D148" s="132" t="s">
        <v>39</v>
      </c>
      <c r="E148" s="132" t="s">
        <v>39</v>
      </c>
      <c r="F148" s="133" t="s">
        <v>39</v>
      </c>
      <c r="G148" s="134">
        <v>19789</v>
      </c>
      <c r="H148" s="135">
        <v>19789</v>
      </c>
      <c r="I148" s="47"/>
      <c r="J148" s="50"/>
      <c r="L148"/>
    </row>
    <row r="149" spans="2:13" ht="17.25">
      <c r="G149" s="41"/>
      <c r="H149" s="41"/>
      <c r="I149" s="52"/>
      <c r="J149" s="52"/>
    </row>
    <row r="150" spans="2:13" ht="17.25">
      <c r="B150" s="40"/>
      <c r="C150" s="40"/>
      <c r="D150" s="40"/>
      <c r="E150" s="40"/>
      <c r="F150" s="40"/>
      <c r="G150" s="41"/>
      <c r="H150" s="41"/>
      <c r="I150" s="52"/>
      <c r="J150" s="52"/>
    </row>
    <row r="151" spans="2:13" ht="17.25">
      <c r="B151" s="87" t="s">
        <v>7</v>
      </c>
      <c r="C151" s="38"/>
      <c r="D151" s="38"/>
      <c r="E151" s="38"/>
      <c r="F151" s="38"/>
      <c r="G151" s="38"/>
      <c r="H151" s="39" t="s">
        <v>12</v>
      </c>
      <c r="I151" s="52"/>
      <c r="J151" s="52"/>
    </row>
    <row r="152" spans="2:13" ht="18" thickBot="1">
      <c r="B152" s="88" t="s">
        <v>29</v>
      </c>
      <c r="C152" s="38"/>
      <c r="D152" s="38"/>
      <c r="E152" s="38"/>
      <c r="F152" s="38"/>
      <c r="G152" s="38"/>
      <c r="H152" s="39"/>
      <c r="I152" s="52"/>
      <c r="J152" s="52"/>
    </row>
    <row r="153" spans="2:13" ht="15.75" thickBot="1">
      <c r="B153" s="145" t="s">
        <v>19</v>
      </c>
      <c r="C153" s="145"/>
      <c r="D153" s="145"/>
      <c r="E153" s="145"/>
      <c r="F153" s="146"/>
      <c r="G153" s="144" t="s">
        <v>6</v>
      </c>
      <c r="H153" s="144"/>
      <c r="I153" s="52"/>
      <c r="J153" s="52"/>
      <c r="K153"/>
      <c r="L153"/>
      <c r="M153"/>
    </row>
    <row r="154" spans="2:13" ht="17.25" customHeight="1">
      <c r="B154" s="140" t="s">
        <v>32</v>
      </c>
      <c r="C154" s="140" t="s">
        <v>32</v>
      </c>
      <c r="D154" s="140" t="s">
        <v>32</v>
      </c>
      <c r="E154" s="140" t="s">
        <v>32</v>
      </c>
      <c r="F154" s="141" t="s">
        <v>32</v>
      </c>
      <c r="G154" s="142">
        <v>13334</v>
      </c>
      <c r="H154" s="143">
        <v>13334</v>
      </c>
      <c r="I154" s="53"/>
      <c r="J154" s="50"/>
      <c r="K154" s="49"/>
      <c r="L154"/>
      <c r="M154"/>
    </row>
    <row r="155" spans="2:13" ht="17.25" customHeight="1">
      <c r="B155" s="136" t="s">
        <v>53</v>
      </c>
      <c r="C155" s="136" t="s">
        <v>53</v>
      </c>
      <c r="D155" s="136" t="s">
        <v>53</v>
      </c>
      <c r="E155" s="136" t="s">
        <v>53</v>
      </c>
      <c r="F155" s="137" t="s">
        <v>53</v>
      </c>
      <c r="G155" s="138">
        <v>10965</v>
      </c>
      <c r="H155" s="139">
        <v>10965</v>
      </c>
      <c r="I155" s="53"/>
      <c r="J155" s="50"/>
      <c r="K155" s="49"/>
      <c r="L155"/>
      <c r="M155"/>
    </row>
    <row r="156" spans="2:13" ht="17.25" customHeight="1">
      <c r="B156" s="136" t="s">
        <v>34</v>
      </c>
      <c r="C156" s="136" t="s">
        <v>34</v>
      </c>
      <c r="D156" s="136" t="s">
        <v>34</v>
      </c>
      <c r="E156" s="136" t="s">
        <v>34</v>
      </c>
      <c r="F156" s="137" t="s">
        <v>34</v>
      </c>
      <c r="G156" s="138">
        <v>10800</v>
      </c>
      <c r="H156" s="139">
        <v>10800</v>
      </c>
      <c r="I156" s="53"/>
      <c r="J156" s="50"/>
      <c r="K156" s="49"/>
      <c r="L156"/>
      <c r="M156"/>
    </row>
    <row r="157" spans="2:13" ht="17.25">
      <c r="B157" s="136" t="s">
        <v>52</v>
      </c>
      <c r="C157" s="136" t="s">
        <v>52</v>
      </c>
      <c r="D157" s="136" t="s">
        <v>52</v>
      </c>
      <c r="E157" s="136" t="s">
        <v>52</v>
      </c>
      <c r="F157" s="137" t="s">
        <v>52</v>
      </c>
      <c r="G157" s="138">
        <v>10095</v>
      </c>
      <c r="H157" s="139">
        <v>10095</v>
      </c>
      <c r="I157" s="53"/>
      <c r="J157" s="50"/>
      <c r="K157" s="49"/>
      <c r="L157"/>
      <c r="M157"/>
    </row>
    <row r="158" spans="2:13" ht="17.25" customHeight="1">
      <c r="B158" s="136" t="s">
        <v>50</v>
      </c>
      <c r="C158" s="136" t="s">
        <v>50</v>
      </c>
      <c r="D158" s="136" t="s">
        <v>50</v>
      </c>
      <c r="E158" s="136" t="s">
        <v>50</v>
      </c>
      <c r="F158" s="137" t="s">
        <v>50</v>
      </c>
      <c r="G158" s="138">
        <v>6187</v>
      </c>
      <c r="H158" s="139">
        <v>6187</v>
      </c>
      <c r="I158" s="53"/>
      <c r="J158" s="50"/>
      <c r="K158" s="49"/>
      <c r="L158"/>
      <c r="M158"/>
    </row>
    <row r="159" spans="2:13" ht="17.25" customHeight="1">
      <c r="B159" s="136" t="s">
        <v>54</v>
      </c>
      <c r="C159" s="136" t="s">
        <v>54</v>
      </c>
      <c r="D159" s="136" t="s">
        <v>54</v>
      </c>
      <c r="E159" s="136" t="s">
        <v>54</v>
      </c>
      <c r="F159" s="137" t="s">
        <v>54</v>
      </c>
      <c r="G159" s="138">
        <v>4446</v>
      </c>
      <c r="H159" s="139">
        <v>4446</v>
      </c>
      <c r="I159" s="54"/>
      <c r="J159" s="50"/>
      <c r="K159" s="49"/>
      <c r="L159"/>
      <c r="M159"/>
    </row>
    <row r="160" spans="2:13" ht="17.25" customHeight="1">
      <c r="B160" s="136" t="s">
        <v>36</v>
      </c>
      <c r="C160" s="136" t="s">
        <v>36</v>
      </c>
      <c r="D160" s="136" t="s">
        <v>36</v>
      </c>
      <c r="E160" s="136" t="s">
        <v>36</v>
      </c>
      <c r="F160" s="137" t="s">
        <v>36</v>
      </c>
      <c r="G160" s="138">
        <v>3043</v>
      </c>
      <c r="H160" s="139">
        <v>3043</v>
      </c>
      <c r="I160" s="53"/>
      <c r="J160" s="50"/>
      <c r="K160" s="49"/>
      <c r="L160"/>
      <c r="M160"/>
    </row>
    <row r="161" spans="2:13" ht="17.25" customHeight="1">
      <c r="B161" s="136" t="s">
        <v>55</v>
      </c>
      <c r="C161" s="136" t="s">
        <v>55</v>
      </c>
      <c r="D161" s="136" t="s">
        <v>55</v>
      </c>
      <c r="E161" s="136" t="s">
        <v>55</v>
      </c>
      <c r="F161" s="137" t="s">
        <v>55</v>
      </c>
      <c r="G161" s="138">
        <v>2194</v>
      </c>
      <c r="H161" s="139">
        <v>2194</v>
      </c>
      <c r="I161" s="53"/>
      <c r="J161" s="50"/>
      <c r="K161" s="49"/>
      <c r="L161"/>
      <c r="M161"/>
    </row>
    <row r="162" spans="2:13" ht="17.25" customHeight="1">
      <c r="B162" s="136" t="s">
        <v>38</v>
      </c>
      <c r="C162" s="136" t="s">
        <v>38</v>
      </c>
      <c r="D162" s="136" t="s">
        <v>38</v>
      </c>
      <c r="E162" s="136" t="s">
        <v>38</v>
      </c>
      <c r="F162" s="137" t="s">
        <v>38</v>
      </c>
      <c r="G162" s="138">
        <v>1494</v>
      </c>
      <c r="H162" s="139">
        <v>1494</v>
      </c>
      <c r="I162" s="53"/>
      <c r="J162" s="50"/>
      <c r="K162" s="49"/>
      <c r="L162"/>
      <c r="M162"/>
    </row>
    <row r="163" spans="2:13" ht="18" customHeight="1" thickBot="1">
      <c r="B163" s="132" t="s">
        <v>37</v>
      </c>
      <c r="C163" s="132" t="s">
        <v>37</v>
      </c>
      <c r="D163" s="132" t="s">
        <v>37</v>
      </c>
      <c r="E163" s="132" t="s">
        <v>37</v>
      </c>
      <c r="F163" s="133" t="s">
        <v>37</v>
      </c>
      <c r="G163" s="134">
        <v>1344</v>
      </c>
      <c r="H163" s="135">
        <v>1344</v>
      </c>
      <c r="I163" s="53"/>
      <c r="J163" s="50"/>
      <c r="K163" s="49"/>
      <c r="L163"/>
      <c r="M163"/>
    </row>
    <row r="164" spans="2:13" ht="17.25">
      <c r="B164" s="40"/>
      <c r="C164" s="40"/>
      <c r="D164" s="40"/>
      <c r="E164" s="40"/>
      <c r="F164" s="40"/>
      <c r="G164" s="93"/>
      <c r="H164" s="93"/>
      <c r="I164" s="52"/>
      <c r="J164" s="52"/>
      <c r="L164"/>
      <c r="M164"/>
    </row>
    <row r="165" spans="2:13" ht="17.25">
      <c r="G165" s="41"/>
      <c r="H165" s="41"/>
      <c r="I165" s="2"/>
      <c r="J165" s="2"/>
    </row>
    <row r="166" spans="2:13" ht="17.25">
      <c r="B166" s="87" t="s">
        <v>8</v>
      </c>
      <c r="C166" s="38"/>
      <c r="D166" s="38"/>
      <c r="E166" s="38"/>
      <c r="F166" s="38"/>
      <c r="G166" s="38"/>
      <c r="H166" s="39" t="s">
        <v>14</v>
      </c>
      <c r="I166" s="2"/>
      <c r="J166" s="52"/>
      <c r="K166"/>
    </row>
    <row r="167" spans="2:13" ht="18" thickBot="1">
      <c r="B167" s="88" t="s">
        <v>30</v>
      </c>
      <c r="C167" s="38"/>
      <c r="D167" s="38"/>
      <c r="E167" s="38"/>
      <c r="F167" s="38"/>
      <c r="G167" s="38"/>
      <c r="H167" s="39"/>
      <c r="I167" s="2"/>
      <c r="J167" s="52"/>
      <c r="K167"/>
    </row>
    <row r="168" spans="2:13" ht="15" customHeight="1" thickBot="1">
      <c r="B168" s="101" t="s">
        <v>19</v>
      </c>
      <c r="C168" s="101"/>
      <c r="D168" s="101"/>
      <c r="E168" s="101"/>
      <c r="F168" s="102"/>
      <c r="G168" s="144" t="s">
        <v>9</v>
      </c>
      <c r="H168" s="144"/>
      <c r="I168" s="2"/>
      <c r="J168" s="2"/>
    </row>
    <row r="169" spans="2:13" ht="17.25" customHeight="1">
      <c r="B169" s="140" t="s">
        <v>50</v>
      </c>
      <c r="C169" s="140" t="s">
        <v>50</v>
      </c>
      <c r="D169" s="140" t="s">
        <v>50</v>
      </c>
      <c r="E169" s="140" t="s">
        <v>50</v>
      </c>
      <c r="F169" s="141" t="s">
        <v>50</v>
      </c>
      <c r="G169" s="142">
        <v>2514078142761.8599</v>
      </c>
      <c r="H169" s="143">
        <v>2514078142761.8599</v>
      </c>
      <c r="I169" s="55"/>
      <c r="J169" s="56"/>
    </row>
    <row r="170" spans="2:13" ht="17.25" customHeight="1">
      <c r="B170" s="136" t="s">
        <v>34</v>
      </c>
      <c r="C170" s="136" t="s">
        <v>34</v>
      </c>
      <c r="D170" s="136" t="s">
        <v>34</v>
      </c>
      <c r="E170" s="136" t="s">
        <v>34</v>
      </c>
      <c r="F170" s="137" t="s">
        <v>34</v>
      </c>
      <c r="G170" s="138">
        <v>1199236604086.24</v>
      </c>
      <c r="H170" s="139">
        <v>1199236604086.24</v>
      </c>
      <c r="I170" s="55"/>
      <c r="J170" s="56"/>
    </row>
    <row r="171" spans="2:13" ht="17.25" customHeight="1">
      <c r="B171" s="136" t="s">
        <v>56</v>
      </c>
      <c r="C171" s="136" t="s">
        <v>56</v>
      </c>
      <c r="D171" s="136" t="s">
        <v>56</v>
      </c>
      <c r="E171" s="136" t="s">
        <v>56</v>
      </c>
      <c r="F171" s="137" t="s">
        <v>56</v>
      </c>
      <c r="G171" s="138">
        <v>1020585398330.49</v>
      </c>
      <c r="H171" s="139">
        <v>1020585398330.49</v>
      </c>
      <c r="I171" s="55"/>
      <c r="J171" s="56"/>
    </row>
    <row r="172" spans="2:13" ht="17.25" customHeight="1">
      <c r="B172" s="136" t="s">
        <v>32</v>
      </c>
      <c r="C172" s="136" t="s">
        <v>32</v>
      </c>
      <c r="D172" s="136" t="s">
        <v>32</v>
      </c>
      <c r="E172" s="136" t="s">
        <v>32</v>
      </c>
      <c r="F172" s="137" t="s">
        <v>32</v>
      </c>
      <c r="G172" s="138">
        <v>993667448987.31006</v>
      </c>
      <c r="H172" s="139">
        <v>993667448987.31006</v>
      </c>
      <c r="I172" s="55"/>
      <c r="J172" s="56"/>
    </row>
    <row r="173" spans="2:13" ht="17.25" customHeight="1">
      <c r="B173" s="136" t="s">
        <v>43</v>
      </c>
      <c r="C173" s="136" t="s">
        <v>43</v>
      </c>
      <c r="D173" s="136" t="s">
        <v>43</v>
      </c>
      <c r="E173" s="136" t="s">
        <v>43</v>
      </c>
      <c r="F173" s="137" t="s">
        <v>43</v>
      </c>
      <c r="G173" s="138">
        <v>388817826623.92999</v>
      </c>
      <c r="H173" s="139">
        <v>388817826623.92999</v>
      </c>
      <c r="I173" s="57"/>
      <c r="J173" s="50"/>
    </row>
    <row r="174" spans="2:13" ht="17.25" customHeight="1">
      <c r="B174" s="136" t="s">
        <v>42</v>
      </c>
      <c r="C174" s="136" t="s">
        <v>42</v>
      </c>
      <c r="D174" s="136" t="s">
        <v>42</v>
      </c>
      <c r="E174" s="136" t="s">
        <v>42</v>
      </c>
      <c r="F174" s="137" t="s">
        <v>42</v>
      </c>
      <c r="G174" s="138">
        <v>364304979298.32001</v>
      </c>
      <c r="H174" s="139">
        <v>364304979298.32001</v>
      </c>
      <c r="I174" s="55"/>
      <c r="J174" s="56"/>
    </row>
    <row r="175" spans="2:13" ht="17.25" customHeight="1">
      <c r="B175" s="136" t="s">
        <v>57</v>
      </c>
      <c r="C175" s="136" t="s">
        <v>57</v>
      </c>
      <c r="D175" s="136" t="s">
        <v>57</v>
      </c>
      <c r="E175" s="136" t="s">
        <v>57</v>
      </c>
      <c r="F175" s="137" t="s">
        <v>57</v>
      </c>
      <c r="G175" s="138">
        <v>319894303965.96997</v>
      </c>
      <c r="H175" s="139">
        <v>319894303965.96997</v>
      </c>
      <c r="I175" s="55"/>
      <c r="J175" s="56"/>
    </row>
    <row r="176" spans="2:13" ht="17.25" customHeight="1">
      <c r="B176" s="136" t="s">
        <v>53</v>
      </c>
      <c r="C176" s="136" t="s">
        <v>53</v>
      </c>
      <c r="D176" s="136" t="s">
        <v>53</v>
      </c>
      <c r="E176" s="136" t="s">
        <v>53</v>
      </c>
      <c r="F176" s="137" t="s">
        <v>53</v>
      </c>
      <c r="G176" s="138">
        <v>308845444469.76001</v>
      </c>
      <c r="H176" s="139">
        <v>308845444469.76001</v>
      </c>
      <c r="I176" s="55"/>
      <c r="J176" s="56"/>
    </row>
    <row r="177" spans="2:10" ht="17.25" customHeight="1">
      <c r="B177" s="136" t="s">
        <v>51</v>
      </c>
      <c r="C177" s="136" t="s">
        <v>51</v>
      </c>
      <c r="D177" s="136" t="s">
        <v>51</v>
      </c>
      <c r="E177" s="136" t="s">
        <v>51</v>
      </c>
      <c r="F177" s="137" t="s">
        <v>51</v>
      </c>
      <c r="G177" s="138">
        <v>200659371169.85001</v>
      </c>
      <c r="H177" s="139">
        <v>200659371169.85001</v>
      </c>
      <c r="I177" s="55"/>
      <c r="J177" s="56"/>
    </row>
    <row r="178" spans="2:10" ht="18" customHeight="1" thickBot="1">
      <c r="B178" s="132" t="s">
        <v>36</v>
      </c>
      <c r="C178" s="132" t="s">
        <v>36</v>
      </c>
      <c r="D178" s="132" t="s">
        <v>36</v>
      </c>
      <c r="E178" s="132" t="s">
        <v>36</v>
      </c>
      <c r="F178" s="133" t="s">
        <v>36</v>
      </c>
      <c r="G178" s="134">
        <v>200449327387.56</v>
      </c>
      <c r="H178" s="135">
        <v>200449327387.56</v>
      </c>
      <c r="I178" s="55"/>
      <c r="J178" s="56"/>
    </row>
    <row r="179" spans="2:10" ht="17.25">
      <c r="G179" s="41"/>
      <c r="H179" s="41"/>
      <c r="J179" s="48"/>
    </row>
    <row r="180" spans="2:10">
      <c r="B180" s="58"/>
      <c r="J180" s="48"/>
    </row>
  </sheetData>
  <dataConsolidate link="1"/>
  <mergeCells count="100">
    <mergeCell ref="B176:F176"/>
    <mergeCell ref="G176:H176"/>
    <mergeCell ref="B177:F177"/>
    <mergeCell ref="G177:H177"/>
    <mergeCell ref="B178:F178"/>
    <mergeCell ref="G178:H178"/>
    <mergeCell ref="B173:F173"/>
    <mergeCell ref="G173:H173"/>
    <mergeCell ref="B174:F174"/>
    <mergeCell ref="G174:H174"/>
    <mergeCell ref="B175:F175"/>
    <mergeCell ref="G175:H175"/>
    <mergeCell ref="B170:F170"/>
    <mergeCell ref="G170:H170"/>
    <mergeCell ref="B171:F171"/>
    <mergeCell ref="G171:H171"/>
    <mergeCell ref="B172:F172"/>
    <mergeCell ref="G172:H172"/>
    <mergeCell ref="B169:F169"/>
    <mergeCell ref="G169:H169"/>
    <mergeCell ref="B159:F159"/>
    <mergeCell ref="G159:H159"/>
    <mergeCell ref="B160:F160"/>
    <mergeCell ref="G160:H160"/>
    <mergeCell ref="B161:F161"/>
    <mergeCell ref="G161:H161"/>
    <mergeCell ref="B162:F162"/>
    <mergeCell ref="G162:H162"/>
    <mergeCell ref="B163:F163"/>
    <mergeCell ref="G163:H163"/>
    <mergeCell ref="G168:H168"/>
    <mergeCell ref="B156:F156"/>
    <mergeCell ref="G156:H156"/>
    <mergeCell ref="B157:F157"/>
    <mergeCell ref="G157:H157"/>
    <mergeCell ref="B158:F158"/>
    <mergeCell ref="G158:H158"/>
    <mergeCell ref="B153:F153"/>
    <mergeCell ref="G153:H153"/>
    <mergeCell ref="B154:F154"/>
    <mergeCell ref="G154:H154"/>
    <mergeCell ref="B155:F155"/>
    <mergeCell ref="G155:H155"/>
    <mergeCell ref="B146:F146"/>
    <mergeCell ref="G146:H146"/>
    <mergeCell ref="B147:F147"/>
    <mergeCell ref="G147:H147"/>
    <mergeCell ref="B148:F148"/>
    <mergeCell ref="G148:H148"/>
    <mergeCell ref="B143:F143"/>
    <mergeCell ref="G143:H143"/>
    <mergeCell ref="B144:F144"/>
    <mergeCell ref="G144:H144"/>
    <mergeCell ref="B145:F145"/>
    <mergeCell ref="G145:H145"/>
    <mergeCell ref="B140:F140"/>
    <mergeCell ref="G140:H140"/>
    <mergeCell ref="B141:F141"/>
    <mergeCell ref="G141:H141"/>
    <mergeCell ref="B142:F142"/>
    <mergeCell ref="G142:H142"/>
    <mergeCell ref="B129:F129"/>
    <mergeCell ref="G129:H129"/>
    <mergeCell ref="B138:F138"/>
    <mergeCell ref="G138:H138"/>
    <mergeCell ref="B139:F139"/>
    <mergeCell ref="G139:H139"/>
    <mergeCell ref="B37:D37"/>
    <mergeCell ref="B38:D38"/>
    <mergeCell ref="B54:D54"/>
    <mergeCell ref="B128:F128"/>
    <mergeCell ref="G128:H128"/>
    <mergeCell ref="H48:I48"/>
    <mergeCell ref="B49:D49"/>
    <mergeCell ref="B50:D50"/>
    <mergeCell ref="B51:D51"/>
    <mergeCell ref="B52:D52"/>
    <mergeCell ref="B53:D53"/>
    <mergeCell ref="I3:N3"/>
    <mergeCell ref="B11:D11"/>
    <mergeCell ref="B12:D12"/>
    <mergeCell ref="B39:D39"/>
    <mergeCell ref="B27:D27"/>
    <mergeCell ref="B28:D28"/>
    <mergeCell ref="B33:D33"/>
    <mergeCell ref="B14:D14"/>
    <mergeCell ref="B15:D15"/>
    <mergeCell ref="B16:D16"/>
    <mergeCell ref="B17:D17"/>
    <mergeCell ref="B22:D22"/>
    <mergeCell ref="B23:D23"/>
    <mergeCell ref="B34:D34"/>
    <mergeCell ref="B35:D35"/>
    <mergeCell ref="B36:D36"/>
    <mergeCell ref="B13:D13"/>
    <mergeCell ref="B24:D24"/>
    <mergeCell ref="B25:D25"/>
    <mergeCell ref="B26:D26"/>
    <mergeCell ref="B2:H2"/>
    <mergeCell ref="B3:H3"/>
  </mergeCells>
  <pageMargins left="0.70866141732283472" right="0.70866141732283472" top="0.15748031496062992" bottom="0.15748031496062992" header="0.31496062992125984" footer="0.11811023622047245"/>
  <pageSetup paperSize="9" scale="47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49" max="16383" man="1"/>
    <brk id="192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41313">
          <objectPr defaultSize="0" autoPict="0" dde="1">
            <anchor moveWithCells="1">
              <from>
                <xdr:col>0</xdr:col>
                <xdr:colOff>123825</xdr:colOff>
                <xdr:row>72</xdr:row>
                <xdr:rowOff>123825</xdr:rowOff>
              </from>
              <to>
                <xdr:col>1</xdr:col>
                <xdr:colOff>257175</xdr:colOff>
                <xdr:row>74</xdr:row>
                <xdr:rowOff>0</xdr:rowOff>
              </to>
            </anchor>
          </objectPr>
        </oleObject>
      </mc:Choice>
      <mc:Fallback>
        <oleObject link="[1]!'!Январь2012!R1C2:R10C9'" oleUpdate="OLEUPDATE_ALWAYS" shapeId="141313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00">
    <pageSetUpPr fitToPage="1"/>
  </sheetPr>
  <dimension ref="B2:N180"/>
  <sheetViews>
    <sheetView workbookViewId="0"/>
  </sheetViews>
  <sheetFormatPr defaultRowHeight="13.5"/>
  <cols>
    <col min="1" max="1" width="3.42578125" style="75" customWidth="1"/>
    <col min="2" max="2" width="46.7109375" style="75" customWidth="1"/>
    <col min="3" max="4" width="18.42578125" style="75" customWidth="1"/>
    <col min="5" max="9" width="25.5703125" style="75" customWidth="1"/>
    <col min="10" max="10" width="10.5703125" style="75" customWidth="1"/>
    <col min="11" max="11" width="14.85546875" style="75" bestFit="1" customWidth="1"/>
    <col min="12" max="12" width="9.140625" style="75"/>
    <col min="13" max="13" width="23.42578125" style="75" customWidth="1"/>
    <col min="14" max="16384" width="9.140625" style="75"/>
  </cols>
  <sheetData>
    <row r="2" spans="2:14" s="1" customFormat="1" ht="20.25">
      <c r="B2" s="183" t="s">
        <v>15</v>
      </c>
      <c r="C2" s="183"/>
      <c r="D2" s="183"/>
      <c r="E2" s="183"/>
      <c r="F2" s="183"/>
      <c r="G2" s="183"/>
      <c r="H2" s="183"/>
    </row>
    <row r="3" spans="2:14" s="1" customFormat="1" ht="21" thickBot="1">
      <c r="B3" s="184">
        <v>42155</v>
      </c>
      <c r="C3" s="184"/>
      <c r="D3" s="184"/>
      <c r="E3" s="184"/>
      <c r="F3" s="184"/>
      <c r="G3" s="184"/>
      <c r="H3" s="184"/>
      <c r="I3" s="184"/>
      <c r="J3" s="184"/>
      <c r="K3" s="184"/>
      <c r="L3" s="184"/>
      <c r="M3" s="184"/>
      <c r="N3" s="184"/>
    </row>
    <row r="4" spans="2:14" s="1" customFormat="1" ht="18" thickTop="1"/>
    <row r="5" spans="2:14" s="1" customFormat="1" ht="17.25">
      <c r="B5" s="17"/>
      <c r="C5" s="17"/>
      <c r="D5" s="17"/>
      <c r="E5" s="17"/>
      <c r="F5" s="17"/>
      <c r="G5" s="17"/>
      <c r="H5" s="17"/>
    </row>
    <row r="6" spans="2:14" s="1" customFormat="1" ht="17.25">
      <c r="B6" s="18" t="s">
        <v>20</v>
      </c>
      <c r="C6" s="68">
        <f>B3</f>
        <v>42155</v>
      </c>
      <c r="D6" s="17"/>
      <c r="E6" s="17"/>
      <c r="F6" s="17"/>
      <c r="G6" s="17"/>
      <c r="H6" s="17"/>
    </row>
    <row r="7" spans="2:14" s="1" customFormat="1" ht="18" thickBot="1">
      <c r="B7" s="21"/>
      <c r="C7" s="21"/>
      <c r="D7" s="21"/>
      <c r="E7" s="21"/>
      <c r="F7" s="21"/>
      <c r="G7" s="21"/>
      <c r="H7" s="21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3" t="s">
        <v>44</v>
      </c>
      <c r="C10" s="14"/>
      <c r="D10" s="14"/>
      <c r="E10" s="14"/>
      <c r="F10" s="14"/>
      <c r="G10" s="14"/>
      <c r="H10" s="15" t="s">
        <v>13</v>
      </c>
    </row>
    <row r="11" spans="2:14" s="46" customFormat="1" ht="15.75" thickBot="1">
      <c r="B11" s="179" t="s">
        <v>18</v>
      </c>
      <c r="C11" s="179"/>
      <c r="D11" s="180"/>
      <c r="E11" s="73">
        <v>42124</v>
      </c>
      <c r="F11" s="73">
        <f>EDATE(E11,1)</f>
        <v>42154</v>
      </c>
      <c r="G11" s="45" t="s">
        <v>10</v>
      </c>
      <c r="H11" s="45" t="s">
        <v>11</v>
      </c>
      <c r="J11" s="77"/>
    </row>
    <row r="12" spans="2:14" s="76" customFormat="1" ht="17.25">
      <c r="B12" s="181" t="s">
        <v>0</v>
      </c>
      <c r="C12" s="181"/>
      <c r="D12" s="182"/>
      <c r="E12" s="78">
        <f>Апрель2015!F12</f>
        <v>1184558</v>
      </c>
      <c r="F12" s="84">
        <v>1193334</v>
      </c>
      <c r="G12" s="11">
        <f>F12-E12</f>
        <v>8776</v>
      </c>
      <c r="H12" s="59">
        <f t="shared" ref="H12:H18" si="0">F12/E12-1</f>
        <v>7.4086705758602545E-3</v>
      </c>
      <c r="I12" s="85"/>
      <c r="J12" s="86"/>
    </row>
    <row r="13" spans="2:14" s="76" customFormat="1" ht="17.25">
      <c r="B13" s="177" t="s">
        <v>1</v>
      </c>
      <c r="C13" s="177"/>
      <c r="D13" s="178"/>
      <c r="E13" s="78">
        <f>Апрель2015!F13</f>
        <v>35683</v>
      </c>
      <c r="F13" s="84">
        <v>35680</v>
      </c>
      <c r="G13" s="11">
        <f t="shared" ref="G13:G18" si="1">F13-E13</f>
        <v>-3</v>
      </c>
      <c r="H13" s="59">
        <f t="shared" si="0"/>
        <v>-8.4073648516147514E-5</v>
      </c>
      <c r="I13" s="85"/>
      <c r="J13" s="86"/>
    </row>
    <row r="14" spans="2:14" s="76" customFormat="1" ht="17.25">
      <c r="B14" s="177" t="s">
        <v>2</v>
      </c>
      <c r="C14" s="177"/>
      <c r="D14" s="178"/>
      <c r="E14" s="78">
        <f>Апрель2015!F14</f>
        <v>13593</v>
      </c>
      <c r="F14" s="84">
        <v>13121</v>
      </c>
      <c r="G14" s="11">
        <f t="shared" si="1"/>
        <v>-472</v>
      </c>
      <c r="H14" s="59">
        <f t="shared" si="0"/>
        <v>-3.4723754873832169E-2</v>
      </c>
      <c r="I14" s="85"/>
      <c r="J14" s="86"/>
    </row>
    <row r="15" spans="2:14" s="76" customFormat="1" ht="17.25">
      <c r="B15" s="162" t="s">
        <v>23</v>
      </c>
      <c r="C15" s="162"/>
      <c r="D15" s="163"/>
      <c r="E15" s="78">
        <f>Апрель2015!F15</f>
        <v>3526</v>
      </c>
      <c r="F15" s="84">
        <v>3602</v>
      </c>
      <c r="G15" s="11">
        <f t="shared" si="1"/>
        <v>76</v>
      </c>
      <c r="H15" s="59">
        <f t="shared" si="0"/>
        <v>2.1554169030062464E-2</v>
      </c>
      <c r="I15" s="85"/>
      <c r="J15" s="86"/>
    </row>
    <row r="16" spans="2:14" s="76" customFormat="1" ht="17.25">
      <c r="B16" s="164" t="s">
        <v>24</v>
      </c>
      <c r="C16" s="164"/>
      <c r="D16" s="165"/>
      <c r="E16" s="78">
        <f>Апрель2015!F16</f>
        <v>10067</v>
      </c>
      <c r="F16" s="84">
        <v>9519</v>
      </c>
      <c r="G16" s="11">
        <f t="shared" si="1"/>
        <v>-548</v>
      </c>
      <c r="H16" s="59">
        <f t="shared" si="0"/>
        <v>-5.4435283599880813E-2</v>
      </c>
      <c r="I16" s="85"/>
      <c r="J16" s="86"/>
    </row>
    <row r="17" spans="2:10" s="76" customFormat="1" ht="18" customHeight="1" thickBot="1">
      <c r="B17" s="175" t="s">
        <v>3</v>
      </c>
      <c r="C17" s="175"/>
      <c r="D17" s="176"/>
      <c r="E17" s="78">
        <f>Апрель2015!F17</f>
        <v>13853</v>
      </c>
      <c r="F17" s="84">
        <v>14247</v>
      </c>
      <c r="G17" s="11">
        <f t="shared" si="1"/>
        <v>394</v>
      </c>
      <c r="H17" s="59">
        <f t="shared" si="0"/>
        <v>2.844149281744035E-2</v>
      </c>
      <c r="I17" s="85"/>
      <c r="J17" s="86"/>
    </row>
    <row r="18" spans="2:10" s="70" customFormat="1" ht="18" thickBot="1">
      <c r="B18" s="60" t="s">
        <v>4</v>
      </c>
      <c r="C18" s="60"/>
      <c r="D18" s="61"/>
      <c r="E18" s="72">
        <f>Апрель2015!F18</f>
        <v>1247687</v>
      </c>
      <c r="F18" s="72">
        <v>1256382</v>
      </c>
      <c r="G18" s="72">
        <f t="shared" si="1"/>
        <v>8695</v>
      </c>
      <c r="H18" s="69">
        <f t="shared" si="0"/>
        <v>6.9688952437589879E-3</v>
      </c>
      <c r="I18" s="85"/>
      <c r="J18" s="86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3" t="s">
        <v>45</v>
      </c>
      <c r="C21" s="14"/>
      <c r="D21" s="14"/>
      <c r="E21" s="14"/>
      <c r="F21" s="14"/>
      <c r="G21" s="14"/>
      <c r="H21" s="15" t="s">
        <v>12</v>
      </c>
    </row>
    <row r="22" spans="2:10" s="76" customFormat="1" ht="15.75" thickBot="1">
      <c r="B22" s="179" t="s">
        <v>18</v>
      </c>
      <c r="C22" s="179"/>
      <c r="D22" s="180"/>
      <c r="E22" s="73">
        <f>E11</f>
        <v>42124</v>
      </c>
      <c r="F22" s="73">
        <f>F11</f>
        <v>42154</v>
      </c>
      <c r="G22" s="45" t="s">
        <v>10</v>
      </c>
      <c r="H22" s="45" t="s">
        <v>11</v>
      </c>
      <c r="J22" s="77"/>
    </row>
    <row r="23" spans="2:10" s="76" customFormat="1" ht="17.25">
      <c r="B23" s="181" t="s">
        <v>0</v>
      </c>
      <c r="C23" s="181"/>
      <c r="D23" s="182"/>
      <c r="E23" s="78">
        <f>Апрель2015!F23</f>
        <v>971876</v>
      </c>
      <c r="F23" s="84">
        <v>975467</v>
      </c>
      <c r="G23" s="11">
        <f>F23-E23</f>
        <v>3591</v>
      </c>
      <c r="H23" s="59">
        <f>F23/E23-1</f>
        <v>3.6949158123051884E-3</v>
      </c>
      <c r="I23" s="86"/>
    </row>
    <row r="24" spans="2:10" s="76" customFormat="1" ht="17.25">
      <c r="B24" s="177" t="s">
        <v>1</v>
      </c>
      <c r="C24" s="177"/>
      <c r="D24" s="178"/>
      <c r="E24" s="78">
        <f>Апрель2015!F24</f>
        <v>20753</v>
      </c>
      <c r="F24" s="84">
        <v>20771</v>
      </c>
      <c r="G24" s="11">
        <f t="shared" ref="G24:G29" si="2">F24-E24</f>
        <v>18</v>
      </c>
      <c r="H24" s="59">
        <f t="shared" ref="H24:H29" si="3">F24/E24-1</f>
        <v>8.6734448031600131E-4</v>
      </c>
      <c r="I24" s="86"/>
    </row>
    <row r="25" spans="2:10" s="76" customFormat="1" ht="17.25">
      <c r="B25" s="177" t="s">
        <v>2</v>
      </c>
      <c r="C25" s="177"/>
      <c r="D25" s="178"/>
      <c r="E25" s="78">
        <f>Апрель2015!F25</f>
        <v>8355</v>
      </c>
      <c r="F25" s="84">
        <v>8400</v>
      </c>
      <c r="G25" s="11">
        <f t="shared" si="2"/>
        <v>45</v>
      </c>
      <c r="H25" s="59">
        <f t="shared" si="3"/>
        <v>5.3859964093356805E-3</v>
      </c>
      <c r="I25" s="86"/>
    </row>
    <row r="26" spans="2:10" s="76" customFormat="1" ht="17.25">
      <c r="B26" s="162" t="s">
        <v>23</v>
      </c>
      <c r="C26" s="162"/>
      <c r="D26" s="163"/>
      <c r="E26" s="78">
        <f>Апрель2015!F26</f>
        <v>3435</v>
      </c>
      <c r="F26" s="84">
        <v>3500</v>
      </c>
      <c r="G26" s="11">
        <f t="shared" si="2"/>
        <v>65</v>
      </c>
      <c r="H26" s="59">
        <f t="shared" si="3"/>
        <v>1.8922852983988436E-2</v>
      </c>
      <c r="I26" s="86"/>
    </row>
    <row r="27" spans="2:10" s="76" customFormat="1" ht="17.25">
      <c r="B27" s="164" t="s">
        <v>24</v>
      </c>
      <c r="C27" s="164"/>
      <c r="D27" s="165"/>
      <c r="E27" s="78">
        <f>Апрель2015!F27</f>
        <v>4920</v>
      </c>
      <c r="F27" s="84">
        <v>4900</v>
      </c>
      <c r="G27" s="11">
        <f t="shared" si="2"/>
        <v>-20</v>
      </c>
      <c r="H27" s="59">
        <f t="shared" si="3"/>
        <v>-4.0650406504064707E-3</v>
      </c>
      <c r="I27" s="86"/>
    </row>
    <row r="28" spans="2:10" s="76" customFormat="1" ht="18" thickBot="1">
      <c r="B28" s="175" t="s">
        <v>3</v>
      </c>
      <c r="C28" s="175"/>
      <c r="D28" s="176"/>
      <c r="E28" s="78">
        <f>Апрель2015!F28</f>
        <v>4971</v>
      </c>
      <c r="F28" s="84">
        <v>4915</v>
      </c>
      <c r="G28" s="11">
        <f t="shared" si="2"/>
        <v>-56</v>
      </c>
      <c r="H28" s="59">
        <f t="shared" si="3"/>
        <v>-1.1265338966002791E-2</v>
      </c>
      <c r="I28" s="86"/>
    </row>
    <row r="29" spans="2:10" s="70" customFormat="1" ht="18" thickBot="1">
      <c r="B29" s="60" t="s">
        <v>4</v>
      </c>
      <c r="C29" s="60"/>
      <c r="D29" s="61"/>
      <c r="E29" s="72">
        <f>Апрель2015!F29</f>
        <v>1005955</v>
      </c>
      <c r="F29" s="72">
        <v>1009553</v>
      </c>
      <c r="G29" s="72">
        <f t="shared" si="2"/>
        <v>3598</v>
      </c>
      <c r="H29" s="69">
        <f t="shared" si="3"/>
        <v>3.5767007470512979E-3</v>
      </c>
      <c r="I29" s="86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3" t="s">
        <v>16</v>
      </c>
      <c r="C32" s="14"/>
      <c r="D32" s="14"/>
      <c r="E32" s="14"/>
      <c r="F32" s="14"/>
      <c r="G32" s="14"/>
      <c r="H32" s="15" t="s">
        <v>14</v>
      </c>
    </row>
    <row r="33" spans="2:9" ht="15.75" thickBot="1">
      <c r="B33" s="145" t="s">
        <v>18</v>
      </c>
      <c r="C33" s="145"/>
      <c r="D33" s="146"/>
      <c r="E33" s="73">
        <f>E11</f>
        <v>42124</v>
      </c>
      <c r="F33" s="73">
        <f>F11</f>
        <v>42154</v>
      </c>
      <c r="G33" s="16" t="s">
        <v>10</v>
      </c>
      <c r="H33" s="16" t="s">
        <v>11</v>
      </c>
    </row>
    <row r="34" spans="2:9" ht="17.25">
      <c r="B34" s="160" t="s">
        <v>0</v>
      </c>
      <c r="C34" s="160"/>
      <c r="D34" s="161"/>
      <c r="E34" s="78">
        <f>Апрель2015!F34</f>
        <v>72144</v>
      </c>
      <c r="F34" s="78">
        <v>63813</v>
      </c>
      <c r="G34" s="11">
        <f t="shared" ref="G34:G40" si="4">F34-E34</f>
        <v>-8331</v>
      </c>
      <c r="H34" s="59">
        <f t="shared" ref="H34:H40" si="5">F34/E34-1</f>
        <v>-0.11547737857618101</v>
      </c>
      <c r="I34" s="58"/>
    </row>
    <row r="35" spans="2:9" ht="17.25">
      <c r="B35" s="136" t="s">
        <v>1</v>
      </c>
      <c r="C35" s="136"/>
      <c r="D35" s="137"/>
      <c r="E35" s="78">
        <f>Апрель2015!F35</f>
        <v>1177</v>
      </c>
      <c r="F35" s="78">
        <v>1008</v>
      </c>
      <c r="G35" s="11">
        <f t="shared" si="4"/>
        <v>-169</v>
      </c>
      <c r="H35" s="59">
        <f t="shared" si="5"/>
        <v>-0.14358538657604081</v>
      </c>
      <c r="I35" s="58"/>
    </row>
    <row r="36" spans="2:9" ht="17.25">
      <c r="B36" s="136" t="s">
        <v>2</v>
      </c>
      <c r="C36" s="136"/>
      <c r="D36" s="137"/>
      <c r="E36" s="78">
        <f>Апрель2015!F36</f>
        <v>613</v>
      </c>
      <c r="F36" s="78">
        <v>537</v>
      </c>
      <c r="G36" s="11">
        <f t="shared" si="4"/>
        <v>-76</v>
      </c>
      <c r="H36" s="59">
        <f t="shared" si="5"/>
        <v>-0.12398042414355626</v>
      </c>
      <c r="I36" s="58"/>
    </row>
    <row r="37" spans="2:9" ht="17.25">
      <c r="B37" s="162" t="s">
        <v>23</v>
      </c>
      <c r="C37" s="162"/>
      <c r="D37" s="163"/>
      <c r="E37" s="78">
        <f>Апрель2015!F37</f>
        <v>245</v>
      </c>
      <c r="F37" s="78">
        <v>225</v>
      </c>
      <c r="G37" s="11">
        <f t="shared" si="4"/>
        <v>-20</v>
      </c>
      <c r="H37" s="59">
        <f t="shared" si="5"/>
        <v>-8.1632653061224469E-2</v>
      </c>
      <c r="I37" s="58"/>
    </row>
    <row r="38" spans="2:9" ht="17.25">
      <c r="B38" s="164" t="s">
        <v>24</v>
      </c>
      <c r="C38" s="164"/>
      <c r="D38" s="165"/>
      <c r="E38" s="78">
        <f>Апрель2015!F38</f>
        <v>368</v>
      </c>
      <c r="F38" s="78">
        <v>312</v>
      </c>
      <c r="G38" s="11">
        <f t="shared" si="4"/>
        <v>-56</v>
      </c>
      <c r="H38" s="59">
        <f t="shared" si="5"/>
        <v>-0.15217391304347827</v>
      </c>
      <c r="I38" s="58"/>
    </row>
    <row r="39" spans="2:9" ht="18" thickBot="1">
      <c r="B39" s="166" t="s">
        <v>3</v>
      </c>
      <c r="C39" s="166"/>
      <c r="D39" s="167"/>
      <c r="E39" s="78">
        <f>Апрель2015!F39</f>
        <v>582</v>
      </c>
      <c r="F39" s="78">
        <v>477</v>
      </c>
      <c r="G39" s="11">
        <f t="shared" si="4"/>
        <v>-105</v>
      </c>
      <c r="H39" s="59">
        <f t="shared" si="5"/>
        <v>-0.18041237113402064</v>
      </c>
      <c r="I39" s="58"/>
    </row>
    <row r="40" spans="2:9" s="70" customFormat="1" ht="18" thickBot="1">
      <c r="B40" s="60" t="s">
        <v>4</v>
      </c>
      <c r="C40" s="60"/>
      <c r="D40" s="61"/>
      <c r="E40" s="72">
        <v>81527</v>
      </c>
      <c r="F40" s="72">
        <v>65835</v>
      </c>
      <c r="G40" s="72">
        <f t="shared" si="4"/>
        <v>-15692</v>
      </c>
      <c r="H40" s="69">
        <f t="shared" si="5"/>
        <v>-0.19247611220822547</v>
      </c>
      <c r="I40" s="58"/>
    </row>
    <row r="41" spans="2:9" ht="15">
      <c r="B41" s="6"/>
      <c r="C41" s="6"/>
      <c r="D41" s="6"/>
      <c r="E41" s="42"/>
      <c r="F41" s="42"/>
      <c r="G41" s="43"/>
      <c r="H41" s="44"/>
    </row>
    <row r="42" spans="2:9" ht="15">
      <c r="B42" s="10"/>
      <c r="C42" s="2"/>
      <c r="D42" s="2"/>
      <c r="E42" s="2"/>
      <c r="F42" s="2"/>
      <c r="G42" s="2"/>
    </row>
    <row r="43" spans="2:9" ht="17.25">
      <c r="B43" s="19"/>
      <c r="C43" s="19"/>
      <c r="D43" s="19"/>
      <c r="E43" s="19"/>
      <c r="F43" s="19"/>
      <c r="G43" s="19"/>
      <c r="H43" s="19"/>
    </row>
    <row r="44" spans="2:9" ht="17.25">
      <c r="B44" s="20" t="s">
        <v>17</v>
      </c>
      <c r="C44" s="19"/>
      <c r="D44" s="19"/>
      <c r="E44" s="19"/>
      <c r="F44" s="19"/>
      <c r="G44" s="19"/>
      <c r="H44" s="19"/>
    </row>
    <row r="45" spans="2:9" ht="18" thickBot="1">
      <c r="B45" s="22"/>
      <c r="C45" s="22"/>
      <c r="D45" s="22"/>
      <c r="E45" s="22"/>
      <c r="F45" s="22"/>
      <c r="G45" s="22"/>
      <c r="H45" s="22"/>
    </row>
    <row r="47" spans="2:9">
      <c r="F47" s="5"/>
    </row>
    <row r="48" spans="2:9" ht="18" thickBot="1">
      <c r="B48" s="12" t="s">
        <v>46</v>
      </c>
      <c r="C48" s="23"/>
      <c r="D48" s="23"/>
      <c r="E48" s="23"/>
      <c r="F48" s="23"/>
      <c r="G48" s="23"/>
      <c r="H48" s="168" t="s">
        <v>13</v>
      </c>
      <c r="I48" s="168"/>
    </row>
    <row r="49" spans="2:9" ht="15.75" thickBot="1">
      <c r="B49" s="145" t="s">
        <v>18</v>
      </c>
      <c r="C49" s="145"/>
      <c r="D49" s="146"/>
      <c r="E49" s="73">
        <v>40543</v>
      </c>
      <c r="F49" s="73">
        <v>40908</v>
      </c>
      <c r="G49" s="73">
        <v>41274</v>
      </c>
      <c r="H49" s="73">
        <v>41639</v>
      </c>
      <c r="I49" s="73">
        <v>42004</v>
      </c>
    </row>
    <row r="50" spans="2:9" ht="17.25">
      <c r="B50" s="169" t="s">
        <v>0</v>
      </c>
      <c r="C50" s="169"/>
      <c r="D50" s="170"/>
      <c r="E50" s="80">
        <v>714295</v>
      </c>
      <c r="F50" s="80">
        <v>772175</v>
      </c>
      <c r="G50" s="80">
        <v>805549</v>
      </c>
      <c r="H50" s="80">
        <v>881844</v>
      </c>
      <c r="I50" s="80">
        <v>944559</v>
      </c>
    </row>
    <row r="51" spans="2:9" ht="17.25">
      <c r="B51" s="171" t="s">
        <v>1</v>
      </c>
      <c r="C51" s="171"/>
      <c r="D51" s="172"/>
      <c r="E51" s="81">
        <v>17170</v>
      </c>
      <c r="F51" s="81">
        <v>16850</v>
      </c>
      <c r="G51" s="81">
        <v>17821</v>
      </c>
      <c r="H51" s="81">
        <v>19539</v>
      </c>
      <c r="I51" s="81">
        <v>20178</v>
      </c>
    </row>
    <row r="52" spans="2:9" ht="17.25">
      <c r="B52" s="173" t="s">
        <v>2</v>
      </c>
      <c r="C52" s="173"/>
      <c r="D52" s="174"/>
      <c r="E52" s="83">
        <v>4295</v>
      </c>
      <c r="F52" s="83">
        <v>5058</v>
      </c>
      <c r="G52" s="83">
        <v>5876</v>
      </c>
      <c r="H52" s="83">
        <v>6957</v>
      </c>
      <c r="I52" s="83">
        <v>7486</v>
      </c>
    </row>
    <row r="53" spans="2:9" ht="18" thickBot="1">
      <c r="B53" s="158" t="s">
        <v>3</v>
      </c>
      <c r="C53" s="158"/>
      <c r="D53" s="159"/>
      <c r="E53" s="79">
        <v>5348</v>
      </c>
      <c r="F53" s="79">
        <v>5242</v>
      </c>
      <c r="G53" s="79">
        <v>5261</v>
      </c>
      <c r="H53" s="79">
        <v>5182</v>
      </c>
      <c r="I53" s="79">
        <v>5142</v>
      </c>
    </row>
    <row r="54" spans="2:9" s="71" customFormat="1" ht="18" thickBot="1">
      <c r="B54" s="147" t="s">
        <v>4</v>
      </c>
      <c r="C54" s="147"/>
      <c r="D54" s="148"/>
      <c r="E54" s="82">
        <v>741108</v>
      </c>
      <c r="F54" s="82">
        <v>799325</v>
      </c>
      <c r="G54" s="82">
        <v>834507</v>
      </c>
      <c r="H54" s="82">
        <v>913522</v>
      </c>
      <c r="I54" s="82">
        <v>977365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2" t="s">
        <v>47</v>
      </c>
      <c r="C82" s="23"/>
      <c r="D82" s="23"/>
      <c r="E82" s="23"/>
      <c r="F82" s="23"/>
      <c r="G82" s="23"/>
      <c r="H82" s="24" t="s">
        <v>12</v>
      </c>
      <c r="I82"/>
      <c r="J82"/>
      <c r="K82"/>
    </row>
    <row r="83" spans="2:11" ht="15.75" thickBot="1">
      <c r="B83" s="32" t="s">
        <v>18</v>
      </c>
      <c r="C83" s="73">
        <f>EDATE(D83,-1)</f>
        <v>42001</v>
      </c>
      <c r="D83" s="73">
        <f>EDATE(E83,-1)</f>
        <v>42032</v>
      </c>
      <c r="E83" s="73">
        <f>EDATE(F83,-1)</f>
        <v>42063</v>
      </c>
      <c r="F83" s="73">
        <f>EDATE(G83,-1)</f>
        <v>42093</v>
      </c>
      <c r="G83" s="73">
        <f>EDATE(H83,-1)</f>
        <v>42124</v>
      </c>
      <c r="H83" s="73">
        <f>EDATE(E11,1)</f>
        <v>42154</v>
      </c>
      <c r="I83"/>
      <c r="J83"/>
    </row>
    <row r="84" spans="2:11" ht="16.5" customHeight="1">
      <c r="B84" s="25" t="s">
        <v>0</v>
      </c>
      <c r="C84" s="80">
        <v>945143</v>
      </c>
      <c r="D84" s="80">
        <v>950502</v>
      </c>
      <c r="E84" s="80">
        <v>964598</v>
      </c>
      <c r="F84" s="80">
        <v>965577</v>
      </c>
      <c r="G84" s="80">
        <v>971876</v>
      </c>
      <c r="H84" s="80">
        <v>975467</v>
      </c>
    </row>
    <row r="85" spans="2:11" ht="16.5" customHeight="1">
      <c r="B85" s="26" t="s">
        <v>1</v>
      </c>
      <c r="C85" s="81">
        <v>20178</v>
      </c>
      <c r="D85" s="81">
        <v>20249</v>
      </c>
      <c r="E85" s="81">
        <v>20398</v>
      </c>
      <c r="F85" s="81">
        <v>20587</v>
      </c>
      <c r="G85" s="81">
        <v>20753</v>
      </c>
      <c r="H85" s="81">
        <v>20771</v>
      </c>
    </row>
    <row r="86" spans="2:11" ht="16.5" customHeight="1">
      <c r="B86" s="27" t="s">
        <v>2</v>
      </c>
      <c r="C86" s="83">
        <v>7486</v>
      </c>
      <c r="D86" s="83">
        <v>7537</v>
      </c>
      <c r="E86" s="83">
        <v>7683</v>
      </c>
      <c r="F86" s="83">
        <v>8231</v>
      </c>
      <c r="G86" s="83">
        <v>8355</v>
      </c>
      <c r="H86" s="83">
        <v>8400</v>
      </c>
    </row>
    <row r="87" spans="2:11" ht="16.5" customHeight="1" thickBot="1">
      <c r="B87" s="28" t="s">
        <v>3</v>
      </c>
      <c r="C87" s="79">
        <v>5142</v>
      </c>
      <c r="D87" s="79">
        <v>5091</v>
      </c>
      <c r="E87" s="79">
        <v>5023</v>
      </c>
      <c r="F87" s="79">
        <v>5043</v>
      </c>
      <c r="G87" s="79">
        <v>4971</v>
      </c>
      <c r="H87" s="79">
        <v>4915</v>
      </c>
    </row>
    <row r="88" spans="2:11" s="71" customFormat="1" ht="18" thickBot="1">
      <c r="B88" s="106" t="s">
        <v>4</v>
      </c>
      <c r="C88" s="82">
        <v>977949</v>
      </c>
      <c r="D88" s="82">
        <v>983379</v>
      </c>
      <c r="E88" s="82">
        <v>997702</v>
      </c>
      <c r="F88" s="82">
        <v>999438</v>
      </c>
      <c r="G88" s="82">
        <v>1005955</v>
      </c>
      <c r="H88" s="82">
        <v>1009553</v>
      </c>
      <c r="I88" s="58"/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29"/>
      <c r="C123" s="29"/>
      <c r="D123" s="29"/>
      <c r="E123" s="29"/>
      <c r="F123" s="29"/>
      <c r="G123" s="29"/>
      <c r="H123" s="29"/>
    </row>
    <row r="124" spans="2:8" ht="17.25">
      <c r="B124" s="30" t="s">
        <v>25</v>
      </c>
      <c r="C124" s="92">
        <f>B3</f>
        <v>42155</v>
      </c>
      <c r="D124" s="29"/>
      <c r="E124" s="29"/>
      <c r="F124" s="29"/>
      <c r="G124" s="29"/>
      <c r="H124" s="29"/>
    </row>
    <row r="125" spans="2:8" ht="18" thickBot="1">
      <c r="B125" s="31"/>
      <c r="C125" s="31"/>
      <c r="D125" s="31"/>
      <c r="E125" s="31"/>
      <c r="F125" s="31"/>
      <c r="G125" s="31"/>
      <c r="H125" s="31"/>
    </row>
    <row r="127" spans="2:8" ht="18" thickBot="1">
      <c r="B127" s="62"/>
      <c r="C127" s="74"/>
      <c r="D127" s="36"/>
      <c r="E127" s="36"/>
      <c r="F127" s="36"/>
      <c r="G127" s="36"/>
      <c r="H127" s="37" t="s">
        <v>13</v>
      </c>
    </row>
    <row r="128" spans="2:8" ht="30.75" customHeight="1" thickBot="1">
      <c r="B128" s="146" t="s">
        <v>26</v>
      </c>
      <c r="C128" s="149"/>
      <c r="D128" s="149"/>
      <c r="E128" s="149"/>
      <c r="F128" s="149"/>
      <c r="G128" s="150" t="s">
        <v>5</v>
      </c>
      <c r="H128" s="151"/>
    </row>
    <row r="129" spans="2:10" ht="18" customHeight="1" thickBot="1">
      <c r="B129" s="133" t="s">
        <v>22</v>
      </c>
      <c r="C129" s="152"/>
      <c r="D129" s="152"/>
      <c r="E129" s="152"/>
      <c r="F129" s="152"/>
      <c r="G129" s="153">
        <v>406</v>
      </c>
      <c r="H129" s="154"/>
    </row>
    <row r="132" spans="2:10" ht="17.25">
      <c r="B132" s="33"/>
      <c r="C132" s="33"/>
      <c r="D132" s="33"/>
      <c r="E132" s="33"/>
      <c r="F132" s="33"/>
      <c r="G132" s="33"/>
      <c r="H132" s="33"/>
    </row>
    <row r="133" spans="2:10" ht="17.25">
      <c r="B133" s="34" t="s">
        <v>21</v>
      </c>
      <c r="C133" s="33"/>
      <c r="D133" s="33"/>
      <c r="E133" s="34"/>
      <c r="F133" s="97">
        <f>C6</f>
        <v>42155</v>
      </c>
      <c r="G133" s="33"/>
      <c r="H133" s="33"/>
    </row>
    <row r="134" spans="2:10" ht="18" thickBot="1">
      <c r="B134" s="35"/>
      <c r="C134" s="35"/>
      <c r="D134" s="35"/>
      <c r="E134" s="35"/>
      <c r="F134" s="35"/>
      <c r="G134" s="35"/>
      <c r="H134" s="35"/>
    </row>
    <row r="136" spans="2:10" ht="17.25">
      <c r="B136" s="87" t="s">
        <v>27</v>
      </c>
      <c r="C136" s="38"/>
      <c r="D136" s="38"/>
      <c r="E136" s="38"/>
      <c r="F136" s="38"/>
      <c r="G136" s="38"/>
      <c r="H136" s="39" t="s">
        <v>13</v>
      </c>
    </row>
    <row r="137" spans="2:10" ht="18" thickBot="1">
      <c r="B137" s="88" t="s">
        <v>28</v>
      </c>
      <c r="C137" s="38"/>
      <c r="D137" s="38"/>
      <c r="E137" s="38"/>
      <c r="F137" s="38"/>
      <c r="G137" s="38"/>
      <c r="H137" s="39"/>
    </row>
    <row r="138" spans="2:10" ht="15.75" customHeight="1" thickBot="1">
      <c r="B138" s="155" t="s">
        <v>19</v>
      </c>
      <c r="C138" s="155"/>
      <c r="D138" s="155"/>
      <c r="E138" s="155"/>
      <c r="F138" s="156"/>
      <c r="G138" s="157" t="s">
        <v>6</v>
      </c>
      <c r="H138" s="144"/>
      <c r="I138"/>
    </row>
    <row r="139" spans="2:10" ht="17.25" customHeight="1">
      <c r="B139" s="140" t="s">
        <v>52</v>
      </c>
      <c r="C139" s="140" t="s">
        <v>52</v>
      </c>
      <c r="D139" s="140" t="s">
        <v>52</v>
      </c>
      <c r="E139" s="140" t="s">
        <v>52</v>
      </c>
      <c r="F139" s="141" t="s">
        <v>52</v>
      </c>
      <c r="G139" s="142">
        <v>219733</v>
      </c>
      <c r="H139" s="143">
        <v>219733</v>
      </c>
      <c r="I139" s="47"/>
      <c r="J139" s="50"/>
    </row>
    <row r="140" spans="2:10" ht="13.5" customHeight="1">
      <c r="B140" s="136" t="s">
        <v>32</v>
      </c>
      <c r="C140" s="136" t="s">
        <v>32</v>
      </c>
      <c r="D140" s="136" t="s">
        <v>32</v>
      </c>
      <c r="E140" s="136" t="s">
        <v>32</v>
      </c>
      <c r="F140" s="137" t="s">
        <v>32</v>
      </c>
      <c r="G140" s="138">
        <v>182443</v>
      </c>
      <c r="H140" s="139">
        <v>182443</v>
      </c>
      <c r="I140" s="47"/>
      <c r="J140" s="50"/>
    </row>
    <row r="141" spans="2:10" ht="17.25" customHeight="1">
      <c r="B141" s="136" t="s">
        <v>53</v>
      </c>
      <c r="C141" s="136" t="s">
        <v>53</v>
      </c>
      <c r="D141" s="136" t="s">
        <v>53</v>
      </c>
      <c r="E141" s="136" t="s">
        <v>53</v>
      </c>
      <c r="F141" s="137" t="s">
        <v>53</v>
      </c>
      <c r="G141" s="138">
        <v>129754</v>
      </c>
      <c r="H141" s="139">
        <v>129754</v>
      </c>
      <c r="I141" s="47"/>
      <c r="J141" s="50"/>
    </row>
    <row r="142" spans="2:10" ht="17.25" customHeight="1">
      <c r="B142" s="136" t="s">
        <v>34</v>
      </c>
      <c r="C142" s="136" t="s">
        <v>34</v>
      </c>
      <c r="D142" s="136" t="s">
        <v>34</v>
      </c>
      <c r="E142" s="136" t="s">
        <v>34</v>
      </c>
      <c r="F142" s="137" t="s">
        <v>34</v>
      </c>
      <c r="G142" s="138">
        <v>128051</v>
      </c>
      <c r="H142" s="139">
        <v>128051</v>
      </c>
      <c r="I142" s="47"/>
      <c r="J142" s="50"/>
    </row>
    <row r="143" spans="2:10" ht="17.25" customHeight="1">
      <c r="B143" s="136" t="s">
        <v>54</v>
      </c>
      <c r="C143" s="136" t="s">
        <v>54</v>
      </c>
      <c r="D143" s="136" t="s">
        <v>54</v>
      </c>
      <c r="E143" s="136" t="s">
        <v>54</v>
      </c>
      <c r="F143" s="137" t="s">
        <v>54</v>
      </c>
      <c r="G143" s="138">
        <v>63213</v>
      </c>
      <c r="H143" s="139">
        <v>63213</v>
      </c>
      <c r="I143" s="47"/>
      <c r="J143" s="50"/>
    </row>
    <row r="144" spans="2:10" ht="13.5" customHeight="1">
      <c r="B144" s="136" t="s">
        <v>50</v>
      </c>
      <c r="C144" s="136" t="s">
        <v>50</v>
      </c>
      <c r="D144" s="136" t="s">
        <v>50</v>
      </c>
      <c r="E144" s="136" t="s">
        <v>50</v>
      </c>
      <c r="F144" s="137" t="s">
        <v>50</v>
      </c>
      <c r="G144" s="138">
        <v>59034</v>
      </c>
      <c r="H144" s="139">
        <v>59034</v>
      </c>
      <c r="I144" s="51"/>
      <c r="J144" s="50"/>
    </row>
    <row r="145" spans="2:13" ht="17.25" customHeight="1">
      <c r="B145" s="136" t="s">
        <v>36</v>
      </c>
      <c r="C145" s="136" t="s">
        <v>36</v>
      </c>
      <c r="D145" s="136" t="s">
        <v>36</v>
      </c>
      <c r="E145" s="136" t="s">
        <v>36</v>
      </c>
      <c r="F145" s="137" t="s">
        <v>36</v>
      </c>
      <c r="G145" s="138">
        <v>46714</v>
      </c>
      <c r="H145" s="139">
        <v>46714</v>
      </c>
      <c r="I145" s="47"/>
      <c r="J145" s="50"/>
    </row>
    <row r="146" spans="2:13" ht="17.25" customHeight="1">
      <c r="B146" s="136" t="s">
        <v>37</v>
      </c>
      <c r="C146" s="136" t="s">
        <v>37</v>
      </c>
      <c r="D146" s="136" t="s">
        <v>37</v>
      </c>
      <c r="E146" s="136" t="s">
        <v>37</v>
      </c>
      <c r="F146" s="137" t="s">
        <v>37</v>
      </c>
      <c r="G146" s="138">
        <v>31257</v>
      </c>
      <c r="H146" s="139">
        <v>31257</v>
      </c>
      <c r="I146" s="47"/>
      <c r="J146" s="50"/>
    </row>
    <row r="147" spans="2:13" ht="17.25" customHeight="1">
      <c r="B147" s="136" t="s">
        <v>38</v>
      </c>
      <c r="C147" s="136" t="s">
        <v>38</v>
      </c>
      <c r="D147" s="136" t="s">
        <v>38</v>
      </c>
      <c r="E147" s="136" t="s">
        <v>38</v>
      </c>
      <c r="F147" s="137" t="s">
        <v>38</v>
      </c>
      <c r="G147" s="138">
        <v>21808</v>
      </c>
      <c r="H147" s="139">
        <v>21808</v>
      </c>
      <c r="I147" s="47"/>
      <c r="J147" s="50"/>
      <c r="L147"/>
    </row>
    <row r="148" spans="2:13" ht="18" customHeight="1" thickBot="1">
      <c r="B148" s="132" t="s">
        <v>39</v>
      </c>
      <c r="C148" s="132" t="s">
        <v>39</v>
      </c>
      <c r="D148" s="132" t="s">
        <v>39</v>
      </c>
      <c r="E148" s="132" t="s">
        <v>39</v>
      </c>
      <c r="F148" s="133" t="s">
        <v>39</v>
      </c>
      <c r="G148" s="134">
        <v>19797</v>
      </c>
      <c r="H148" s="135">
        <v>19797</v>
      </c>
      <c r="I148" s="47"/>
      <c r="J148" s="50"/>
      <c r="L148"/>
    </row>
    <row r="149" spans="2:13" ht="17.25">
      <c r="G149" s="41"/>
      <c r="H149" s="41"/>
      <c r="I149" s="52"/>
      <c r="J149" s="52"/>
    </row>
    <row r="150" spans="2:13" ht="17.25">
      <c r="B150" s="40"/>
      <c r="C150" s="40"/>
      <c r="D150" s="40"/>
      <c r="E150" s="40"/>
      <c r="F150" s="40"/>
      <c r="G150" s="41"/>
      <c r="H150" s="41"/>
      <c r="I150" s="52"/>
      <c r="J150" s="52"/>
    </row>
    <row r="151" spans="2:13" ht="17.25">
      <c r="B151" s="87" t="s">
        <v>7</v>
      </c>
      <c r="C151" s="38"/>
      <c r="D151" s="38"/>
      <c r="E151" s="38"/>
      <c r="F151" s="38"/>
      <c r="G151" s="38"/>
      <c r="H151" s="39" t="s">
        <v>12</v>
      </c>
      <c r="I151" s="52"/>
      <c r="J151" s="52"/>
    </row>
    <row r="152" spans="2:13" ht="18" thickBot="1">
      <c r="B152" s="88" t="s">
        <v>29</v>
      </c>
      <c r="C152" s="38"/>
      <c r="D152" s="38"/>
      <c r="E152" s="38"/>
      <c r="F152" s="38"/>
      <c r="G152" s="38"/>
      <c r="H152" s="39"/>
      <c r="I152" s="52"/>
      <c r="J152" s="52"/>
    </row>
    <row r="153" spans="2:13" ht="15.75" thickBot="1">
      <c r="B153" s="145" t="s">
        <v>19</v>
      </c>
      <c r="C153" s="145"/>
      <c r="D153" s="145"/>
      <c r="E153" s="145"/>
      <c r="F153" s="146"/>
      <c r="G153" s="144" t="s">
        <v>6</v>
      </c>
      <c r="H153" s="144"/>
      <c r="I153" s="52"/>
      <c r="J153" s="52"/>
      <c r="K153"/>
      <c r="L153"/>
      <c r="M153"/>
    </row>
    <row r="154" spans="2:13" ht="17.25" customHeight="1">
      <c r="B154" s="140" t="s">
        <v>32</v>
      </c>
      <c r="C154" s="140" t="s">
        <v>32</v>
      </c>
      <c r="D154" s="140" t="s">
        <v>32</v>
      </c>
      <c r="E154" s="140" t="s">
        <v>32</v>
      </c>
      <c r="F154" s="141" t="s">
        <v>32</v>
      </c>
      <c r="G154" s="142">
        <v>11328</v>
      </c>
      <c r="H154" s="143">
        <v>11328</v>
      </c>
      <c r="I154" s="53"/>
      <c r="J154" s="50"/>
      <c r="K154" s="49"/>
      <c r="L154"/>
      <c r="M154"/>
    </row>
    <row r="155" spans="2:13" ht="17.25" customHeight="1">
      <c r="B155" s="136" t="s">
        <v>52</v>
      </c>
      <c r="C155" s="136" t="s">
        <v>52</v>
      </c>
      <c r="D155" s="136" t="s">
        <v>52</v>
      </c>
      <c r="E155" s="136" t="s">
        <v>52</v>
      </c>
      <c r="F155" s="137" t="s">
        <v>52</v>
      </c>
      <c r="G155" s="138">
        <v>10048</v>
      </c>
      <c r="H155" s="139">
        <v>10048</v>
      </c>
      <c r="I155" s="53"/>
      <c r="J155" s="50"/>
      <c r="K155" s="49"/>
      <c r="L155"/>
      <c r="M155"/>
    </row>
    <row r="156" spans="2:13" ht="17.25" customHeight="1">
      <c r="B156" s="136" t="s">
        <v>53</v>
      </c>
      <c r="C156" s="136" t="s">
        <v>53</v>
      </c>
      <c r="D156" s="136" t="s">
        <v>53</v>
      </c>
      <c r="E156" s="136" t="s">
        <v>53</v>
      </c>
      <c r="F156" s="137" t="s">
        <v>53</v>
      </c>
      <c r="G156" s="138">
        <v>9539</v>
      </c>
      <c r="H156" s="139">
        <v>9539</v>
      </c>
      <c r="I156" s="53"/>
      <c r="J156" s="50"/>
      <c r="K156" s="49"/>
      <c r="L156"/>
      <c r="M156"/>
    </row>
    <row r="157" spans="2:13" ht="17.25">
      <c r="B157" s="136" t="s">
        <v>34</v>
      </c>
      <c r="C157" s="136" t="s">
        <v>34</v>
      </c>
      <c r="D157" s="136" t="s">
        <v>34</v>
      </c>
      <c r="E157" s="136" t="s">
        <v>34</v>
      </c>
      <c r="F157" s="137" t="s">
        <v>34</v>
      </c>
      <c r="G157" s="138">
        <v>9189</v>
      </c>
      <c r="H157" s="139">
        <v>9189</v>
      </c>
      <c r="I157" s="53"/>
      <c r="J157" s="50"/>
      <c r="K157" s="49"/>
      <c r="L157"/>
      <c r="M157"/>
    </row>
    <row r="158" spans="2:13" ht="17.25" customHeight="1">
      <c r="B158" s="136" t="s">
        <v>50</v>
      </c>
      <c r="C158" s="136" t="s">
        <v>50</v>
      </c>
      <c r="D158" s="136" t="s">
        <v>50</v>
      </c>
      <c r="E158" s="136" t="s">
        <v>50</v>
      </c>
      <c r="F158" s="137" t="s">
        <v>50</v>
      </c>
      <c r="G158" s="138">
        <v>5512</v>
      </c>
      <c r="H158" s="139">
        <v>5512</v>
      </c>
      <c r="I158" s="53"/>
      <c r="J158" s="50"/>
      <c r="K158" s="49"/>
      <c r="L158"/>
      <c r="M158"/>
    </row>
    <row r="159" spans="2:13" ht="17.25" customHeight="1">
      <c r="B159" s="136" t="s">
        <v>54</v>
      </c>
      <c r="C159" s="136" t="s">
        <v>54</v>
      </c>
      <c r="D159" s="136" t="s">
        <v>54</v>
      </c>
      <c r="E159" s="136" t="s">
        <v>54</v>
      </c>
      <c r="F159" s="137" t="s">
        <v>54</v>
      </c>
      <c r="G159" s="138">
        <v>3805</v>
      </c>
      <c r="H159" s="139">
        <v>3805</v>
      </c>
      <c r="I159" s="54"/>
      <c r="J159" s="50"/>
      <c r="K159" s="49"/>
      <c r="L159"/>
      <c r="M159"/>
    </row>
    <row r="160" spans="2:13" ht="17.25" customHeight="1">
      <c r="B160" s="136" t="s">
        <v>36</v>
      </c>
      <c r="C160" s="136" t="s">
        <v>36</v>
      </c>
      <c r="D160" s="136" t="s">
        <v>36</v>
      </c>
      <c r="E160" s="136" t="s">
        <v>36</v>
      </c>
      <c r="F160" s="137" t="s">
        <v>36</v>
      </c>
      <c r="G160" s="138">
        <v>2687</v>
      </c>
      <c r="H160" s="139">
        <v>2687</v>
      </c>
      <c r="I160" s="53"/>
      <c r="J160" s="50"/>
      <c r="K160" s="49"/>
      <c r="L160"/>
      <c r="M160"/>
    </row>
    <row r="161" spans="2:13" ht="17.25" customHeight="1">
      <c r="B161" s="136" t="s">
        <v>55</v>
      </c>
      <c r="C161" s="136" t="s">
        <v>55</v>
      </c>
      <c r="D161" s="136" t="s">
        <v>55</v>
      </c>
      <c r="E161" s="136" t="s">
        <v>55</v>
      </c>
      <c r="F161" s="137" t="s">
        <v>55</v>
      </c>
      <c r="G161" s="138">
        <v>1920</v>
      </c>
      <c r="H161" s="139">
        <v>1920</v>
      </c>
      <c r="I161" s="53"/>
      <c r="J161" s="50"/>
      <c r="K161" s="49"/>
      <c r="L161"/>
      <c r="M161"/>
    </row>
    <row r="162" spans="2:13" ht="17.25" customHeight="1">
      <c r="B162" s="136" t="s">
        <v>38</v>
      </c>
      <c r="C162" s="136" t="s">
        <v>38</v>
      </c>
      <c r="D162" s="136" t="s">
        <v>38</v>
      </c>
      <c r="E162" s="136" t="s">
        <v>38</v>
      </c>
      <c r="F162" s="137" t="s">
        <v>38</v>
      </c>
      <c r="G162" s="138">
        <v>1280</v>
      </c>
      <c r="H162" s="139">
        <v>1280</v>
      </c>
      <c r="I162" s="53"/>
      <c r="J162" s="50"/>
      <c r="K162" s="49"/>
      <c r="L162"/>
      <c r="M162"/>
    </row>
    <row r="163" spans="2:13" ht="18" customHeight="1" thickBot="1">
      <c r="B163" s="132" t="s">
        <v>37</v>
      </c>
      <c r="C163" s="132" t="s">
        <v>37</v>
      </c>
      <c r="D163" s="132" t="s">
        <v>37</v>
      </c>
      <c r="E163" s="132" t="s">
        <v>37</v>
      </c>
      <c r="F163" s="133" t="s">
        <v>37</v>
      </c>
      <c r="G163" s="134">
        <v>1202</v>
      </c>
      <c r="H163" s="135">
        <v>1202</v>
      </c>
      <c r="I163" s="53"/>
      <c r="J163" s="50"/>
      <c r="K163" s="49"/>
      <c r="L163"/>
      <c r="M163"/>
    </row>
    <row r="164" spans="2:13" ht="17.25">
      <c r="B164" s="40"/>
      <c r="C164" s="40"/>
      <c r="D164" s="40"/>
      <c r="E164" s="40"/>
      <c r="F164" s="40"/>
      <c r="G164" s="93"/>
      <c r="H164" s="93"/>
      <c r="I164" s="52"/>
      <c r="J164" s="52"/>
      <c r="L164"/>
      <c r="M164"/>
    </row>
    <row r="165" spans="2:13" ht="17.25">
      <c r="G165" s="41"/>
      <c r="H165" s="41"/>
      <c r="I165" s="2"/>
      <c r="J165" s="2"/>
    </row>
    <row r="166" spans="2:13" ht="17.25">
      <c r="B166" s="87" t="s">
        <v>8</v>
      </c>
      <c r="C166" s="38"/>
      <c r="D166" s="38"/>
      <c r="E166" s="38"/>
      <c r="F166" s="38"/>
      <c r="G166" s="38"/>
      <c r="H166" s="39" t="s">
        <v>14</v>
      </c>
      <c r="I166" s="2"/>
      <c r="J166" s="52"/>
      <c r="K166"/>
    </row>
    <row r="167" spans="2:13" ht="18" thickBot="1">
      <c r="B167" s="88" t="s">
        <v>30</v>
      </c>
      <c r="C167" s="38"/>
      <c r="D167" s="38"/>
      <c r="E167" s="38"/>
      <c r="F167" s="38"/>
      <c r="G167" s="38"/>
      <c r="H167" s="39"/>
      <c r="I167" s="2"/>
      <c r="J167" s="52"/>
      <c r="K167"/>
    </row>
    <row r="168" spans="2:13" ht="15" customHeight="1" thickBot="1">
      <c r="B168" s="104" t="s">
        <v>19</v>
      </c>
      <c r="C168" s="104"/>
      <c r="D168" s="104"/>
      <c r="E168" s="104"/>
      <c r="F168" s="105"/>
      <c r="G168" s="144" t="s">
        <v>9</v>
      </c>
      <c r="H168" s="144"/>
      <c r="I168" s="2"/>
      <c r="J168" s="2"/>
    </row>
    <row r="169" spans="2:13" ht="17.25" customHeight="1">
      <c r="B169" s="140" t="s">
        <v>50</v>
      </c>
      <c r="C169" s="140" t="s">
        <v>50</v>
      </c>
      <c r="D169" s="140" t="s">
        <v>50</v>
      </c>
      <c r="E169" s="140" t="s">
        <v>50</v>
      </c>
      <c r="F169" s="141" t="s">
        <v>50</v>
      </c>
      <c r="G169" s="142">
        <v>1570833080071.0601</v>
      </c>
      <c r="H169" s="143">
        <v>1570833080071.0601</v>
      </c>
      <c r="I169" s="55"/>
      <c r="J169" s="56"/>
    </row>
    <row r="170" spans="2:13" ht="17.25" customHeight="1">
      <c r="B170" s="136" t="s">
        <v>34</v>
      </c>
      <c r="C170" s="136" t="s">
        <v>34</v>
      </c>
      <c r="D170" s="136" t="s">
        <v>34</v>
      </c>
      <c r="E170" s="136" t="s">
        <v>34</v>
      </c>
      <c r="F170" s="137" t="s">
        <v>34</v>
      </c>
      <c r="G170" s="138">
        <v>949413158250.66003</v>
      </c>
      <c r="H170" s="139">
        <v>949413158250.66003</v>
      </c>
      <c r="I170" s="55"/>
      <c r="J170" s="56"/>
    </row>
    <row r="171" spans="2:13" ht="17.25" customHeight="1">
      <c r="B171" s="136" t="s">
        <v>56</v>
      </c>
      <c r="C171" s="136" t="s">
        <v>56</v>
      </c>
      <c r="D171" s="136" t="s">
        <v>56</v>
      </c>
      <c r="E171" s="136" t="s">
        <v>56</v>
      </c>
      <c r="F171" s="137" t="s">
        <v>56</v>
      </c>
      <c r="G171" s="138">
        <v>876440642211.02002</v>
      </c>
      <c r="H171" s="139">
        <v>876440642211.02002</v>
      </c>
      <c r="I171" s="55"/>
      <c r="J171" s="56"/>
    </row>
    <row r="172" spans="2:13" ht="17.25" customHeight="1">
      <c r="B172" s="136" t="s">
        <v>32</v>
      </c>
      <c r="C172" s="136" t="s">
        <v>32</v>
      </c>
      <c r="D172" s="136" t="s">
        <v>32</v>
      </c>
      <c r="E172" s="136" t="s">
        <v>32</v>
      </c>
      <c r="F172" s="137" t="s">
        <v>32</v>
      </c>
      <c r="G172" s="138">
        <v>543058810283.54999</v>
      </c>
      <c r="H172" s="139">
        <v>543058810283.54999</v>
      </c>
      <c r="I172" s="55"/>
      <c r="J172" s="56"/>
    </row>
    <row r="173" spans="2:13" ht="17.25" customHeight="1">
      <c r="B173" s="136" t="s">
        <v>43</v>
      </c>
      <c r="C173" s="136" t="s">
        <v>43</v>
      </c>
      <c r="D173" s="136" t="s">
        <v>43</v>
      </c>
      <c r="E173" s="136" t="s">
        <v>43</v>
      </c>
      <c r="F173" s="137" t="s">
        <v>43</v>
      </c>
      <c r="G173" s="138">
        <v>313312982389.15002</v>
      </c>
      <c r="H173" s="139">
        <v>313312982389.15002</v>
      </c>
      <c r="I173" s="57"/>
      <c r="J173" s="50"/>
    </row>
    <row r="174" spans="2:13" ht="17.25" customHeight="1">
      <c r="B174" s="136" t="s">
        <v>42</v>
      </c>
      <c r="C174" s="136" t="s">
        <v>42</v>
      </c>
      <c r="D174" s="136" t="s">
        <v>42</v>
      </c>
      <c r="E174" s="136" t="s">
        <v>42</v>
      </c>
      <c r="F174" s="137" t="s">
        <v>42</v>
      </c>
      <c r="G174" s="138">
        <v>307491951329.98999</v>
      </c>
      <c r="H174" s="139">
        <v>307491951329.98999</v>
      </c>
      <c r="I174" s="55"/>
      <c r="J174" s="56"/>
    </row>
    <row r="175" spans="2:13" ht="17.25" customHeight="1">
      <c r="B175" s="136" t="s">
        <v>57</v>
      </c>
      <c r="C175" s="136" t="s">
        <v>57</v>
      </c>
      <c r="D175" s="136" t="s">
        <v>57</v>
      </c>
      <c r="E175" s="136" t="s">
        <v>57</v>
      </c>
      <c r="F175" s="137" t="s">
        <v>57</v>
      </c>
      <c r="G175" s="138">
        <v>250351199584.57001</v>
      </c>
      <c r="H175" s="139">
        <v>250351199584.57001</v>
      </c>
      <c r="I175" s="55"/>
      <c r="J175" s="56"/>
    </row>
    <row r="176" spans="2:13" ht="17.25" customHeight="1">
      <c r="B176" s="136" t="s">
        <v>53</v>
      </c>
      <c r="C176" s="136" t="s">
        <v>53</v>
      </c>
      <c r="D176" s="136" t="s">
        <v>53</v>
      </c>
      <c r="E176" s="136" t="s">
        <v>53</v>
      </c>
      <c r="F176" s="137" t="s">
        <v>53</v>
      </c>
      <c r="G176" s="138">
        <v>245952068480.51999</v>
      </c>
      <c r="H176" s="139">
        <v>245952068480.51999</v>
      </c>
      <c r="I176" s="55"/>
      <c r="J176" s="56"/>
    </row>
    <row r="177" spans="2:10" ht="17.25" customHeight="1">
      <c r="B177" s="136" t="s">
        <v>51</v>
      </c>
      <c r="C177" s="136" t="s">
        <v>51</v>
      </c>
      <c r="D177" s="136" t="s">
        <v>51</v>
      </c>
      <c r="E177" s="136" t="s">
        <v>51</v>
      </c>
      <c r="F177" s="137" t="s">
        <v>51</v>
      </c>
      <c r="G177" s="138">
        <v>164022682581.67001</v>
      </c>
      <c r="H177" s="139">
        <v>164022682581.67001</v>
      </c>
      <c r="I177" s="55"/>
      <c r="J177" s="56"/>
    </row>
    <row r="178" spans="2:10" ht="18" customHeight="1" thickBot="1">
      <c r="B178" s="132" t="s">
        <v>36</v>
      </c>
      <c r="C178" s="132" t="s">
        <v>36</v>
      </c>
      <c r="D178" s="132" t="s">
        <v>36</v>
      </c>
      <c r="E178" s="132" t="s">
        <v>36</v>
      </c>
      <c r="F178" s="133" t="s">
        <v>36</v>
      </c>
      <c r="G178" s="134">
        <v>116160174163.2</v>
      </c>
      <c r="H178" s="135">
        <v>116160174163.2</v>
      </c>
      <c r="I178" s="55"/>
      <c r="J178" s="56"/>
    </row>
    <row r="179" spans="2:10" ht="17.25">
      <c r="G179" s="41"/>
      <c r="H179" s="41"/>
      <c r="J179" s="48"/>
    </row>
    <row r="180" spans="2:10">
      <c r="B180" s="58"/>
      <c r="J180" s="48"/>
    </row>
  </sheetData>
  <dataConsolidate link="1"/>
  <mergeCells count="100">
    <mergeCell ref="B2:H2"/>
    <mergeCell ref="B3:H3"/>
    <mergeCell ref="I3:N3"/>
    <mergeCell ref="B11:D11"/>
    <mergeCell ref="B12:D12"/>
    <mergeCell ref="B13:D13"/>
    <mergeCell ref="B24:D24"/>
    <mergeCell ref="B25:D25"/>
    <mergeCell ref="B26:D26"/>
    <mergeCell ref="B27:D27"/>
    <mergeCell ref="B28:D28"/>
    <mergeCell ref="B33:D33"/>
    <mergeCell ref="B14:D14"/>
    <mergeCell ref="B15:D15"/>
    <mergeCell ref="B16:D16"/>
    <mergeCell ref="B17:D17"/>
    <mergeCell ref="B22:D22"/>
    <mergeCell ref="B23:D23"/>
    <mergeCell ref="H48:I48"/>
    <mergeCell ref="B49:D49"/>
    <mergeCell ref="B50:D50"/>
    <mergeCell ref="B51:D51"/>
    <mergeCell ref="B52:D52"/>
    <mergeCell ref="B53:D53"/>
    <mergeCell ref="B34:D34"/>
    <mergeCell ref="B35:D35"/>
    <mergeCell ref="B36:D36"/>
    <mergeCell ref="B37:D37"/>
    <mergeCell ref="B38:D38"/>
    <mergeCell ref="B39:D39"/>
    <mergeCell ref="B54:D54"/>
    <mergeCell ref="B128:F128"/>
    <mergeCell ref="G128:H128"/>
    <mergeCell ref="B143:F143"/>
    <mergeCell ref="G143:H143"/>
    <mergeCell ref="B129:F129"/>
    <mergeCell ref="G129:H129"/>
    <mergeCell ref="B138:F138"/>
    <mergeCell ref="G138:H138"/>
    <mergeCell ref="B139:F139"/>
    <mergeCell ref="G139:H139"/>
    <mergeCell ref="B144:F144"/>
    <mergeCell ref="G144:H144"/>
    <mergeCell ref="B145:F145"/>
    <mergeCell ref="G145:H145"/>
    <mergeCell ref="B140:F140"/>
    <mergeCell ref="G140:H140"/>
    <mergeCell ref="B141:F141"/>
    <mergeCell ref="G141:H141"/>
    <mergeCell ref="B142:F142"/>
    <mergeCell ref="G142:H142"/>
    <mergeCell ref="B153:F153"/>
    <mergeCell ref="G153:H153"/>
    <mergeCell ref="B154:F154"/>
    <mergeCell ref="G154:H154"/>
    <mergeCell ref="B155:F155"/>
    <mergeCell ref="G155:H155"/>
    <mergeCell ref="B146:F146"/>
    <mergeCell ref="G146:H146"/>
    <mergeCell ref="B147:F147"/>
    <mergeCell ref="G147:H147"/>
    <mergeCell ref="B148:F148"/>
    <mergeCell ref="G148:H148"/>
    <mergeCell ref="B159:F159"/>
    <mergeCell ref="G159:H159"/>
    <mergeCell ref="B160:F160"/>
    <mergeCell ref="G160:H160"/>
    <mergeCell ref="B161:F161"/>
    <mergeCell ref="G161:H161"/>
    <mergeCell ref="B156:F156"/>
    <mergeCell ref="G156:H156"/>
    <mergeCell ref="B157:F157"/>
    <mergeCell ref="G157:H157"/>
    <mergeCell ref="B158:F158"/>
    <mergeCell ref="G158:H158"/>
    <mergeCell ref="B162:F162"/>
    <mergeCell ref="G162:H162"/>
    <mergeCell ref="B163:F163"/>
    <mergeCell ref="G163:H163"/>
    <mergeCell ref="G168:H168"/>
    <mergeCell ref="B169:F169"/>
    <mergeCell ref="G169:H169"/>
    <mergeCell ref="B176:F176"/>
    <mergeCell ref="G176:H176"/>
    <mergeCell ref="B177:F177"/>
    <mergeCell ref="G177:H177"/>
    <mergeCell ref="B170:F170"/>
    <mergeCell ref="G170:H170"/>
    <mergeCell ref="B171:F171"/>
    <mergeCell ref="G171:H171"/>
    <mergeCell ref="B172:F172"/>
    <mergeCell ref="G172:H172"/>
    <mergeCell ref="B178:F178"/>
    <mergeCell ref="G178:H178"/>
    <mergeCell ref="B173:F173"/>
    <mergeCell ref="G173:H173"/>
    <mergeCell ref="B174:F174"/>
    <mergeCell ref="G174:H174"/>
    <mergeCell ref="B175:F175"/>
    <mergeCell ref="G175:H175"/>
  </mergeCells>
  <pageMargins left="0.70866141732283472" right="0.70866141732283472" top="0.15748031496062992" bottom="0.15748031496062992" header="0.31496062992125984" footer="0.11811023622047245"/>
  <pageSetup paperSize="9" scale="47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49" max="16383" man="1"/>
    <brk id="192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42337">
          <objectPr defaultSize="0" autoPict="0" dde="1">
            <anchor moveWithCells="1">
              <from>
                <xdr:col>0</xdr:col>
                <xdr:colOff>123825</xdr:colOff>
                <xdr:row>72</xdr:row>
                <xdr:rowOff>123825</xdr:rowOff>
              </from>
              <to>
                <xdr:col>1</xdr:col>
                <xdr:colOff>257175</xdr:colOff>
                <xdr:row>74</xdr:row>
                <xdr:rowOff>0</xdr:rowOff>
              </to>
            </anchor>
          </objectPr>
        </oleObject>
      </mc:Choice>
      <mc:Fallback>
        <oleObject link="[1]!'!Январь2012!R1C2:R10C9'" oleUpdate="OLEUPDATE_ALWAYS" shapeId="142337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01">
    <pageSetUpPr fitToPage="1"/>
  </sheetPr>
  <dimension ref="B2:N180"/>
  <sheetViews>
    <sheetView workbookViewId="0"/>
  </sheetViews>
  <sheetFormatPr defaultRowHeight="13.5"/>
  <cols>
    <col min="1" max="1" width="3.42578125" style="75" customWidth="1"/>
    <col min="2" max="2" width="46.7109375" style="75" customWidth="1"/>
    <col min="3" max="4" width="18.42578125" style="75" customWidth="1"/>
    <col min="5" max="9" width="25.5703125" style="75" customWidth="1"/>
    <col min="10" max="10" width="10.5703125" style="75" customWidth="1"/>
    <col min="11" max="11" width="14.85546875" style="75" bestFit="1" customWidth="1"/>
    <col min="12" max="12" width="9.140625" style="75"/>
    <col min="13" max="13" width="23.42578125" style="75" customWidth="1"/>
    <col min="14" max="16384" width="9.140625" style="75"/>
  </cols>
  <sheetData>
    <row r="2" spans="2:14" s="1" customFormat="1" ht="20.25">
      <c r="B2" s="183" t="s">
        <v>15</v>
      </c>
      <c r="C2" s="183"/>
      <c r="D2" s="183"/>
      <c r="E2" s="183"/>
      <c r="F2" s="183"/>
      <c r="G2" s="183"/>
      <c r="H2" s="183"/>
    </row>
    <row r="3" spans="2:14" s="1" customFormat="1" ht="21" thickBot="1">
      <c r="B3" s="184">
        <v>42185</v>
      </c>
      <c r="C3" s="184"/>
      <c r="D3" s="184"/>
      <c r="E3" s="184"/>
      <c r="F3" s="184"/>
      <c r="G3" s="184"/>
      <c r="H3" s="184"/>
      <c r="I3" s="184"/>
      <c r="J3" s="184"/>
      <c r="K3" s="184"/>
      <c r="L3" s="184"/>
      <c r="M3" s="184"/>
      <c r="N3" s="184"/>
    </row>
    <row r="4" spans="2:14" s="1" customFormat="1" ht="18" thickTop="1"/>
    <row r="5" spans="2:14" s="1" customFormat="1" ht="17.25">
      <c r="B5" s="17"/>
      <c r="C5" s="17"/>
      <c r="D5" s="17"/>
      <c r="E5" s="17"/>
      <c r="F5" s="17"/>
      <c r="G5" s="17"/>
      <c r="H5" s="17"/>
    </row>
    <row r="6" spans="2:14" s="1" customFormat="1" ht="17.25">
      <c r="B6" s="18" t="s">
        <v>20</v>
      </c>
      <c r="C6" s="68">
        <f>B3</f>
        <v>42185</v>
      </c>
      <c r="D6" s="17"/>
      <c r="E6" s="17"/>
      <c r="F6" s="17"/>
      <c r="G6" s="17"/>
      <c r="H6" s="17"/>
    </row>
    <row r="7" spans="2:14" s="1" customFormat="1" ht="18" thickBot="1">
      <c r="B7" s="21"/>
      <c r="C7" s="21"/>
      <c r="D7" s="21"/>
      <c r="E7" s="21"/>
      <c r="F7" s="21"/>
      <c r="G7" s="21"/>
      <c r="H7" s="21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3" t="s">
        <v>44</v>
      </c>
      <c r="C10" s="14"/>
      <c r="D10" s="14"/>
      <c r="E10" s="14"/>
      <c r="F10" s="14"/>
      <c r="G10" s="14"/>
      <c r="H10" s="15" t="s">
        <v>13</v>
      </c>
    </row>
    <row r="11" spans="2:14" s="46" customFormat="1" ht="15.75" thickBot="1">
      <c r="B11" s="179" t="s">
        <v>18</v>
      </c>
      <c r="C11" s="179"/>
      <c r="D11" s="180"/>
      <c r="E11" s="73">
        <v>42155</v>
      </c>
      <c r="F11" s="73">
        <f>EDATE(E11,1)</f>
        <v>42185</v>
      </c>
      <c r="G11" s="45" t="s">
        <v>10</v>
      </c>
      <c r="H11" s="45" t="s">
        <v>11</v>
      </c>
      <c r="J11" s="77"/>
    </row>
    <row r="12" spans="2:14" s="76" customFormat="1" ht="17.25">
      <c r="B12" s="181" t="s">
        <v>0</v>
      </c>
      <c r="C12" s="181"/>
      <c r="D12" s="182"/>
      <c r="E12" s="78">
        <f>Май2015!F12</f>
        <v>1193334</v>
      </c>
      <c r="F12" s="84">
        <v>1219694</v>
      </c>
      <c r="G12" s="11">
        <f>F12-E12</f>
        <v>26360</v>
      </c>
      <c r="H12" s="59">
        <f t="shared" ref="H12:H18" si="0">F12/E12-1</f>
        <v>2.2089373134428492E-2</v>
      </c>
      <c r="I12" s="85"/>
      <c r="J12" s="86"/>
    </row>
    <row r="13" spans="2:14" s="76" customFormat="1" ht="17.25">
      <c r="B13" s="177" t="s">
        <v>1</v>
      </c>
      <c r="C13" s="177"/>
      <c r="D13" s="178"/>
      <c r="E13" s="78">
        <f>Май2015!F13</f>
        <v>35680</v>
      </c>
      <c r="F13" s="84">
        <v>35729</v>
      </c>
      <c r="G13" s="11">
        <f t="shared" ref="G13:G18" si="1">F13-E13</f>
        <v>49</v>
      </c>
      <c r="H13" s="59">
        <f t="shared" si="0"/>
        <v>1.3733183856501352E-3</v>
      </c>
      <c r="I13" s="85"/>
      <c r="J13" s="86"/>
    </row>
    <row r="14" spans="2:14" s="76" customFormat="1" ht="17.25">
      <c r="B14" s="177" t="s">
        <v>2</v>
      </c>
      <c r="C14" s="177"/>
      <c r="D14" s="178"/>
      <c r="E14" s="78">
        <f>Май2015!F14</f>
        <v>13121</v>
      </c>
      <c r="F14" s="84">
        <v>13228</v>
      </c>
      <c r="G14" s="11">
        <f t="shared" si="1"/>
        <v>107</v>
      </c>
      <c r="H14" s="59">
        <f t="shared" si="0"/>
        <v>8.1548662449508758E-3</v>
      </c>
      <c r="I14" s="85"/>
      <c r="J14" s="86"/>
    </row>
    <row r="15" spans="2:14" s="76" customFormat="1" ht="17.25">
      <c r="B15" s="162" t="s">
        <v>23</v>
      </c>
      <c r="C15" s="162"/>
      <c r="D15" s="163"/>
      <c r="E15" s="78">
        <f>Май2015!F15</f>
        <v>3602</v>
      </c>
      <c r="F15" s="84">
        <v>3836</v>
      </c>
      <c r="G15" s="11">
        <f t="shared" si="1"/>
        <v>234</v>
      </c>
      <c r="H15" s="59">
        <f t="shared" si="0"/>
        <v>6.496390893947801E-2</v>
      </c>
      <c r="I15" s="85"/>
      <c r="J15" s="86"/>
    </row>
    <row r="16" spans="2:14" s="76" customFormat="1" ht="17.25">
      <c r="B16" s="164" t="s">
        <v>24</v>
      </c>
      <c r="C16" s="164"/>
      <c r="D16" s="165"/>
      <c r="E16" s="78">
        <f>Май2015!F16</f>
        <v>9519</v>
      </c>
      <c r="F16" s="84">
        <v>9392</v>
      </c>
      <c r="G16" s="11">
        <f t="shared" si="1"/>
        <v>-127</v>
      </c>
      <c r="H16" s="59">
        <f t="shared" si="0"/>
        <v>-1.3341737577476587E-2</v>
      </c>
      <c r="I16" s="85"/>
      <c r="J16" s="86"/>
    </row>
    <row r="17" spans="2:10" s="76" customFormat="1" ht="18" customHeight="1" thickBot="1">
      <c r="B17" s="175" t="s">
        <v>3</v>
      </c>
      <c r="C17" s="175"/>
      <c r="D17" s="176"/>
      <c r="E17" s="78">
        <f>Май2015!F17</f>
        <v>14247</v>
      </c>
      <c r="F17" s="84">
        <v>15002</v>
      </c>
      <c r="G17" s="11">
        <f t="shared" si="1"/>
        <v>755</v>
      </c>
      <c r="H17" s="59">
        <f t="shared" si="0"/>
        <v>5.2993612690390934E-2</v>
      </c>
      <c r="I17" s="85"/>
      <c r="J17" s="86"/>
    </row>
    <row r="18" spans="2:10" s="70" customFormat="1" ht="18" thickBot="1">
      <c r="B18" s="60" t="s">
        <v>4</v>
      </c>
      <c r="C18" s="60"/>
      <c r="D18" s="61"/>
      <c r="E18" s="72">
        <f>Май2015!F18</f>
        <v>1256382</v>
      </c>
      <c r="F18" s="72">
        <v>1283653</v>
      </c>
      <c r="G18" s="72">
        <f t="shared" si="1"/>
        <v>27271</v>
      </c>
      <c r="H18" s="69">
        <f t="shared" si="0"/>
        <v>2.1705977958932809E-2</v>
      </c>
      <c r="I18" s="85"/>
      <c r="J18" s="86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3" t="s">
        <v>45</v>
      </c>
      <c r="C21" s="14"/>
      <c r="D21" s="14"/>
      <c r="E21" s="14"/>
      <c r="F21" s="14"/>
      <c r="G21" s="14"/>
      <c r="H21" s="15" t="s">
        <v>12</v>
      </c>
    </row>
    <row r="22" spans="2:10" s="76" customFormat="1" ht="15.75" thickBot="1">
      <c r="B22" s="179" t="s">
        <v>18</v>
      </c>
      <c r="C22" s="179"/>
      <c r="D22" s="180"/>
      <c r="E22" s="73">
        <f>E11</f>
        <v>42155</v>
      </c>
      <c r="F22" s="73">
        <f>F11</f>
        <v>42185</v>
      </c>
      <c r="G22" s="45" t="s">
        <v>10</v>
      </c>
      <c r="H22" s="45" t="s">
        <v>11</v>
      </c>
      <c r="J22" s="77"/>
    </row>
    <row r="23" spans="2:10" s="76" customFormat="1" ht="17.25">
      <c r="B23" s="181" t="s">
        <v>0</v>
      </c>
      <c r="C23" s="181"/>
      <c r="D23" s="182"/>
      <c r="E23" s="78">
        <f>Май2015!F23</f>
        <v>975467</v>
      </c>
      <c r="F23" s="84">
        <v>980206</v>
      </c>
      <c r="G23" s="11">
        <f>F23-E23</f>
        <v>4739</v>
      </c>
      <c r="H23" s="59">
        <f>F23/E23-1</f>
        <v>4.85818587404796E-3</v>
      </c>
      <c r="I23" s="86"/>
    </row>
    <row r="24" spans="2:10" s="76" customFormat="1" ht="17.25">
      <c r="B24" s="177" t="s">
        <v>1</v>
      </c>
      <c r="C24" s="177"/>
      <c r="D24" s="178"/>
      <c r="E24" s="78">
        <f>Май2015!F24</f>
        <v>20771</v>
      </c>
      <c r="F24" s="84">
        <v>20872</v>
      </c>
      <c r="G24" s="11">
        <f t="shared" ref="G24:G29" si="2">F24-E24</f>
        <v>101</v>
      </c>
      <c r="H24" s="59">
        <f t="shared" ref="H24:H29" si="3">F24/E24-1</f>
        <v>4.8625487458475725E-3</v>
      </c>
      <c r="I24" s="86"/>
    </row>
    <row r="25" spans="2:10" s="76" customFormat="1" ht="17.25">
      <c r="B25" s="177" t="s">
        <v>2</v>
      </c>
      <c r="C25" s="177"/>
      <c r="D25" s="178"/>
      <c r="E25" s="78">
        <f>Май2015!F25</f>
        <v>8400</v>
      </c>
      <c r="F25" s="84">
        <v>8385</v>
      </c>
      <c r="G25" s="11">
        <f t="shared" si="2"/>
        <v>-15</v>
      </c>
      <c r="H25" s="59">
        <f t="shared" si="3"/>
        <v>-1.7857142857142794E-3</v>
      </c>
      <c r="I25" s="86"/>
    </row>
    <row r="26" spans="2:10" s="76" customFormat="1" ht="17.25">
      <c r="B26" s="162" t="s">
        <v>23</v>
      </c>
      <c r="C26" s="162"/>
      <c r="D26" s="163"/>
      <c r="E26" s="78">
        <f>Май2015!F26</f>
        <v>3500</v>
      </c>
      <c r="F26" s="84">
        <v>3652</v>
      </c>
      <c r="G26" s="11">
        <f t="shared" si="2"/>
        <v>152</v>
      </c>
      <c r="H26" s="59">
        <f t="shared" si="3"/>
        <v>4.3428571428571372E-2</v>
      </c>
      <c r="I26" s="86"/>
    </row>
    <row r="27" spans="2:10" s="76" customFormat="1" ht="17.25">
      <c r="B27" s="164" t="s">
        <v>24</v>
      </c>
      <c r="C27" s="164"/>
      <c r="D27" s="165"/>
      <c r="E27" s="78">
        <f>Май2015!F27</f>
        <v>4900</v>
      </c>
      <c r="F27" s="84">
        <v>4733</v>
      </c>
      <c r="G27" s="11">
        <f t="shared" si="2"/>
        <v>-167</v>
      </c>
      <c r="H27" s="59">
        <f t="shared" si="3"/>
        <v>-3.4081632653061189E-2</v>
      </c>
      <c r="I27" s="86"/>
    </row>
    <row r="28" spans="2:10" s="76" customFormat="1" ht="18" thickBot="1">
      <c r="B28" s="175" t="s">
        <v>3</v>
      </c>
      <c r="C28" s="175"/>
      <c r="D28" s="176"/>
      <c r="E28" s="78">
        <f>Май2015!F28</f>
        <v>4915</v>
      </c>
      <c r="F28" s="84">
        <v>4856</v>
      </c>
      <c r="G28" s="11">
        <f t="shared" si="2"/>
        <v>-59</v>
      </c>
      <c r="H28" s="59">
        <f t="shared" si="3"/>
        <v>-1.2004069175991838E-2</v>
      </c>
      <c r="I28" s="86"/>
    </row>
    <row r="29" spans="2:10" s="70" customFormat="1" ht="18" thickBot="1">
      <c r="B29" s="60" t="s">
        <v>4</v>
      </c>
      <c r="C29" s="60"/>
      <c r="D29" s="61"/>
      <c r="E29" s="72">
        <f>Май2015!F29</f>
        <v>1009553</v>
      </c>
      <c r="F29" s="72">
        <v>1014319</v>
      </c>
      <c r="G29" s="72">
        <f t="shared" si="2"/>
        <v>4766</v>
      </c>
      <c r="H29" s="69">
        <f t="shared" si="3"/>
        <v>4.720901230544694E-3</v>
      </c>
      <c r="I29" s="86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3" t="s">
        <v>16</v>
      </c>
      <c r="C32" s="14"/>
      <c r="D32" s="14"/>
      <c r="E32" s="14"/>
      <c r="F32" s="14"/>
      <c r="G32" s="14"/>
      <c r="H32" s="15" t="s">
        <v>14</v>
      </c>
    </row>
    <row r="33" spans="2:9" ht="15.75" thickBot="1">
      <c r="B33" s="145" t="s">
        <v>18</v>
      </c>
      <c r="C33" s="145"/>
      <c r="D33" s="146"/>
      <c r="E33" s="73">
        <f>E11</f>
        <v>42155</v>
      </c>
      <c r="F33" s="73">
        <f>F11</f>
        <v>42185</v>
      </c>
      <c r="G33" s="16" t="s">
        <v>10</v>
      </c>
      <c r="H33" s="16" t="s">
        <v>11</v>
      </c>
    </row>
    <row r="34" spans="2:9" ht="17.25">
      <c r="B34" s="160" t="s">
        <v>0</v>
      </c>
      <c r="C34" s="160"/>
      <c r="D34" s="161"/>
      <c r="E34" s="78">
        <f>Май2015!F34</f>
        <v>63813</v>
      </c>
      <c r="F34" s="78">
        <v>62599</v>
      </c>
      <c r="G34" s="11">
        <f t="shared" ref="G34:G40" si="4">F34-E34</f>
        <v>-1214</v>
      </c>
      <c r="H34" s="59">
        <f t="shared" ref="H34:H40" si="5">F34/E34-1</f>
        <v>-1.9024336733894365E-2</v>
      </c>
      <c r="I34" s="58"/>
    </row>
    <row r="35" spans="2:9" ht="17.25">
      <c r="B35" s="136" t="s">
        <v>1</v>
      </c>
      <c r="C35" s="136"/>
      <c r="D35" s="137"/>
      <c r="E35" s="78">
        <f>Май2015!F35</f>
        <v>1008</v>
      </c>
      <c r="F35" s="78">
        <v>1145</v>
      </c>
      <c r="G35" s="11">
        <f t="shared" si="4"/>
        <v>137</v>
      </c>
      <c r="H35" s="59">
        <f t="shared" si="5"/>
        <v>0.13591269841269837</v>
      </c>
      <c r="I35" s="58"/>
    </row>
    <row r="36" spans="2:9" ht="17.25">
      <c r="B36" s="136" t="s">
        <v>2</v>
      </c>
      <c r="C36" s="136"/>
      <c r="D36" s="137"/>
      <c r="E36" s="78">
        <f>Май2015!F36</f>
        <v>537</v>
      </c>
      <c r="F36" s="78">
        <v>578</v>
      </c>
      <c r="G36" s="11">
        <f t="shared" si="4"/>
        <v>41</v>
      </c>
      <c r="H36" s="59">
        <f t="shared" si="5"/>
        <v>7.6350093109869732E-2</v>
      </c>
      <c r="I36" s="58"/>
    </row>
    <row r="37" spans="2:9" ht="17.25">
      <c r="B37" s="162" t="s">
        <v>23</v>
      </c>
      <c r="C37" s="162"/>
      <c r="D37" s="163"/>
      <c r="E37" s="78">
        <f>Май2015!F37</f>
        <v>225</v>
      </c>
      <c r="F37" s="78">
        <v>247</v>
      </c>
      <c r="G37" s="11">
        <f t="shared" si="4"/>
        <v>22</v>
      </c>
      <c r="H37" s="59">
        <f t="shared" si="5"/>
        <v>9.7777777777777741E-2</v>
      </c>
      <c r="I37" s="58"/>
    </row>
    <row r="38" spans="2:9" ht="17.25">
      <c r="B38" s="164" t="s">
        <v>24</v>
      </c>
      <c r="C38" s="164"/>
      <c r="D38" s="165"/>
      <c r="E38" s="78">
        <f>Май2015!F38</f>
        <v>312</v>
      </c>
      <c r="F38" s="78">
        <v>331</v>
      </c>
      <c r="G38" s="11">
        <f t="shared" si="4"/>
        <v>19</v>
      </c>
      <c r="H38" s="59">
        <f t="shared" si="5"/>
        <v>6.0897435897435903E-2</v>
      </c>
      <c r="I38" s="58"/>
    </row>
    <row r="39" spans="2:9" ht="18" thickBot="1">
      <c r="B39" s="166" t="s">
        <v>3</v>
      </c>
      <c r="C39" s="166"/>
      <c r="D39" s="167"/>
      <c r="E39" s="78">
        <f>Май2015!F39</f>
        <v>477</v>
      </c>
      <c r="F39" s="78">
        <v>510</v>
      </c>
      <c r="G39" s="11">
        <f t="shared" si="4"/>
        <v>33</v>
      </c>
      <c r="H39" s="59">
        <f t="shared" si="5"/>
        <v>6.9182389937106903E-2</v>
      </c>
      <c r="I39" s="58"/>
    </row>
    <row r="40" spans="2:9" s="70" customFormat="1" ht="18" thickBot="1">
      <c r="B40" s="60" t="s">
        <v>4</v>
      </c>
      <c r="C40" s="60"/>
      <c r="D40" s="61"/>
      <c r="E40" s="72">
        <f>Май2015!F40</f>
        <v>65835</v>
      </c>
      <c r="F40" s="72">
        <v>64832</v>
      </c>
      <c r="G40" s="72">
        <f t="shared" si="4"/>
        <v>-1003</v>
      </c>
      <c r="H40" s="69">
        <f t="shared" si="5"/>
        <v>-1.523505734032049E-2</v>
      </c>
      <c r="I40" s="58"/>
    </row>
    <row r="41" spans="2:9" ht="15">
      <c r="B41" s="6"/>
      <c r="C41" s="6"/>
      <c r="D41" s="6"/>
      <c r="E41" s="42"/>
      <c r="F41" s="42"/>
      <c r="G41" s="43"/>
      <c r="H41" s="44"/>
    </row>
    <row r="42" spans="2:9" ht="15">
      <c r="B42" s="10"/>
      <c r="C42" s="2"/>
      <c r="D42" s="2"/>
      <c r="E42" s="2"/>
      <c r="F42" s="2"/>
      <c r="G42" s="2"/>
    </row>
    <row r="43" spans="2:9" ht="17.25">
      <c r="B43" s="19"/>
      <c r="C43" s="19"/>
      <c r="D43" s="19"/>
      <c r="E43" s="19"/>
      <c r="F43" s="19"/>
      <c r="G43" s="19"/>
      <c r="H43" s="19"/>
    </row>
    <row r="44" spans="2:9" ht="17.25">
      <c r="B44" s="20" t="s">
        <v>17</v>
      </c>
      <c r="C44" s="19"/>
      <c r="D44" s="19"/>
      <c r="E44" s="19"/>
      <c r="F44" s="19"/>
      <c r="G44" s="19"/>
      <c r="H44" s="19"/>
    </row>
    <row r="45" spans="2:9" ht="18" thickBot="1">
      <c r="B45" s="22"/>
      <c r="C45" s="22"/>
      <c r="D45" s="22"/>
      <c r="E45" s="22"/>
      <c r="F45" s="22"/>
      <c r="G45" s="22"/>
      <c r="H45" s="22"/>
    </row>
    <row r="47" spans="2:9">
      <c r="F47" s="5"/>
    </row>
    <row r="48" spans="2:9" ht="18" thickBot="1">
      <c r="B48" s="12" t="s">
        <v>46</v>
      </c>
      <c r="C48" s="23"/>
      <c r="D48" s="23"/>
      <c r="E48" s="23"/>
      <c r="F48" s="23"/>
      <c r="G48" s="23"/>
      <c r="H48" s="168" t="s">
        <v>13</v>
      </c>
      <c r="I48" s="168"/>
    </row>
    <row r="49" spans="2:9" ht="15.75" thickBot="1">
      <c r="B49" s="145" t="s">
        <v>18</v>
      </c>
      <c r="C49" s="145"/>
      <c r="D49" s="146"/>
      <c r="E49" s="73">
        <v>40543</v>
      </c>
      <c r="F49" s="73">
        <v>40908</v>
      </c>
      <c r="G49" s="73">
        <v>41274</v>
      </c>
      <c r="H49" s="73">
        <v>41639</v>
      </c>
      <c r="I49" s="73">
        <v>42004</v>
      </c>
    </row>
    <row r="50" spans="2:9" ht="17.25">
      <c r="B50" s="169" t="s">
        <v>0</v>
      </c>
      <c r="C50" s="169"/>
      <c r="D50" s="170"/>
      <c r="E50" s="80">
        <v>714295</v>
      </c>
      <c r="F50" s="80">
        <v>772175</v>
      </c>
      <c r="G50" s="80">
        <v>805549</v>
      </c>
      <c r="H50" s="80">
        <v>881844</v>
      </c>
      <c r="I50" s="80">
        <v>944559</v>
      </c>
    </row>
    <row r="51" spans="2:9" ht="17.25">
      <c r="B51" s="171" t="s">
        <v>1</v>
      </c>
      <c r="C51" s="171"/>
      <c r="D51" s="172"/>
      <c r="E51" s="81">
        <v>17170</v>
      </c>
      <c r="F51" s="81">
        <v>16850</v>
      </c>
      <c r="G51" s="81">
        <v>17821</v>
      </c>
      <c r="H51" s="81">
        <v>19539</v>
      </c>
      <c r="I51" s="81">
        <v>20178</v>
      </c>
    </row>
    <row r="52" spans="2:9" ht="17.25">
      <c r="B52" s="173" t="s">
        <v>2</v>
      </c>
      <c r="C52" s="173"/>
      <c r="D52" s="174"/>
      <c r="E52" s="83">
        <v>4295</v>
      </c>
      <c r="F52" s="83">
        <v>5058</v>
      </c>
      <c r="G52" s="83">
        <v>5876</v>
      </c>
      <c r="H52" s="83">
        <v>6957</v>
      </c>
      <c r="I52" s="83">
        <v>7486</v>
      </c>
    </row>
    <row r="53" spans="2:9" ht="18" thickBot="1">
      <c r="B53" s="158" t="s">
        <v>3</v>
      </c>
      <c r="C53" s="158"/>
      <c r="D53" s="159"/>
      <c r="E53" s="79">
        <v>5348</v>
      </c>
      <c r="F53" s="79">
        <v>5242</v>
      </c>
      <c r="G53" s="79">
        <v>5261</v>
      </c>
      <c r="H53" s="79">
        <v>5182</v>
      </c>
      <c r="I53" s="79">
        <v>5142</v>
      </c>
    </row>
    <row r="54" spans="2:9" s="71" customFormat="1" ht="18" thickBot="1">
      <c r="B54" s="147" t="s">
        <v>4</v>
      </c>
      <c r="C54" s="147"/>
      <c r="D54" s="148"/>
      <c r="E54" s="82">
        <v>741108</v>
      </c>
      <c r="F54" s="82">
        <v>799325</v>
      </c>
      <c r="G54" s="82">
        <v>834507</v>
      </c>
      <c r="H54" s="82">
        <v>913522</v>
      </c>
      <c r="I54" s="82">
        <v>977365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2" t="s">
        <v>47</v>
      </c>
      <c r="C82" s="23"/>
      <c r="D82" s="23"/>
      <c r="E82" s="23"/>
      <c r="F82" s="23"/>
      <c r="G82" s="23"/>
      <c r="H82" s="24" t="s">
        <v>12</v>
      </c>
      <c r="I82"/>
      <c r="J82"/>
      <c r="K82"/>
    </row>
    <row r="83" spans="2:11" ht="15.75" thickBot="1">
      <c r="B83" s="32" t="s">
        <v>18</v>
      </c>
      <c r="C83" s="73">
        <f>EDATE(D83,-1)</f>
        <v>42032</v>
      </c>
      <c r="D83" s="73">
        <f>EDATE(E83,-1)</f>
        <v>42063</v>
      </c>
      <c r="E83" s="73">
        <f>EDATE(F83,-1)</f>
        <v>42093</v>
      </c>
      <c r="F83" s="73">
        <f>EDATE(G83,-1)</f>
        <v>42124</v>
      </c>
      <c r="G83" s="73">
        <f>EDATE(H83,-1)</f>
        <v>42154</v>
      </c>
      <c r="H83" s="73">
        <f>EDATE(E11,1)</f>
        <v>42185</v>
      </c>
      <c r="I83"/>
      <c r="J83"/>
    </row>
    <row r="84" spans="2:11" ht="16.5" customHeight="1">
      <c r="B84" s="25" t="s">
        <v>0</v>
      </c>
      <c r="C84" s="80">
        <v>950502</v>
      </c>
      <c r="D84" s="80">
        <v>964598</v>
      </c>
      <c r="E84" s="80">
        <v>965577</v>
      </c>
      <c r="F84" s="80">
        <v>971876</v>
      </c>
      <c r="G84" s="80">
        <v>975467</v>
      </c>
      <c r="H84" s="80">
        <v>980206</v>
      </c>
    </row>
    <row r="85" spans="2:11" ht="16.5" customHeight="1">
      <c r="B85" s="26" t="s">
        <v>1</v>
      </c>
      <c r="C85" s="81">
        <v>20249</v>
      </c>
      <c r="D85" s="81">
        <v>20398</v>
      </c>
      <c r="E85" s="81">
        <v>20587</v>
      </c>
      <c r="F85" s="81">
        <v>20753</v>
      </c>
      <c r="G85" s="81">
        <v>20771</v>
      </c>
      <c r="H85" s="81">
        <v>20872</v>
      </c>
    </row>
    <row r="86" spans="2:11" ht="16.5" customHeight="1">
      <c r="B86" s="27" t="s">
        <v>2</v>
      </c>
      <c r="C86" s="83">
        <v>7537</v>
      </c>
      <c r="D86" s="83">
        <v>7683</v>
      </c>
      <c r="E86" s="83">
        <v>8231</v>
      </c>
      <c r="F86" s="83">
        <v>8355</v>
      </c>
      <c r="G86" s="83">
        <v>8400</v>
      </c>
      <c r="H86" s="83">
        <v>8385</v>
      </c>
    </row>
    <row r="87" spans="2:11" ht="16.5" customHeight="1" thickBot="1">
      <c r="B87" s="28" t="s">
        <v>3</v>
      </c>
      <c r="C87" s="79">
        <v>5091</v>
      </c>
      <c r="D87" s="79">
        <v>5023</v>
      </c>
      <c r="E87" s="79">
        <v>5043</v>
      </c>
      <c r="F87" s="79">
        <v>4971</v>
      </c>
      <c r="G87" s="79">
        <v>4915</v>
      </c>
      <c r="H87" s="79">
        <v>4856</v>
      </c>
    </row>
    <row r="88" spans="2:11" s="71" customFormat="1" ht="18" thickBot="1">
      <c r="B88" s="109" t="s">
        <v>4</v>
      </c>
      <c r="C88" s="82">
        <v>983379</v>
      </c>
      <c r="D88" s="82">
        <v>997702</v>
      </c>
      <c r="E88" s="82">
        <v>999438</v>
      </c>
      <c r="F88" s="82">
        <v>1005955</v>
      </c>
      <c r="G88" s="82">
        <v>1009553</v>
      </c>
      <c r="H88" s="82">
        <v>1014319</v>
      </c>
      <c r="I88" s="58"/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29"/>
      <c r="C123" s="29"/>
      <c r="D123" s="29"/>
      <c r="E123" s="29"/>
      <c r="F123" s="29"/>
      <c r="G123" s="29"/>
      <c r="H123" s="29"/>
    </row>
    <row r="124" spans="2:8" ht="17.25">
      <c r="B124" s="30" t="s">
        <v>25</v>
      </c>
      <c r="C124" s="92">
        <f>B3</f>
        <v>42185</v>
      </c>
      <c r="D124" s="29"/>
      <c r="E124" s="29"/>
      <c r="F124" s="29"/>
      <c r="G124" s="29"/>
      <c r="H124" s="29"/>
    </row>
    <row r="125" spans="2:8" ht="18" thickBot="1">
      <c r="B125" s="31"/>
      <c r="C125" s="31"/>
      <c r="D125" s="31"/>
      <c r="E125" s="31"/>
      <c r="F125" s="31"/>
      <c r="G125" s="31"/>
      <c r="H125" s="31"/>
    </row>
    <row r="127" spans="2:8" ht="18" thickBot="1">
      <c r="B127" s="62"/>
      <c r="C127" s="74"/>
      <c r="D127" s="36"/>
      <c r="E127" s="36"/>
      <c r="F127" s="36"/>
      <c r="G127" s="36"/>
      <c r="H127" s="37" t="s">
        <v>13</v>
      </c>
    </row>
    <row r="128" spans="2:8" ht="30.75" customHeight="1" thickBot="1">
      <c r="B128" s="146" t="s">
        <v>26</v>
      </c>
      <c r="C128" s="149"/>
      <c r="D128" s="149"/>
      <c r="E128" s="149"/>
      <c r="F128" s="149"/>
      <c r="G128" s="150" t="s">
        <v>5</v>
      </c>
      <c r="H128" s="151"/>
    </row>
    <row r="129" spans="2:10" ht="18" customHeight="1" thickBot="1">
      <c r="B129" s="133" t="s">
        <v>22</v>
      </c>
      <c r="C129" s="152"/>
      <c r="D129" s="152"/>
      <c r="E129" s="152"/>
      <c r="F129" s="152"/>
      <c r="G129" s="153">
        <v>411</v>
      </c>
      <c r="H129" s="154"/>
    </row>
    <row r="132" spans="2:10" ht="17.25">
      <c r="B132" s="33"/>
      <c r="C132" s="33"/>
      <c r="D132" s="33"/>
      <c r="E132" s="33"/>
      <c r="F132" s="33"/>
      <c r="G132" s="33"/>
      <c r="H132" s="33"/>
    </row>
    <row r="133" spans="2:10" ht="17.25">
      <c r="B133" s="34" t="s">
        <v>21</v>
      </c>
      <c r="C133" s="33"/>
      <c r="D133" s="33"/>
      <c r="E133" s="34"/>
      <c r="F133" s="97">
        <f>C6</f>
        <v>42185</v>
      </c>
      <c r="G133" s="33"/>
      <c r="H133" s="33"/>
    </row>
    <row r="134" spans="2:10" ht="18" thickBot="1">
      <c r="B134" s="35"/>
      <c r="C134" s="35"/>
      <c r="D134" s="35"/>
      <c r="E134" s="35"/>
      <c r="F134" s="35"/>
      <c r="G134" s="35"/>
      <c r="H134" s="35"/>
    </row>
    <row r="136" spans="2:10" ht="17.25">
      <c r="B136" s="87" t="s">
        <v>27</v>
      </c>
      <c r="C136" s="38"/>
      <c r="D136" s="38"/>
      <c r="E136" s="38"/>
      <c r="F136" s="38"/>
      <c r="G136" s="38"/>
      <c r="H136" s="39" t="s">
        <v>13</v>
      </c>
    </row>
    <row r="137" spans="2:10" ht="18" thickBot="1">
      <c r="B137" s="88" t="s">
        <v>28</v>
      </c>
      <c r="C137" s="38"/>
      <c r="D137" s="38"/>
      <c r="E137" s="38"/>
      <c r="F137" s="38"/>
      <c r="G137" s="38"/>
      <c r="H137" s="39"/>
    </row>
    <row r="138" spans="2:10" ht="15.75" customHeight="1" thickBot="1">
      <c r="B138" s="155" t="s">
        <v>19</v>
      </c>
      <c r="C138" s="155"/>
      <c r="D138" s="155"/>
      <c r="E138" s="155"/>
      <c r="F138" s="156"/>
      <c r="G138" s="157" t="s">
        <v>6</v>
      </c>
      <c r="H138" s="144"/>
      <c r="I138"/>
    </row>
    <row r="139" spans="2:10" ht="17.25" customHeight="1">
      <c r="B139" s="140" t="s">
        <v>52</v>
      </c>
      <c r="C139" s="140" t="s">
        <v>52</v>
      </c>
      <c r="D139" s="140" t="s">
        <v>52</v>
      </c>
      <c r="E139" s="140" t="s">
        <v>52</v>
      </c>
      <c r="F139" s="141" t="s">
        <v>52</v>
      </c>
      <c r="G139" s="142">
        <v>221148</v>
      </c>
      <c r="H139" s="143">
        <v>221148</v>
      </c>
      <c r="I139" s="47"/>
      <c r="J139" s="50"/>
    </row>
    <row r="140" spans="2:10" ht="13.5" customHeight="1">
      <c r="B140" s="136" t="s">
        <v>32</v>
      </c>
      <c r="C140" s="136" t="s">
        <v>32</v>
      </c>
      <c r="D140" s="136" t="s">
        <v>32</v>
      </c>
      <c r="E140" s="136" t="s">
        <v>32</v>
      </c>
      <c r="F140" s="137" t="s">
        <v>32</v>
      </c>
      <c r="G140" s="138">
        <v>182537</v>
      </c>
      <c r="H140" s="139">
        <v>182537</v>
      </c>
      <c r="I140" s="47"/>
      <c r="J140" s="50"/>
    </row>
    <row r="141" spans="2:10" ht="17.25" customHeight="1">
      <c r="B141" s="136" t="s">
        <v>53</v>
      </c>
      <c r="C141" s="136" t="s">
        <v>53</v>
      </c>
      <c r="D141" s="136" t="s">
        <v>53</v>
      </c>
      <c r="E141" s="136" t="s">
        <v>53</v>
      </c>
      <c r="F141" s="137" t="s">
        <v>53</v>
      </c>
      <c r="G141" s="138">
        <v>130794</v>
      </c>
      <c r="H141" s="139">
        <v>130794</v>
      </c>
      <c r="I141" s="47"/>
      <c r="J141" s="50"/>
    </row>
    <row r="142" spans="2:10" ht="17.25" customHeight="1">
      <c r="B142" s="136" t="s">
        <v>34</v>
      </c>
      <c r="C142" s="136" t="s">
        <v>34</v>
      </c>
      <c r="D142" s="136" t="s">
        <v>34</v>
      </c>
      <c r="E142" s="136" t="s">
        <v>34</v>
      </c>
      <c r="F142" s="137" t="s">
        <v>34</v>
      </c>
      <c r="G142" s="138">
        <v>129175</v>
      </c>
      <c r="H142" s="139">
        <v>129175</v>
      </c>
      <c r="I142" s="47"/>
      <c r="J142" s="50"/>
    </row>
    <row r="143" spans="2:10" ht="17.25" customHeight="1">
      <c r="B143" s="136" t="s">
        <v>54</v>
      </c>
      <c r="C143" s="136" t="s">
        <v>54</v>
      </c>
      <c r="D143" s="136" t="s">
        <v>54</v>
      </c>
      <c r="E143" s="136" t="s">
        <v>54</v>
      </c>
      <c r="F143" s="137" t="s">
        <v>54</v>
      </c>
      <c r="G143" s="138">
        <v>63238</v>
      </c>
      <c r="H143" s="139">
        <v>63238</v>
      </c>
      <c r="I143" s="47"/>
      <c r="J143" s="50"/>
    </row>
    <row r="144" spans="2:10" ht="13.5" customHeight="1">
      <c r="B144" s="136" t="s">
        <v>50</v>
      </c>
      <c r="C144" s="136" t="s">
        <v>50</v>
      </c>
      <c r="D144" s="136" t="s">
        <v>50</v>
      </c>
      <c r="E144" s="136" t="s">
        <v>50</v>
      </c>
      <c r="F144" s="137" t="s">
        <v>50</v>
      </c>
      <c r="G144" s="138">
        <v>60955</v>
      </c>
      <c r="H144" s="139">
        <v>60955</v>
      </c>
      <c r="I144" s="51"/>
      <c r="J144" s="50"/>
    </row>
    <row r="145" spans="2:13" ht="17.25" customHeight="1">
      <c r="B145" s="136" t="s">
        <v>36</v>
      </c>
      <c r="C145" s="136" t="s">
        <v>36</v>
      </c>
      <c r="D145" s="136" t="s">
        <v>36</v>
      </c>
      <c r="E145" s="136" t="s">
        <v>36</v>
      </c>
      <c r="F145" s="137" t="s">
        <v>36</v>
      </c>
      <c r="G145" s="138">
        <v>46863</v>
      </c>
      <c r="H145" s="139">
        <v>46863</v>
      </c>
      <c r="I145" s="47"/>
      <c r="J145" s="50"/>
    </row>
    <row r="146" spans="2:13" ht="17.25" customHeight="1">
      <c r="B146" s="136" t="s">
        <v>37</v>
      </c>
      <c r="C146" s="136" t="s">
        <v>37</v>
      </c>
      <c r="D146" s="136" t="s">
        <v>37</v>
      </c>
      <c r="E146" s="136" t="s">
        <v>37</v>
      </c>
      <c r="F146" s="137" t="s">
        <v>37</v>
      </c>
      <c r="G146" s="138">
        <v>31315</v>
      </c>
      <c r="H146" s="139">
        <v>31315</v>
      </c>
      <c r="I146" s="47"/>
      <c r="J146" s="50"/>
    </row>
    <row r="147" spans="2:13" ht="17.25" customHeight="1">
      <c r="B147" s="136" t="s">
        <v>38</v>
      </c>
      <c r="C147" s="136" t="s">
        <v>38</v>
      </c>
      <c r="D147" s="136" t="s">
        <v>38</v>
      </c>
      <c r="E147" s="136" t="s">
        <v>38</v>
      </c>
      <c r="F147" s="137" t="s">
        <v>38</v>
      </c>
      <c r="G147" s="138">
        <v>21875</v>
      </c>
      <c r="H147" s="139">
        <v>21875</v>
      </c>
      <c r="I147" s="47"/>
      <c r="J147" s="50"/>
      <c r="L147"/>
    </row>
    <row r="148" spans="2:13" ht="18" customHeight="1" thickBot="1">
      <c r="B148" s="132" t="s">
        <v>39</v>
      </c>
      <c r="C148" s="132" t="s">
        <v>39</v>
      </c>
      <c r="D148" s="132" t="s">
        <v>39</v>
      </c>
      <c r="E148" s="132" t="s">
        <v>39</v>
      </c>
      <c r="F148" s="133" t="s">
        <v>39</v>
      </c>
      <c r="G148" s="134">
        <v>19808</v>
      </c>
      <c r="H148" s="135">
        <v>19808</v>
      </c>
      <c r="I148" s="47"/>
      <c r="J148" s="50"/>
      <c r="L148"/>
    </row>
    <row r="149" spans="2:13" ht="17.25">
      <c r="G149" s="41"/>
      <c r="H149" s="41"/>
      <c r="I149" s="52"/>
      <c r="J149" s="52"/>
    </row>
    <row r="150" spans="2:13" ht="17.25">
      <c r="B150" s="40"/>
      <c r="C150" s="40"/>
      <c r="D150" s="40"/>
      <c r="E150" s="40"/>
      <c r="F150" s="40"/>
      <c r="G150" s="41"/>
      <c r="H150" s="41"/>
      <c r="I150" s="52"/>
      <c r="J150" s="52"/>
    </row>
    <row r="151" spans="2:13" ht="17.25">
      <c r="B151" s="87" t="s">
        <v>7</v>
      </c>
      <c r="C151" s="38"/>
      <c r="D151" s="38"/>
      <c r="E151" s="38"/>
      <c r="F151" s="38"/>
      <c r="G151" s="38"/>
      <c r="H151" s="39" t="s">
        <v>12</v>
      </c>
      <c r="I151" s="52"/>
      <c r="J151" s="52"/>
    </row>
    <row r="152" spans="2:13" ht="18" thickBot="1">
      <c r="B152" s="88" t="s">
        <v>29</v>
      </c>
      <c r="C152" s="38"/>
      <c r="D152" s="38"/>
      <c r="E152" s="38"/>
      <c r="F152" s="38"/>
      <c r="G152" s="38"/>
      <c r="H152" s="39"/>
      <c r="I152" s="52"/>
      <c r="J152" s="52"/>
    </row>
    <row r="153" spans="2:13" ht="15.75" thickBot="1">
      <c r="B153" s="145" t="s">
        <v>19</v>
      </c>
      <c r="C153" s="145"/>
      <c r="D153" s="145"/>
      <c r="E153" s="145"/>
      <c r="F153" s="146"/>
      <c r="G153" s="144" t="s">
        <v>6</v>
      </c>
      <c r="H153" s="144"/>
      <c r="I153" s="52"/>
      <c r="J153" s="52"/>
      <c r="K153"/>
      <c r="L153"/>
      <c r="M153"/>
    </row>
    <row r="154" spans="2:13" ht="17.25" customHeight="1">
      <c r="B154" s="140" t="s">
        <v>32</v>
      </c>
      <c r="C154" s="140" t="s">
        <v>32</v>
      </c>
      <c r="D154" s="140" t="s">
        <v>32</v>
      </c>
      <c r="E154" s="140" t="s">
        <v>32</v>
      </c>
      <c r="F154" s="141" t="s">
        <v>32</v>
      </c>
      <c r="G154" s="142">
        <v>10711</v>
      </c>
      <c r="H154" s="143">
        <v>10711</v>
      </c>
      <c r="I154" s="53"/>
      <c r="J154" s="50"/>
      <c r="K154" s="49"/>
      <c r="L154"/>
      <c r="M154"/>
    </row>
    <row r="155" spans="2:13" ht="17.25" customHeight="1">
      <c r="B155" s="136" t="s">
        <v>52</v>
      </c>
      <c r="C155" s="136" t="s">
        <v>52</v>
      </c>
      <c r="D155" s="136" t="s">
        <v>52</v>
      </c>
      <c r="E155" s="136" t="s">
        <v>52</v>
      </c>
      <c r="F155" s="137" t="s">
        <v>52</v>
      </c>
      <c r="G155" s="138">
        <v>10211</v>
      </c>
      <c r="H155" s="139">
        <v>10211</v>
      </c>
      <c r="I155" s="53"/>
      <c r="J155" s="50"/>
      <c r="K155" s="49"/>
      <c r="L155"/>
      <c r="M155"/>
    </row>
    <row r="156" spans="2:13" ht="17.25" customHeight="1">
      <c r="B156" s="136" t="s">
        <v>53</v>
      </c>
      <c r="C156" s="136" t="s">
        <v>53</v>
      </c>
      <c r="D156" s="136" t="s">
        <v>53</v>
      </c>
      <c r="E156" s="136" t="s">
        <v>53</v>
      </c>
      <c r="F156" s="137" t="s">
        <v>53</v>
      </c>
      <c r="G156" s="138">
        <v>9357</v>
      </c>
      <c r="H156" s="139">
        <v>9357</v>
      </c>
      <c r="I156" s="53"/>
      <c r="J156" s="50"/>
      <c r="K156" s="49"/>
      <c r="L156"/>
      <c r="M156"/>
    </row>
    <row r="157" spans="2:13" ht="17.25">
      <c r="B157" s="136" t="s">
        <v>34</v>
      </c>
      <c r="C157" s="136" t="s">
        <v>34</v>
      </c>
      <c r="D157" s="136" t="s">
        <v>34</v>
      </c>
      <c r="E157" s="136" t="s">
        <v>34</v>
      </c>
      <c r="F157" s="137" t="s">
        <v>34</v>
      </c>
      <c r="G157" s="138">
        <v>8808</v>
      </c>
      <c r="H157" s="139">
        <v>8808</v>
      </c>
      <c r="I157" s="53"/>
      <c r="J157" s="50"/>
      <c r="K157" s="49"/>
      <c r="L157"/>
      <c r="M157"/>
    </row>
    <row r="158" spans="2:13" ht="17.25" customHeight="1">
      <c r="B158" s="136" t="s">
        <v>50</v>
      </c>
      <c r="C158" s="136" t="s">
        <v>50</v>
      </c>
      <c r="D158" s="136" t="s">
        <v>50</v>
      </c>
      <c r="E158" s="136" t="s">
        <v>50</v>
      </c>
      <c r="F158" s="137" t="s">
        <v>50</v>
      </c>
      <c r="G158" s="138">
        <v>5593</v>
      </c>
      <c r="H158" s="139">
        <v>5593</v>
      </c>
      <c r="I158" s="53"/>
      <c r="J158" s="50"/>
      <c r="K158" s="49"/>
      <c r="L158"/>
      <c r="M158"/>
    </row>
    <row r="159" spans="2:13" ht="17.25" customHeight="1">
      <c r="B159" s="136" t="s">
        <v>54</v>
      </c>
      <c r="C159" s="136" t="s">
        <v>54</v>
      </c>
      <c r="D159" s="136" t="s">
        <v>54</v>
      </c>
      <c r="E159" s="136" t="s">
        <v>54</v>
      </c>
      <c r="F159" s="137" t="s">
        <v>54</v>
      </c>
      <c r="G159" s="138">
        <v>3847</v>
      </c>
      <c r="H159" s="139">
        <v>3847</v>
      </c>
      <c r="I159" s="54"/>
      <c r="J159" s="50"/>
      <c r="K159" s="49"/>
      <c r="L159"/>
      <c r="M159"/>
    </row>
    <row r="160" spans="2:13" ht="17.25" customHeight="1">
      <c r="B160" s="136" t="s">
        <v>36</v>
      </c>
      <c r="C160" s="136" t="s">
        <v>36</v>
      </c>
      <c r="D160" s="136" t="s">
        <v>36</v>
      </c>
      <c r="E160" s="136" t="s">
        <v>36</v>
      </c>
      <c r="F160" s="137" t="s">
        <v>36</v>
      </c>
      <c r="G160" s="138">
        <v>2608</v>
      </c>
      <c r="H160" s="139">
        <v>2608</v>
      </c>
      <c r="I160" s="53"/>
      <c r="J160" s="50"/>
      <c r="K160" s="49"/>
      <c r="L160"/>
      <c r="M160"/>
    </row>
    <row r="161" spans="2:13" ht="17.25" customHeight="1">
      <c r="B161" s="136" t="s">
        <v>55</v>
      </c>
      <c r="C161" s="136" t="s">
        <v>55</v>
      </c>
      <c r="D161" s="136" t="s">
        <v>55</v>
      </c>
      <c r="E161" s="136" t="s">
        <v>55</v>
      </c>
      <c r="F161" s="137" t="s">
        <v>55</v>
      </c>
      <c r="G161" s="138">
        <v>1869</v>
      </c>
      <c r="H161" s="139">
        <v>1869</v>
      </c>
      <c r="I161" s="53"/>
      <c r="J161" s="50"/>
      <c r="K161" s="49"/>
      <c r="L161"/>
      <c r="M161"/>
    </row>
    <row r="162" spans="2:13" ht="17.25" customHeight="1">
      <c r="B162" s="136" t="s">
        <v>38</v>
      </c>
      <c r="C162" s="136" t="s">
        <v>38</v>
      </c>
      <c r="D162" s="136" t="s">
        <v>38</v>
      </c>
      <c r="E162" s="136" t="s">
        <v>38</v>
      </c>
      <c r="F162" s="137" t="s">
        <v>38</v>
      </c>
      <c r="G162" s="138">
        <v>1223</v>
      </c>
      <c r="H162" s="139">
        <v>1223</v>
      </c>
      <c r="I162" s="53"/>
      <c r="J162" s="50"/>
      <c r="K162" s="49"/>
      <c r="L162"/>
      <c r="M162"/>
    </row>
    <row r="163" spans="2:13" ht="18" customHeight="1" thickBot="1">
      <c r="B163" s="132" t="s">
        <v>37</v>
      </c>
      <c r="C163" s="132" t="s">
        <v>37</v>
      </c>
      <c r="D163" s="132" t="s">
        <v>37</v>
      </c>
      <c r="E163" s="132" t="s">
        <v>37</v>
      </c>
      <c r="F163" s="133" t="s">
        <v>37</v>
      </c>
      <c r="G163" s="134">
        <v>1175</v>
      </c>
      <c r="H163" s="135">
        <v>1175</v>
      </c>
      <c r="I163" s="53"/>
      <c r="J163" s="50"/>
      <c r="K163" s="49"/>
      <c r="L163"/>
      <c r="M163"/>
    </row>
    <row r="164" spans="2:13" ht="17.25">
      <c r="B164" s="40"/>
      <c r="C164" s="40"/>
      <c r="D164" s="40"/>
      <c r="E164" s="40"/>
      <c r="F164" s="40"/>
      <c r="G164" s="93"/>
      <c r="H164" s="93"/>
      <c r="I164" s="52"/>
      <c r="J164" s="52"/>
      <c r="L164"/>
      <c r="M164"/>
    </row>
    <row r="165" spans="2:13" ht="17.25">
      <c r="G165" s="41"/>
      <c r="H165" s="41"/>
      <c r="I165" s="2"/>
      <c r="J165" s="2"/>
    </row>
    <row r="166" spans="2:13" ht="17.25">
      <c r="B166" s="87" t="s">
        <v>8</v>
      </c>
      <c r="C166" s="38"/>
      <c r="D166" s="38"/>
      <c r="E166" s="38"/>
      <c r="F166" s="38"/>
      <c r="G166" s="38"/>
      <c r="H166" s="39" t="s">
        <v>14</v>
      </c>
      <c r="I166" s="2"/>
      <c r="J166" s="52"/>
      <c r="K166"/>
    </row>
    <row r="167" spans="2:13" ht="18" thickBot="1">
      <c r="B167" s="88" t="s">
        <v>30</v>
      </c>
      <c r="C167" s="38"/>
      <c r="D167" s="38"/>
      <c r="E167" s="38"/>
      <c r="F167" s="38"/>
      <c r="G167" s="38"/>
      <c r="H167" s="39"/>
      <c r="I167" s="2"/>
      <c r="J167" s="52"/>
      <c r="K167"/>
    </row>
    <row r="168" spans="2:13" ht="15" customHeight="1" thickBot="1">
      <c r="B168" s="107" t="s">
        <v>19</v>
      </c>
      <c r="C168" s="107"/>
      <c r="D168" s="107"/>
      <c r="E168" s="107"/>
      <c r="F168" s="108"/>
      <c r="G168" s="144" t="s">
        <v>9</v>
      </c>
      <c r="H168" s="144"/>
      <c r="I168" s="2"/>
      <c r="J168" s="2"/>
    </row>
    <row r="169" spans="2:13" ht="17.25" customHeight="1">
      <c r="B169" s="140" t="s">
        <v>50</v>
      </c>
      <c r="C169" s="140" t="s">
        <v>50</v>
      </c>
      <c r="D169" s="140" t="s">
        <v>50</v>
      </c>
      <c r="E169" s="140" t="s">
        <v>50</v>
      </c>
      <c r="F169" s="141" t="s">
        <v>50</v>
      </c>
      <c r="G169" s="142">
        <v>1838546721556.51</v>
      </c>
      <c r="H169" s="143">
        <v>1838546721556.51</v>
      </c>
      <c r="I169" s="55"/>
      <c r="J169" s="56"/>
    </row>
    <row r="170" spans="2:13" ht="17.25" customHeight="1">
      <c r="B170" s="136" t="s">
        <v>49</v>
      </c>
      <c r="C170" s="136" t="s">
        <v>49</v>
      </c>
      <c r="D170" s="136" t="s">
        <v>49</v>
      </c>
      <c r="E170" s="136" t="s">
        <v>49</v>
      </c>
      <c r="F170" s="137" t="s">
        <v>49</v>
      </c>
      <c r="G170" s="138">
        <v>1321811417907.29</v>
      </c>
      <c r="H170" s="139">
        <v>1321811417907.29</v>
      </c>
      <c r="I170" s="55"/>
      <c r="J170" s="56"/>
    </row>
    <row r="171" spans="2:13" ht="17.25" customHeight="1">
      <c r="B171" s="136" t="s">
        <v>34</v>
      </c>
      <c r="C171" s="136" t="s">
        <v>34</v>
      </c>
      <c r="D171" s="136" t="s">
        <v>34</v>
      </c>
      <c r="E171" s="136" t="s">
        <v>34</v>
      </c>
      <c r="F171" s="137" t="s">
        <v>34</v>
      </c>
      <c r="G171" s="138">
        <v>1104402175800.71</v>
      </c>
      <c r="H171" s="139">
        <v>1104402175800.71</v>
      </c>
      <c r="I171" s="55"/>
      <c r="J171" s="56"/>
    </row>
    <row r="172" spans="2:13" ht="17.25" customHeight="1">
      <c r="B172" s="136" t="s">
        <v>32</v>
      </c>
      <c r="C172" s="136" t="s">
        <v>32</v>
      </c>
      <c r="D172" s="136" t="s">
        <v>32</v>
      </c>
      <c r="E172" s="136" t="s">
        <v>32</v>
      </c>
      <c r="F172" s="137" t="s">
        <v>32</v>
      </c>
      <c r="G172" s="138">
        <v>634871362156.08997</v>
      </c>
      <c r="H172" s="139">
        <v>634871362156.08997</v>
      </c>
      <c r="I172" s="55"/>
      <c r="J172" s="56"/>
    </row>
    <row r="173" spans="2:13" ht="17.25" customHeight="1">
      <c r="B173" s="136" t="s">
        <v>43</v>
      </c>
      <c r="C173" s="136" t="s">
        <v>43</v>
      </c>
      <c r="D173" s="136" t="s">
        <v>43</v>
      </c>
      <c r="E173" s="136" t="s">
        <v>43</v>
      </c>
      <c r="F173" s="137" t="s">
        <v>43</v>
      </c>
      <c r="G173" s="138">
        <v>359511817485.65002</v>
      </c>
      <c r="H173" s="139">
        <v>359511817485.65002</v>
      </c>
      <c r="I173" s="57"/>
      <c r="J173" s="50"/>
    </row>
    <row r="174" spans="2:13" ht="17.25" customHeight="1">
      <c r="B174" s="136" t="s">
        <v>42</v>
      </c>
      <c r="C174" s="136" t="s">
        <v>42</v>
      </c>
      <c r="D174" s="136" t="s">
        <v>42</v>
      </c>
      <c r="E174" s="136" t="s">
        <v>42</v>
      </c>
      <c r="F174" s="137" t="s">
        <v>42</v>
      </c>
      <c r="G174" s="138">
        <v>356863268041.16998</v>
      </c>
      <c r="H174" s="139">
        <v>356863268041.16998</v>
      </c>
      <c r="I174" s="55"/>
      <c r="J174" s="56"/>
    </row>
    <row r="175" spans="2:13" ht="17.25" customHeight="1">
      <c r="B175" s="136" t="s">
        <v>57</v>
      </c>
      <c r="C175" s="136" t="s">
        <v>57</v>
      </c>
      <c r="D175" s="136" t="s">
        <v>57</v>
      </c>
      <c r="E175" s="136" t="s">
        <v>57</v>
      </c>
      <c r="F175" s="137" t="s">
        <v>57</v>
      </c>
      <c r="G175" s="138">
        <v>297964146074.09998</v>
      </c>
      <c r="H175" s="139">
        <v>297964146074.09998</v>
      </c>
      <c r="I175" s="55"/>
      <c r="J175" s="56"/>
    </row>
    <row r="176" spans="2:13" ht="17.25" customHeight="1">
      <c r="B176" s="136" t="s">
        <v>53</v>
      </c>
      <c r="C176" s="136" t="s">
        <v>53</v>
      </c>
      <c r="D176" s="136" t="s">
        <v>53</v>
      </c>
      <c r="E176" s="136" t="s">
        <v>53</v>
      </c>
      <c r="F176" s="137" t="s">
        <v>53</v>
      </c>
      <c r="G176" s="138">
        <v>248718423432.81</v>
      </c>
      <c r="H176" s="139">
        <v>248718423432.81</v>
      </c>
      <c r="I176" s="55"/>
      <c r="J176" s="56"/>
    </row>
    <row r="177" spans="2:10" ht="17.25" customHeight="1">
      <c r="B177" s="136" t="s">
        <v>58</v>
      </c>
      <c r="C177" s="136" t="s">
        <v>58</v>
      </c>
      <c r="D177" s="136" t="s">
        <v>58</v>
      </c>
      <c r="E177" s="136" t="s">
        <v>58</v>
      </c>
      <c r="F177" s="137" t="s">
        <v>58</v>
      </c>
      <c r="G177" s="138">
        <v>148521756215.69</v>
      </c>
      <c r="H177" s="139">
        <v>148521756215.69</v>
      </c>
      <c r="I177" s="55"/>
      <c r="J177" s="56"/>
    </row>
    <row r="178" spans="2:10" ht="18" customHeight="1" thickBot="1">
      <c r="B178" s="132" t="s">
        <v>36</v>
      </c>
      <c r="C178" s="132" t="s">
        <v>36</v>
      </c>
      <c r="D178" s="132" t="s">
        <v>36</v>
      </c>
      <c r="E178" s="132" t="s">
        <v>36</v>
      </c>
      <c r="F178" s="133" t="s">
        <v>36</v>
      </c>
      <c r="G178" s="134">
        <v>123413690601.5</v>
      </c>
      <c r="H178" s="135">
        <v>123413690601.5</v>
      </c>
      <c r="I178" s="55"/>
      <c r="J178" s="56"/>
    </row>
    <row r="179" spans="2:10" ht="17.25">
      <c r="G179" s="41"/>
      <c r="H179" s="41"/>
      <c r="J179" s="48"/>
    </row>
    <row r="180" spans="2:10">
      <c r="B180" s="58"/>
      <c r="J180" s="48"/>
    </row>
  </sheetData>
  <dataConsolidate link="1"/>
  <mergeCells count="100">
    <mergeCell ref="B2:H2"/>
    <mergeCell ref="B3:H3"/>
    <mergeCell ref="I3:N3"/>
    <mergeCell ref="B11:D11"/>
    <mergeCell ref="B12:D12"/>
    <mergeCell ref="B13:D13"/>
    <mergeCell ref="B24:D24"/>
    <mergeCell ref="B25:D25"/>
    <mergeCell ref="B26:D26"/>
    <mergeCell ref="B27:D27"/>
    <mergeCell ref="B28:D28"/>
    <mergeCell ref="B33:D33"/>
    <mergeCell ref="B14:D14"/>
    <mergeCell ref="B15:D15"/>
    <mergeCell ref="B16:D16"/>
    <mergeCell ref="B17:D17"/>
    <mergeCell ref="B22:D22"/>
    <mergeCell ref="B23:D23"/>
    <mergeCell ref="H48:I48"/>
    <mergeCell ref="B49:D49"/>
    <mergeCell ref="B50:D50"/>
    <mergeCell ref="B51:D51"/>
    <mergeCell ref="B52:D52"/>
    <mergeCell ref="B53:D53"/>
    <mergeCell ref="B34:D34"/>
    <mergeCell ref="B35:D35"/>
    <mergeCell ref="B36:D36"/>
    <mergeCell ref="B37:D37"/>
    <mergeCell ref="B38:D38"/>
    <mergeCell ref="B39:D39"/>
    <mergeCell ref="B54:D54"/>
    <mergeCell ref="B128:F128"/>
    <mergeCell ref="G128:H128"/>
    <mergeCell ref="B143:F143"/>
    <mergeCell ref="G143:H143"/>
    <mergeCell ref="B129:F129"/>
    <mergeCell ref="G129:H129"/>
    <mergeCell ref="B138:F138"/>
    <mergeCell ref="G138:H138"/>
    <mergeCell ref="B139:F139"/>
    <mergeCell ref="G139:H139"/>
    <mergeCell ref="B144:F144"/>
    <mergeCell ref="G144:H144"/>
    <mergeCell ref="B145:F145"/>
    <mergeCell ref="G145:H145"/>
    <mergeCell ref="B140:F140"/>
    <mergeCell ref="G140:H140"/>
    <mergeCell ref="B141:F141"/>
    <mergeCell ref="G141:H141"/>
    <mergeCell ref="B142:F142"/>
    <mergeCell ref="G142:H142"/>
    <mergeCell ref="B153:F153"/>
    <mergeCell ref="G153:H153"/>
    <mergeCell ref="B154:F154"/>
    <mergeCell ref="G154:H154"/>
    <mergeCell ref="B155:F155"/>
    <mergeCell ref="G155:H155"/>
    <mergeCell ref="B146:F146"/>
    <mergeCell ref="G146:H146"/>
    <mergeCell ref="B147:F147"/>
    <mergeCell ref="G147:H147"/>
    <mergeCell ref="B148:F148"/>
    <mergeCell ref="G148:H148"/>
    <mergeCell ref="B159:F159"/>
    <mergeCell ref="G159:H159"/>
    <mergeCell ref="B160:F160"/>
    <mergeCell ref="G160:H160"/>
    <mergeCell ref="B161:F161"/>
    <mergeCell ref="G161:H161"/>
    <mergeCell ref="B156:F156"/>
    <mergeCell ref="G156:H156"/>
    <mergeCell ref="B157:F157"/>
    <mergeCell ref="G157:H157"/>
    <mergeCell ref="B158:F158"/>
    <mergeCell ref="G158:H158"/>
    <mergeCell ref="B162:F162"/>
    <mergeCell ref="G162:H162"/>
    <mergeCell ref="B163:F163"/>
    <mergeCell ref="G163:H163"/>
    <mergeCell ref="G168:H168"/>
    <mergeCell ref="B169:F169"/>
    <mergeCell ref="G169:H169"/>
    <mergeCell ref="B176:F176"/>
    <mergeCell ref="G176:H176"/>
    <mergeCell ref="B177:F177"/>
    <mergeCell ref="G177:H177"/>
    <mergeCell ref="B170:F170"/>
    <mergeCell ref="G170:H170"/>
    <mergeCell ref="B171:F171"/>
    <mergeCell ref="G171:H171"/>
    <mergeCell ref="B172:F172"/>
    <mergeCell ref="G172:H172"/>
    <mergeCell ref="B178:F178"/>
    <mergeCell ref="G178:H178"/>
    <mergeCell ref="B173:F173"/>
    <mergeCell ref="G173:H173"/>
    <mergeCell ref="B174:F174"/>
    <mergeCell ref="G174:H174"/>
    <mergeCell ref="B175:F175"/>
    <mergeCell ref="G175:H175"/>
  </mergeCells>
  <pageMargins left="0.70866141732283472" right="0.70866141732283472" top="0.15748031496062992" bottom="0.15748031496062992" header="0.31496062992125984" footer="0.11811023622047245"/>
  <pageSetup paperSize="9" scale="47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49" max="16383" man="1"/>
    <brk id="192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43361">
          <objectPr defaultSize="0" autoPict="0" dde="1">
            <anchor moveWithCells="1">
              <from>
                <xdr:col>0</xdr:col>
                <xdr:colOff>123825</xdr:colOff>
                <xdr:row>72</xdr:row>
                <xdr:rowOff>123825</xdr:rowOff>
              </from>
              <to>
                <xdr:col>1</xdr:col>
                <xdr:colOff>257175</xdr:colOff>
                <xdr:row>74</xdr:row>
                <xdr:rowOff>0</xdr:rowOff>
              </to>
            </anchor>
          </objectPr>
        </oleObject>
      </mc:Choice>
      <mc:Fallback>
        <oleObject link="[1]!'!Январь2012!R1C2:R10C9'" oleUpdate="OLEUPDATE_ALWAYS" shapeId="143361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02">
    <pageSetUpPr fitToPage="1"/>
  </sheetPr>
  <dimension ref="B2:N180"/>
  <sheetViews>
    <sheetView workbookViewId="0"/>
  </sheetViews>
  <sheetFormatPr defaultRowHeight="13.5"/>
  <cols>
    <col min="1" max="1" width="3.42578125" style="75" customWidth="1"/>
    <col min="2" max="2" width="46.7109375" style="75" customWidth="1"/>
    <col min="3" max="4" width="18.42578125" style="75" customWidth="1"/>
    <col min="5" max="9" width="25.5703125" style="75" customWidth="1"/>
    <col min="10" max="10" width="10.5703125" style="75" customWidth="1"/>
    <col min="11" max="11" width="14.85546875" style="75" bestFit="1" customWidth="1"/>
    <col min="12" max="12" width="9.140625" style="75"/>
    <col min="13" max="13" width="23.42578125" style="75" customWidth="1"/>
    <col min="14" max="16384" width="9.140625" style="75"/>
  </cols>
  <sheetData>
    <row r="2" spans="2:14" s="1" customFormat="1" ht="20.25">
      <c r="B2" s="183" t="s">
        <v>15</v>
      </c>
      <c r="C2" s="183"/>
      <c r="D2" s="183"/>
      <c r="E2" s="183"/>
      <c r="F2" s="183"/>
      <c r="G2" s="183"/>
      <c r="H2" s="183"/>
    </row>
    <row r="3" spans="2:14" s="1" customFormat="1" ht="21" thickBot="1">
      <c r="B3" s="184">
        <v>42216</v>
      </c>
      <c r="C3" s="184"/>
      <c r="D3" s="184"/>
      <c r="E3" s="184"/>
      <c r="F3" s="184"/>
      <c r="G3" s="184"/>
      <c r="H3" s="184"/>
      <c r="I3" s="184"/>
      <c r="J3" s="184"/>
      <c r="K3" s="184"/>
      <c r="L3" s="184"/>
      <c r="M3" s="184"/>
      <c r="N3" s="184"/>
    </row>
    <row r="4" spans="2:14" s="1" customFormat="1" ht="18" thickTop="1"/>
    <row r="5" spans="2:14" s="1" customFormat="1" ht="17.25">
      <c r="B5" s="17"/>
      <c r="C5" s="17"/>
      <c r="D5" s="17"/>
      <c r="E5" s="17"/>
      <c r="F5" s="17"/>
      <c r="G5" s="17"/>
      <c r="H5" s="17"/>
    </row>
    <row r="6" spans="2:14" s="1" customFormat="1" ht="17.25">
      <c r="B6" s="18" t="s">
        <v>20</v>
      </c>
      <c r="C6" s="68">
        <f>B3</f>
        <v>42216</v>
      </c>
      <c r="D6" s="17"/>
      <c r="E6" s="17"/>
      <c r="F6" s="17"/>
      <c r="G6" s="17"/>
      <c r="H6" s="17"/>
    </row>
    <row r="7" spans="2:14" s="1" customFormat="1" ht="18" thickBot="1">
      <c r="B7" s="21"/>
      <c r="C7" s="21"/>
      <c r="D7" s="21"/>
      <c r="E7" s="21"/>
      <c r="F7" s="21"/>
      <c r="G7" s="21"/>
      <c r="H7" s="21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3" t="s">
        <v>44</v>
      </c>
      <c r="C10" s="14"/>
      <c r="D10" s="14"/>
      <c r="E10" s="14"/>
      <c r="F10" s="14"/>
      <c r="G10" s="14"/>
      <c r="H10" s="15" t="s">
        <v>13</v>
      </c>
    </row>
    <row r="11" spans="2:14" s="46" customFormat="1" ht="15.75" thickBot="1">
      <c r="B11" s="179" t="s">
        <v>18</v>
      </c>
      <c r="C11" s="179"/>
      <c r="D11" s="180"/>
      <c r="E11" s="73">
        <v>42185</v>
      </c>
      <c r="F11" s="73">
        <f>EDATE(E11,1)</f>
        <v>42215</v>
      </c>
      <c r="G11" s="45" t="s">
        <v>10</v>
      </c>
      <c r="H11" s="45" t="s">
        <v>11</v>
      </c>
      <c r="J11" s="77"/>
    </row>
    <row r="12" spans="2:14" s="76" customFormat="1" ht="17.25">
      <c r="B12" s="181" t="s">
        <v>0</v>
      </c>
      <c r="C12" s="181"/>
      <c r="D12" s="182"/>
      <c r="E12" s="78">
        <f>Июнь2015!F12</f>
        <v>1219694</v>
      </c>
      <c r="F12" s="84">
        <v>1220929</v>
      </c>
      <c r="G12" s="11">
        <f>F12-E12</f>
        <v>1235</v>
      </c>
      <c r="H12" s="59">
        <f t="shared" ref="H12:H18" si="0">F12/E12-1</f>
        <v>1.0125490491876832E-3</v>
      </c>
      <c r="I12" s="85"/>
      <c r="J12" s="86"/>
    </row>
    <row r="13" spans="2:14" s="76" customFormat="1" ht="17.25">
      <c r="B13" s="177" t="s">
        <v>1</v>
      </c>
      <c r="C13" s="177"/>
      <c r="D13" s="178"/>
      <c r="E13" s="78">
        <f>Июнь2015!F13</f>
        <v>35729</v>
      </c>
      <c r="F13" s="84">
        <v>35988</v>
      </c>
      <c r="G13" s="11">
        <f t="shared" ref="G13:G18" si="1">F13-E13</f>
        <v>259</v>
      </c>
      <c r="H13" s="59">
        <f t="shared" si="0"/>
        <v>7.2490134064764344E-3</v>
      </c>
      <c r="I13" s="85"/>
      <c r="J13" s="86"/>
    </row>
    <row r="14" spans="2:14" s="76" customFormat="1" ht="17.25">
      <c r="B14" s="177" t="s">
        <v>2</v>
      </c>
      <c r="C14" s="177"/>
      <c r="D14" s="178"/>
      <c r="E14" s="78">
        <f>Июнь2015!F14</f>
        <v>13228</v>
      </c>
      <c r="F14" s="84">
        <v>16162</v>
      </c>
      <c r="G14" s="11">
        <f t="shared" si="1"/>
        <v>2934</v>
      </c>
      <c r="H14" s="59">
        <f t="shared" si="0"/>
        <v>0.22180223767765339</v>
      </c>
      <c r="I14" s="85"/>
      <c r="J14" s="86"/>
    </row>
    <row r="15" spans="2:14" s="76" customFormat="1" ht="17.25">
      <c r="B15" s="162" t="s">
        <v>23</v>
      </c>
      <c r="C15" s="162"/>
      <c r="D15" s="163"/>
      <c r="E15" s="78">
        <f>Июнь2015!F15</f>
        <v>3836</v>
      </c>
      <c r="F15" s="84">
        <v>4321</v>
      </c>
      <c r="G15" s="11">
        <f t="shared" si="1"/>
        <v>485</v>
      </c>
      <c r="H15" s="59">
        <f t="shared" si="0"/>
        <v>0.12643378519290938</v>
      </c>
      <c r="I15" s="85"/>
      <c r="J15" s="86"/>
    </row>
    <row r="16" spans="2:14" s="76" customFormat="1" ht="17.25">
      <c r="B16" s="164" t="s">
        <v>24</v>
      </c>
      <c r="C16" s="164"/>
      <c r="D16" s="165"/>
      <c r="E16" s="78">
        <f>Июнь2015!F16</f>
        <v>9392</v>
      </c>
      <c r="F16" s="84">
        <v>11841</v>
      </c>
      <c r="G16" s="11">
        <f t="shared" si="1"/>
        <v>2449</v>
      </c>
      <c r="H16" s="59">
        <f t="shared" si="0"/>
        <v>0.26075383304940369</v>
      </c>
      <c r="I16" s="85"/>
      <c r="J16" s="86"/>
    </row>
    <row r="17" spans="2:10" s="76" customFormat="1" ht="18" customHeight="1" thickBot="1">
      <c r="B17" s="175" t="s">
        <v>3</v>
      </c>
      <c r="C17" s="175"/>
      <c r="D17" s="176"/>
      <c r="E17" s="78">
        <f>Июнь2015!F17</f>
        <v>15002</v>
      </c>
      <c r="F17" s="84">
        <v>15591</v>
      </c>
      <c r="G17" s="11">
        <f t="shared" si="1"/>
        <v>589</v>
      </c>
      <c r="H17" s="59">
        <f t="shared" si="0"/>
        <v>3.9261431809092029E-2</v>
      </c>
      <c r="I17" s="85"/>
      <c r="J17" s="86"/>
    </row>
    <row r="18" spans="2:10" s="70" customFormat="1" ht="18" thickBot="1">
      <c r="B18" s="60" t="s">
        <v>4</v>
      </c>
      <c r="C18" s="60"/>
      <c r="D18" s="61"/>
      <c r="E18" s="72">
        <f>Июнь2015!F18</f>
        <v>1283653</v>
      </c>
      <c r="F18" s="72">
        <v>1288670</v>
      </c>
      <c r="G18" s="72">
        <f t="shared" si="1"/>
        <v>5017</v>
      </c>
      <c r="H18" s="69">
        <f t="shared" si="0"/>
        <v>3.9083771081436236E-3</v>
      </c>
      <c r="I18" s="85"/>
      <c r="J18" s="86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3" t="s">
        <v>45</v>
      </c>
      <c r="C21" s="14"/>
      <c r="D21" s="14"/>
      <c r="E21" s="14"/>
      <c r="F21" s="14"/>
      <c r="G21" s="14"/>
      <c r="H21" s="15" t="s">
        <v>12</v>
      </c>
    </row>
    <row r="22" spans="2:10" s="76" customFormat="1" ht="15.75" thickBot="1">
      <c r="B22" s="179" t="s">
        <v>18</v>
      </c>
      <c r="C22" s="179"/>
      <c r="D22" s="180"/>
      <c r="E22" s="73">
        <f>E11</f>
        <v>42185</v>
      </c>
      <c r="F22" s="73">
        <f>F11</f>
        <v>42215</v>
      </c>
      <c r="G22" s="45" t="s">
        <v>10</v>
      </c>
      <c r="H22" s="45" t="s">
        <v>11</v>
      </c>
      <c r="J22" s="77"/>
    </row>
    <row r="23" spans="2:10" s="76" customFormat="1" ht="17.25">
      <c r="B23" s="181" t="s">
        <v>0</v>
      </c>
      <c r="C23" s="181"/>
      <c r="D23" s="182"/>
      <c r="E23" s="78">
        <f>Июнь2015!F23</f>
        <v>980206</v>
      </c>
      <c r="F23" s="84">
        <v>984614</v>
      </c>
      <c r="G23" s="11">
        <f>F23-E23</f>
        <v>4408</v>
      </c>
      <c r="H23" s="59">
        <f>F23/E23-1</f>
        <v>4.4970138929980585E-3</v>
      </c>
      <c r="I23" s="86"/>
    </row>
    <row r="24" spans="2:10" s="76" customFormat="1" ht="17.25">
      <c r="B24" s="177" t="s">
        <v>1</v>
      </c>
      <c r="C24" s="177"/>
      <c r="D24" s="178"/>
      <c r="E24" s="78">
        <f>Июнь2015!F24</f>
        <v>20872</v>
      </c>
      <c r="F24" s="84">
        <v>20904</v>
      </c>
      <c r="G24" s="11">
        <f t="shared" ref="G24:G29" si="2">F24-E24</f>
        <v>32</v>
      </c>
      <c r="H24" s="59">
        <f t="shared" ref="H24:H29" si="3">F24/E24-1</f>
        <v>1.5331544653123252E-3</v>
      </c>
      <c r="I24" s="86"/>
    </row>
    <row r="25" spans="2:10" s="76" customFormat="1" ht="17.25">
      <c r="B25" s="177" t="s">
        <v>2</v>
      </c>
      <c r="C25" s="177"/>
      <c r="D25" s="178"/>
      <c r="E25" s="78">
        <f>Июнь2015!F25</f>
        <v>8385</v>
      </c>
      <c r="F25" s="84">
        <v>8823</v>
      </c>
      <c r="G25" s="11">
        <f t="shared" si="2"/>
        <v>438</v>
      </c>
      <c r="H25" s="59">
        <f t="shared" si="3"/>
        <v>5.2236135957066221E-2</v>
      </c>
      <c r="I25" s="86"/>
    </row>
    <row r="26" spans="2:10" s="76" customFormat="1" ht="17.25">
      <c r="B26" s="162" t="s">
        <v>23</v>
      </c>
      <c r="C26" s="162"/>
      <c r="D26" s="163"/>
      <c r="E26" s="78">
        <f>Июнь2015!F26</f>
        <v>3652</v>
      </c>
      <c r="F26" s="84">
        <v>3897</v>
      </c>
      <c r="G26" s="11">
        <f t="shared" si="2"/>
        <v>245</v>
      </c>
      <c r="H26" s="59">
        <f t="shared" si="3"/>
        <v>6.708652792990133E-2</v>
      </c>
      <c r="I26" s="86"/>
    </row>
    <row r="27" spans="2:10" s="76" customFormat="1" ht="17.25">
      <c r="B27" s="164" t="s">
        <v>24</v>
      </c>
      <c r="C27" s="164"/>
      <c r="D27" s="165"/>
      <c r="E27" s="78">
        <f>Июнь2015!F27</f>
        <v>4733</v>
      </c>
      <c r="F27" s="84">
        <v>4926</v>
      </c>
      <c r="G27" s="11">
        <f t="shared" si="2"/>
        <v>193</v>
      </c>
      <c r="H27" s="59">
        <f t="shared" si="3"/>
        <v>4.0777519543629737E-2</v>
      </c>
      <c r="I27" s="86"/>
    </row>
    <row r="28" spans="2:10" s="76" customFormat="1" ht="18" thickBot="1">
      <c r="B28" s="175" t="s">
        <v>3</v>
      </c>
      <c r="C28" s="175"/>
      <c r="D28" s="176"/>
      <c r="E28" s="78">
        <f>Июнь2015!F28</f>
        <v>4856</v>
      </c>
      <c r="F28" s="84">
        <v>4715</v>
      </c>
      <c r="G28" s="11">
        <f t="shared" si="2"/>
        <v>-141</v>
      </c>
      <c r="H28" s="59">
        <f t="shared" si="3"/>
        <v>-2.9036243822075813E-2</v>
      </c>
      <c r="I28" s="86"/>
    </row>
    <row r="29" spans="2:10" s="70" customFormat="1" ht="18" thickBot="1">
      <c r="B29" s="60" t="s">
        <v>4</v>
      </c>
      <c r="C29" s="60"/>
      <c r="D29" s="61"/>
      <c r="E29" s="72">
        <f>Июнь2015!F29</f>
        <v>1014319</v>
      </c>
      <c r="F29" s="72">
        <v>1019056</v>
      </c>
      <c r="G29" s="72">
        <f t="shared" si="2"/>
        <v>4737</v>
      </c>
      <c r="H29" s="69">
        <f t="shared" si="3"/>
        <v>4.6701284309964564E-3</v>
      </c>
      <c r="I29" s="86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3" t="s">
        <v>16</v>
      </c>
      <c r="C32" s="14"/>
      <c r="D32" s="14"/>
      <c r="E32" s="14"/>
      <c r="F32" s="14"/>
      <c r="G32" s="14"/>
      <c r="H32" s="15" t="s">
        <v>14</v>
      </c>
    </row>
    <row r="33" spans="2:9" ht="15.75" thickBot="1">
      <c r="B33" s="145" t="s">
        <v>18</v>
      </c>
      <c r="C33" s="145"/>
      <c r="D33" s="146"/>
      <c r="E33" s="73">
        <f>E11</f>
        <v>42185</v>
      </c>
      <c r="F33" s="73">
        <f>F11</f>
        <v>42215</v>
      </c>
      <c r="G33" s="16" t="s">
        <v>10</v>
      </c>
      <c r="H33" s="16" t="s">
        <v>11</v>
      </c>
    </row>
    <row r="34" spans="2:9" ht="17.25">
      <c r="B34" s="160" t="s">
        <v>0</v>
      </c>
      <c r="C34" s="160"/>
      <c r="D34" s="161"/>
      <c r="E34" s="78">
        <f>Июнь2015!F34</f>
        <v>62599</v>
      </c>
      <c r="F34" s="78">
        <v>66054</v>
      </c>
      <c r="G34" s="11">
        <f t="shared" ref="G34:G40" si="4">F34-E34</f>
        <v>3455</v>
      </c>
      <c r="H34" s="59">
        <f t="shared" ref="H34:H40" si="5">F34/E34-1</f>
        <v>5.5192574961261398E-2</v>
      </c>
      <c r="I34" s="58"/>
    </row>
    <row r="35" spans="2:9" ht="17.25">
      <c r="B35" s="136" t="s">
        <v>1</v>
      </c>
      <c r="C35" s="136"/>
      <c r="D35" s="137"/>
      <c r="E35" s="78">
        <f>Июнь2015!F35</f>
        <v>1145</v>
      </c>
      <c r="F35" s="78">
        <v>1123</v>
      </c>
      <c r="G35" s="11">
        <f t="shared" si="4"/>
        <v>-22</v>
      </c>
      <c r="H35" s="59">
        <f t="shared" si="5"/>
        <v>-1.9213973799126594E-2</v>
      </c>
      <c r="I35" s="58"/>
    </row>
    <row r="36" spans="2:9" ht="17.25">
      <c r="B36" s="136" t="s">
        <v>2</v>
      </c>
      <c r="C36" s="136"/>
      <c r="D36" s="137"/>
      <c r="E36" s="78">
        <f>Июнь2015!F36</f>
        <v>578</v>
      </c>
      <c r="F36" s="78">
        <v>619</v>
      </c>
      <c r="G36" s="11">
        <f t="shared" si="4"/>
        <v>41</v>
      </c>
      <c r="H36" s="59">
        <f t="shared" si="5"/>
        <v>7.0934256055363409E-2</v>
      </c>
      <c r="I36" s="58"/>
    </row>
    <row r="37" spans="2:9" ht="17.25">
      <c r="B37" s="162" t="s">
        <v>23</v>
      </c>
      <c r="C37" s="162"/>
      <c r="D37" s="163"/>
      <c r="E37" s="78">
        <f>Июнь2015!F37</f>
        <v>247</v>
      </c>
      <c r="F37" s="78">
        <v>284</v>
      </c>
      <c r="G37" s="11">
        <f t="shared" si="4"/>
        <v>37</v>
      </c>
      <c r="H37" s="59">
        <f t="shared" si="5"/>
        <v>0.1497975708502024</v>
      </c>
      <c r="I37" s="58"/>
    </row>
    <row r="38" spans="2:9" ht="17.25">
      <c r="B38" s="164" t="s">
        <v>24</v>
      </c>
      <c r="C38" s="164"/>
      <c r="D38" s="165"/>
      <c r="E38" s="78">
        <f>Июнь2015!F38</f>
        <v>331</v>
      </c>
      <c r="F38" s="78">
        <v>335</v>
      </c>
      <c r="G38" s="11">
        <f t="shared" si="4"/>
        <v>4</v>
      </c>
      <c r="H38" s="59">
        <f t="shared" si="5"/>
        <v>1.2084592145015005E-2</v>
      </c>
      <c r="I38" s="58"/>
    </row>
    <row r="39" spans="2:9" ht="18" thickBot="1">
      <c r="B39" s="166" t="s">
        <v>3</v>
      </c>
      <c r="C39" s="166"/>
      <c r="D39" s="167"/>
      <c r="E39" s="78">
        <f>Июнь2015!F39</f>
        <v>510</v>
      </c>
      <c r="F39" s="78">
        <v>524</v>
      </c>
      <c r="G39" s="11">
        <f t="shared" si="4"/>
        <v>14</v>
      </c>
      <c r="H39" s="59">
        <f t="shared" si="5"/>
        <v>2.7450980392156765E-2</v>
      </c>
      <c r="I39" s="58"/>
    </row>
    <row r="40" spans="2:9" s="70" customFormat="1" ht="18" thickBot="1">
      <c r="B40" s="60" t="s">
        <v>4</v>
      </c>
      <c r="C40" s="60"/>
      <c r="D40" s="61"/>
      <c r="E40" s="72">
        <f>Июнь2015!F40</f>
        <v>64832</v>
      </c>
      <c r="F40" s="72">
        <v>68320</v>
      </c>
      <c r="G40" s="72">
        <f t="shared" si="4"/>
        <v>3488</v>
      </c>
      <c r="H40" s="69">
        <f t="shared" si="5"/>
        <v>5.3800592300098815E-2</v>
      </c>
      <c r="I40" s="58"/>
    </row>
    <row r="41" spans="2:9" ht="15">
      <c r="B41" s="6"/>
      <c r="C41" s="6"/>
      <c r="D41" s="6"/>
      <c r="E41" s="42"/>
      <c r="F41" s="42"/>
      <c r="G41" s="43"/>
      <c r="H41" s="44"/>
    </row>
    <row r="42" spans="2:9" ht="15">
      <c r="B42" s="10"/>
      <c r="C42" s="2"/>
      <c r="D42" s="2"/>
      <c r="E42" s="2"/>
      <c r="F42" s="2"/>
      <c r="G42" s="2"/>
    </row>
    <row r="43" spans="2:9" ht="17.25">
      <c r="B43" s="19"/>
      <c r="C43" s="19"/>
      <c r="D43" s="19"/>
      <c r="E43" s="19"/>
      <c r="F43" s="19"/>
      <c r="G43" s="19"/>
      <c r="H43" s="19"/>
    </row>
    <row r="44" spans="2:9" ht="17.25">
      <c r="B44" s="20" t="s">
        <v>17</v>
      </c>
      <c r="C44" s="19"/>
      <c r="D44" s="19"/>
      <c r="E44" s="19"/>
      <c r="F44" s="19"/>
      <c r="G44" s="19"/>
      <c r="H44" s="19"/>
    </row>
    <row r="45" spans="2:9" ht="18" thickBot="1">
      <c r="B45" s="22"/>
      <c r="C45" s="22"/>
      <c r="D45" s="22"/>
      <c r="E45" s="22"/>
      <c r="F45" s="22"/>
      <c r="G45" s="22"/>
      <c r="H45" s="22"/>
    </row>
    <row r="47" spans="2:9">
      <c r="F47" s="5"/>
    </row>
    <row r="48" spans="2:9" ht="18" thickBot="1">
      <c r="B48" s="12" t="s">
        <v>46</v>
      </c>
      <c r="C48" s="23"/>
      <c r="D48" s="23"/>
      <c r="E48" s="23"/>
      <c r="F48" s="23"/>
      <c r="G48" s="23"/>
      <c r="H48" s="168" t="s">
        <v>13</v>
      </c>
      <c r="I48" s="168"/>
    </row>
    <row r="49" spans="2:9" ht="15.75" thickBot="1">
      <c r="B49" s="145" t="s">
        <v>18</v>
      </c>
      <c r="C49" s="145"/>
      <c r="D49" s="146"/>
      <c r="E49" s="73">
        <v>40543</v>
      </c>
      <c r="F49" s="73">
        <v>40908</v>
      </c>
      <c r="G49" s="73">
        <v>41274</v>
      </c>
      <c r="H49" s="73">
        <v>41639</v>
      </c>
      <c r="I49" s="73">
        <v>42004</v>
      </c>
    </row>
    <row r="50" spans="2:9" ht="17.25">
      <c r="B50" s="169" t="s">
        <v>0</v>
      </c>
      <c r="C50" s="169"/>
      <c r="D50" s="170"/>
      <c r="E50" s="80">
        <v>714295</v>
      </c>
      <c r="F50" s="80">
        <v>772175</v>
      </c>
      <c r="G50" s="80">
        <v>805549</v>
      </c>
      <c r="H50" s="80">
        <v>881844</v>
      </c>
      <c r="I50" s="80">
        <v>944559</v>
      </c>
    </row>
    <row r="51" spans="2:9" ht="17.25">
      <c r="B51" s="171" t="s">
        <v>1</v>
      </c>
      <c r="C51" s="171"/>
      <c r="D51" s="172"/>
      <c r="E51" s="81">
        <v>17170</v>
      </c>
      <c r="F51" s="81">
        <v>16850</v>
      </c>
      <c r="G51" s="81">
        <v>17821</v>
      </c>
      <c r="H51" s="81">
        <v>19539</v>
      </c>
      <c r="I51" s="81">
        <v>20178</v>
      </c>
    </row>
    <row r="52" spans="2:9" ht="17.25">
      <c r="B52" s="173" t="s">
        <v>2</v>
      </c>
      <c r="C52" s="173"/>
      <c r="D52" s="174"/>
      <c r="E52" s="83">
        <v>4295</v>
      </c>
      <c r="F52" s="83">
        <v>5058</v>
      </c>
      <c r="G52" s="83">
        <v>5876</v>
      </c>
      <c r="H52" s="83">
        <v>6957</v>
      </c>
      <c r="I52" s="83">
        <v>7486</v>
      </c>
    </row>
    <row r="53" spans="2:9" ht="18" thickBot="1">
      <c r="B53" s="158" t="s">
        <v>3</v>
      </c>
      <c r="C53" s="158"/>
      <c r="D53" s="159"/>
      <c r="E53" s="79">
        <v>5348</v>
      </c>
      <c r="F53" s="79">
        <v>5242</v>
      </c>
      <c r="G53" s="79">
        <v>5261</v>
      </c>
      <c r="H53" s="79">
        <v>5182</v>
      </c>
      <c r="I53" s="79">
        <v>5142</v>
      </c>
    </row>
    <row r="54" spans="2:9" s="71" customFormat="1" ht="18" thickBot="1">
      <c r="B54" s="147" t="s">
        <v>4</v>
      </c>
      <c r="C54" s="147"/>
      <c r="D54" s="148"/>
      <c r="E54" s="82">
        <v>741108</v>
      </c>
      <c r="F54" s="82">
        <v>799325</v>
      </c>
      <c r="G54" s="82">
        <v>834507</v>
      </c>
      <c r="H54" s="82">
        <v>913522</v>
      </c>
      <c r="I54" s="82">
        <v>977365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2" t="s">
        <v>47</v>
      </c>
      <c r="C82" s="23"/>
      <c r="D82" s="23"/>
      <c r="E82" s="23"/>
      <c r="F82" s="23"/>
      <c r="G82" s="23"/>
      <c r="H82" s="24" t="s">
        <v>12</v>
      </c>
      <c r="I82"/>
      <c r="J82"/>
      <c r="K82"/>
    </row>
    <row r="83" spans="2:11" ht="15.75" thickBot="1">
      <c r="B83" s="32" t="s">
        <v>18</v>
      </c>
      <c r="C83" s="73">
        <f>EDATE(D83,-1)</f>
        <v>42063</v>
      </c>
      <c r="D83" s="73">
        <f>EDATE(E83,-1)</f>
        <v>42093</v>
      </c>
      <c r="E83" s="73">
        <f>EDATE(F83,-1)</f>
        <v>42124</v>
      </c>
      <c r="F83" s="73">
        <f>EDATE(G83,-1)</f>
        <v>42154</v>
      </c>
      <c r="G83" s="73">
        <f>EDATE(H83,-1)</f>
        <v>42185</v>
      </c>
      <c r="H83" s="73">
        <f>EDATE(E11,1)</f>
        <v>42215</v>
      </c>
      <c r="I83"/>
      <c r="J83"/>
    </row>
    <row r="84" spans="2:11" ht="16.5" customHeight="1">
      <c r="B84" s="25" t="s">
        <v>0</v>
      </c>
      <c r="C84" s="80">
        <v>964598</v>
      </c>
      <c r="D84" s="80">
        <v>965577</v>
      </c>
      <c r="E84" s="80">
        <v>971876</v>
      </c>
      <c r="F84" s="80">
        <v>975467</v>
      </c>
      <c r="G84" s="80">
        <v>980206</v>
      </c>
      <c r="H84" s="80">
        <v>984614</v>
      </c>
    </row>
    <row r="85" spans="2:11" ht="16.5" customHeight="1">
      <c r="B85" s="26" t="s">
        <v>1</v>
      </c>
      <c r="C85" s="81">
        <v>20398</v>
      </c>
      <c r="D85" s="81">
        <v>20587</v>
      </c>
      <c r="E85" s="81">
        <v>20753</v>
      </c>
      <c r="F85" s="81">
        <v>20771</v>
      </c>
      <c r="G85" s="81">
        <v>20872</v>
      </c>
      <c r="H85" s="81">
        <v>20904</v>
      </c>
    </row>
    <row r="86" spans="2:11" ht="16.5" customHeight="1">
      <c r="B86" s="27" t="s">
        <v>2</v>
      </c>
      <c r="C86" s="83">
        <v>7683</v>
      </c>
      <c r="D86" s="83">
        <v>8231</v>
      </c>
      <c r="E86" s="83">
        <v>8355</v>
      </c>
      <c r="F86" s="83">
        <v>8400</v>
      </c>
      <c r="G86" s="83">
        <v>8385</v>
      </c>
      <c r="H86" s="83">
        <v>8823</v>
      </c>
    </row>
    <row r="87" spans="2:11" ht="16.5" customHeight="1" thickBot="1">
      <c r="B87" s="28" t="s">
        <v>3</v>
      </c>
      <c r="C87" s="79">
        <v>5023</v>
      </c>
      <c r="D87" s="79">
        <v>5043</v>
      </c>
      <c r="E87" s="79">
        <v>4971</v>
      </c>
      <c r="F87" s="79">
        <v>4915</v>
      </c>
      <c r="G87" s="79">
        <v>4856</v>
      </c>
      <c r="H87" s="79">
        <v>4715</v>
      </c>
    </row>
    <row r="88" spans="2:11" s="71" customFormat="1" ht="18" thickBot="1">
      <c r="B88" s="112" t="s">
        <v>4</v>
      </c>
      <c r="C88" s="82">
        <v>997702</v>
      </c>
      <c r="D88" s="82">
        <v>999438</v>
      </c>
      <c r="E88" s="82">
        <v>1005955</v>
      </c>
      <c r="F88" s="82">
        <v>1009553</v>
      </c>
      <c r="G88" s="82">
        <v>1014319</v>
      </c>
      <c r="H88" s="82">
        <v>1019056</v>
      </c>
      <c r="I88" s="58"/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29"/>
      <c r="C123" s="29"/>
      <c r="D123" s="29"/>
      <c r="E123" s="29"/>
      <c r="F123" s="29"/>
      <c r="G123" s="29"/>
      <c r="H123" s="29"/>
    </row>
    <row r="124" spans="2:8" ht="17.25">
      <c r="B124" s="30" t="s">
        <v>25</v>
      </c>
      <c r="C124" s="92">
        <f>B3</f>
        <v>42216</v>
      </c>
      <c r="D124" s="29"/>
      <c r="E124" s="29"/>
      <c r="F124" s="29"/>
      <c r="G124" s="29"/>
      <c r="H124" s="29"/>
    </row>
    <row r="125" spans="2:8" ht="18" thickBot="1">
      <c r="B125" s="31"/>
      <c r="C125" s="31"/>
      <c r="D125" s="31"/>
      <c r="E125" s="31"/>
      <c r="F125" s="31"/>
      <c r="G125" s="31"/>
      <c r="H125" s="31"/>
    </row>
    <row r="127" spans="2:8" ht="18" thickBot="1">
      <c r="B127" s="62"/>
      <c r="C127" s="74"/>
      <c r="D127" s="36"/>
      <c r="E127" s="36"/>
      <c r="F127" s="36"/>
      <c r="G127" s="36"/>
      <c r="H127" s="37" t="s">
        <v>13</v>
      </c>
    </row>
    <row r="128" spans="2:8" ht="30.75" customHeight="1" thickBot="1">
      <c r="B128" s="146" t="s">
        <v>26</v>
      </c>
      <c r="C128" s="149"/>
      <c r="D128" s="149"/>
      <c r="E128" s="149"/>
      <c r="F128" s="149"/>
      <c r="G128" s="150" t="s">
        <v>5</v>
      </c>
      <c r="H128" s="151"/>
    </row>
    <row r="129" spans="2:10" ht="18" customHeight="1" thickBot="1">
      <c r="B129" s="133" t="s">
        <v>22</v>
      </c>
      <c r="C129" s="152"/>
      <c r="D129" s="152"/>
      <c r="E129" s="152"/>
      <c r="F129" s="152"/>
      <c r="G129" s="153">
        <v>404</v>
      </c>
      <c r="H129" s="154"/>
    </row>
    <row r="132" spans="2:10" ht="17.25">
      <c r="B132" s="33"/>
      <c r="C132" s="33"/>
      <c r="D132" s="33"/>
      <c r="E132" s="33"/>
      <c r="F132" s="33"/>
      <c r="G132" s="33"/>
      <c r="H132" s="33"/>
    </row>
    <row r="133" spans="2:10" ht="17.25">
      <c r="B133" s="34" t="s">
        <v>21</v>
      </c>
      <c r="C133" s="33"/>
      <c r="D133" s="33"/>
      <c r="E133" s="34"/>
      <c r="F133" s="97">
        <f>C6</f>
        <v>42216</v>
      </c>
      <c r="G133" s="33"/>
      <c r="H133" s="33"/>
    </row>
    <row r="134" spans="2:10" ht="18" thickBot="1">
      <c r="B134" s="35"/>
      <c r="C134" s="35"/>
      <c r="D134" s="35"/>
      <c r="E134" s="35"/>
      <c r="F134" s="35"/>
      <c r="G134" s="35"/>
      <c r="H134" s="35"/>
    </row>
    <row r="136" spans="2:10" ht="17.25">
      <c r="B136" s="87" t="s">
        <v>27</v>
      </c>
      <c r="C136" s="38"/>
      <c r="D136" s="38"/>
      <c r="E136" s="38"/>
      <c r="F136" s="38"/>
      <c r="G136" s="38"/>
      <c r="H136" s="39" t="s">
        <v>13</v>
      </c>
    </row>
    <row r="137" spans="2:10" ht="18" thickBot="1">
      <c r="B137" s="88" t="s">
        <v>28</v>
      </c>
      <c r="C137" s="38"/>
      <c r="D137" s="38"/>
      <c r="E137" s="38"/>
      <c r="F137" s="38"/>
      <c r="G137" s="38"/>
      <c r="H137" s="39"/>
    </row>
    <row r="138" spans="2:10" ht="15.75" customHeight="1" thickBot="1">
      <c r="B138" s="155" t="s">
        <v>19</v>
      </c>
      <c r="C138" s="155"/>
      <c r="D138" s="155"/>
      <c r="E138" s="155"/>
      <c r="F138" s="156"/>
      <c r="G138" s="157" t="s">
        <v>6</v>
      </c>
      <c r="H138" s="144"/>
      <c r="I138"/>
    </row>
    <row r="139" spans="2:10" ht="17.25" customHeight="1">
      <c r="B139" s="140" t="s">
        <v>52</v>
      </c>
      <c r="C139" s="140" t="s">
        <v>52</v>
      </c>
      <c r="D139" s="140" t="s">
        <v>52</v>
      </c>
      <c r="E139" s="140" t="s">
        <v>52</v>
      </c>
      <c r="F139" s="141" t="s">
        <v>52</v>
      </c>
      <c r="G139" s="142">
        <v>221975</v>
      </c>
      <c r="H139" s="143">
        <v>221975</v>
      </c>
      <c r="I139" s="47"/>
      <c r="J139" s="50"/>
    </row>
    <row r="140" spans="2:10" ht="13.5" customHeight="1">
      <c r="B140" s="136" t="s">
        <v>32</v>
      </c>
      <c r="C140" s="136" t="s">
        <v>32</v>
      </c>
      <c r="D140" s="136" t="s">
        <v>32</v>
      </c>
      <c r="E140" s="136" t="s">
        <v>32</v>
      </c>
      <c r="F140" s="137" t="s">
        <v>32</v>
      </c>
      <c r="G140" s="138">
        <v>183481</v>
      </c>
      <c r="H140" s="139">
        <v>183481</v>
      </c>
      <c r="I140" s="47"/>
      <c r="J140" s="50"/>
    </row>
    <row r="141" spans="2:10" ht="17.25" customHeight="1">
      <c r="B141" s="136" t="s">
        <v>53</v>
      </c>
      <c r="C141" s="136" t="s">
        <v>53</v>
      </c>
      <c r="D141" s="136" t="s">
        <v>53</v>
      </c>
      <c r="E141" s="136" t="s">
        <v>53</v>
      </c>
      <c r="F141" s="137" t="s">
        <v>53</v>
      </c>
      <c r="G141" s="138">
        <v>131835</v>
      </c>
      <c r="H141" s="139">
        <v>131835</v>
      </c>
      <c r="I141" s="47"/>
      <c r="J141" s="50"/>
    </row>
    <row r="142" spans="2:10" ht="17.25" customHeight="1">
      <c r="B142" s="136" t="s">
        <v>34</v>
      </c>
      <c r="C142" s="136" t="s">
        <v>34</v>
      </c>
      <c r="D142" s="136" t="s">
        <v>34</v>
      </c>
      <c r="E142" s="136" t="s">
        <v>34</v>
      </c>
      <c r="F142" s="137" t="s">
        <v>34</v>
      </c>
      <c r="G142" s="138">
        <v>130661</v>
      </c>
      <c r="H142" s="139">
        <v>130661</v>
      </c>
      <c r="I142" s="47"/>
      <c r="J142" s="50"/>
    </row>
    <row r="143" spans="2:10" ht="17.25" customHeight="1">
      <c r="B143" s="136" t="s">
        <v>54</v>
      </c>
      <c r="C143" s="136" t="s">
        <v>54</v>
      </c>
      <c r="D143" s="136" t="s">
        <v>54</v>
      </c>
      <c r="E143" s="136" t="s">
        <v>54</v>
      </c>
      <c r="F143" s="137" t="s">
        <v>54</v>
      </c>
      <c r="G143" s="138">
        <v>63337</v>
      </c>
      <c r="H143" s="139">
        <v>63337</v>
      </c>
      <c r="I143" s="47"/>
      <c r="J143" s="50"/>
    </row>
    <row r="144" spans="2:10" ht="13.5" customHeight="1">
      <c r="B144" s="136" t="s">
        <v>50</v>
      </c>
      <c r="C144" s="136" t="s">
        <v>50</v>
      </c>
      <c r="D144" s="136" t="s">
        <v>50</v>
      </c>
      <c r="E144" s="136" t="s">
        <v>50</v>
      </c>
      <c r="F144" s="137" t="s">
        <v>50</v>
      </c>
      <c r="G144" s="138">
        <v>62541</v>
      </c>
      <c r="H144" s="139">
        <v>62541</v>
      </c>
      <c r="I144" s="51"/>
      <c r="J144" s="50"/>
    </row>
    <row r="145" spans="2:13" ht="17.25" customHeight="1">
      <c r="B145" s="136" t="s">
        <v>36</v>
      </c>
      <c r="C145" s="136" t="s">
        <v>36</v>
      </c>
      <c r="D145" s="136" t="s">
        <v>36</v>
      </c>
      <c r="E145" s="136" t="s">
        <v>36</v>
      </c>
      <c r="F145" s="137" t="s">
        <v>36</v>
      </c>
      <c r="G145" s="138">
        <v>47023</v>
      </c>
      <c r="H145" s="139">
        <v>47023</v>
      </c>
      <c r="I145" s="47"/>
      <c r="J145" s="50"/>
    </row>
    <row r="146" spans="2:13" ht="17.25" customHeight="1">
      <c r="B146" s="136" t="s">
        <v>37</v>
      </c>
      <c r="C146" s="136" t="s">
        <v>37</v>
      </c>
      <c r="D146" s="136" t="s">
        <v>37</v>
      </c>
      <c r="E146" s="136" t="s">
        <v>37</v>
      </c>
      <c r="F146" s="137" t="s">
        <v>37</v>
      </c>
      <c r="G146" s="138">
        <v>31282</v>
      </c>
      <c r="H146" s="139">
        <v>31282</v>
      </c>
      <c r="I146" s="47"/>
      <c r="J146" s="50"/>
    </row>
    <row r="147" spans="2:13" ht="17.25" customHeight="1">
      <c r="B147" s="136" t="s">
        <v>38</v>
      </c>
      <c r="C147" s="136" t="s">
        <v>38</v>
      </c>
      <c r="D147" s="136" t="s">
        <v>38</v>
      </c>
      <c r="E147" s="136" t="s">
        <v>38</v>
      </c>
      <c r="F147" s="137" t="s">
        <v>38</v>
      </c>
      <c r="G147" s="138">
        <v>21927</v>
      </c>
      <c r="H147" s="139">
        <v>21927</v>
      </c>
      <c r="I147" s="47"/>
      <c r="J147" s="50"/>
      <c r="L147"/>
    </row>
    <row r="148" spans="2:13" ht="18" customHeight="1" thickBot="1">
      <c r="B148" s="132" t="s">
        <v>39</v>
      </c>
      <c r="C148" s="132" t="s">
        <v>39</v>
      </c>
      <c r="D148" s="132" t="s">
        <v>39</v>
      </c>
      <c r="E148" s="132" t="s">
        <v>39</v>
      </c>
      <c r="F148" s="133" t="s">
        <v>39</v>
      </c>
      <c r="G148" s="134">
        <v>19816</v>
      </c>
      <c r="H148" s="135">
        <v>19816</v>
      </c>
      <c r="I148" s="47"/>
      <c r="J148" s="50"/>
      <c r="L148"/>
    </row>
    <row r="149" spans="2:13" ht="17.25">
      <c r="G149" s="41"/>
      <c r="H149" s="41"/>
      <c r="I149" s="52"/>
      <c r="J149" s="52"/>
    </row>
    <row r="150" spans="2:13" ht="17.25">
      <c r="B150" s="40"/>
      <c r="C150" s="40"/>
      <c r="D150" s="40"/>
      <c r="E150" s="40"/>
      <c r="F150" s="40"/>
      <c r="G150" s="41"/>
      <c r="H150" s="41"/>
      <c r="I150" s="52"/>
      <c r="J150" s="52"/>
    </row>
    <row r="151" spans="2:13" ht="17.25">
      <c r="B151" s="87" t="s">
        <v>7</v>
      </c>
      <c r="C151" s="38"/>
      <c r="D151" s="38"/>
      <c r="E151" s="38"/>
      <c r="F151" s="38"/>
      <c r="G151" s="38"/>
      <c r="H151" s="39" t="s">
        <v>12</v>
      </c>
      <c r="I151" s="52"/>
      <c r="J151" s="52"/>
    </row>
    <row r="152" spans="2:13" ht="18" thickBot="1">
      <c r="B152" s="88" t="s">
        <v>29</v>
      </c>
      <c r="C152" s="38"/>
      <c r="D152" s="38"/>
      <c r="E152" s="38"/>
      <c r="F152" s="38"/>
      <c r="G152" s="38"/>
      <c r="H152" s="39"/>
      <c r="I152" s="52"/>
      <c r="J152" s="52"/>
    </row>
    <row r="153" spans="2:13" ht="15.75" thickBot="1">
      <c r="B153" s="145" t="s">
        <v>19</v>
      </c>
      <c r="C153" s="145"/>
      <c r="D153" s="145"/>
      <c r="E153" s="145"/>
      <c r="F153" s="146"/>
      <c r="G153" s="144" t="s">
        <v>6</v>
      </c>
      <c r="H153" s="144"/>
      <c r="I153" s="52"/>
      <c r="J153" s="52"/>
      <c r="K153"/>
      <c r="L153"/>
      <c r="M153"/>
    </row>
    <row r="154" spans="2:13" ht="17.25" customHeight="1">
      <c r="B154" s="140" t="s">
        <v>32</v>
      </c>
      <c r="C154" s="140" t="s">
        <v>32</v>
      </c>
      <c r="D154" s="140" t="s">
        <v>32</v>
      </c>
      <c r="E154" s="140" t="s">
        <v>32</v>
      </c>
      <c r="F154" s="141" t="s">
        <v>32</v>
      </c>
      <c r="G154" s="142">
        <v>11465</v>
      </c>
      <c r="H154" s="143">
        <v>11465</v>
      </c>
      <c r="I154" s="53"/>
      <c r="J154" s="50"/>
      <c r="K154" s="49"/>
      <c r="L154"/>
      <c r="M154"/>
    </row>
    <row r="155" spans="2:13" ht="17.25" customHeight="1">
      <c r="B155" s="136" t="s">
        <v>52</v>
      </c>
      <c r="C155" s="136" t="s">
        <v>52</v>
      </c>
      <c r="D155" s="136" t="s">
        <v>52</v>
      </c>
      <c r="E155" s="136" t="s">
        <v>52</v>
      </c>
      <c r="F155" s="137" t="s">
        <v>52</v>
      </c>
      <c r="G155" s="138">
        <v>10562</v>
      </c>
      <c r="H155" s="139">
        <v>10562</v>
      </c>
      <c r="I155" s="53"/>
      <c r="J155" s="50"/>
      <c r="K155" s="49"/>
      <c r="L155"/>
      <c r="M155"/>
    </row>
    <row r="156" spans="2:13" ht="17.25" customHeight="1">
      <c r="B156" s="136" t="s">
        <v>53</v>
      </c>
      <c r="C156" s="136" t="s">
        <v>53</v>
      </c>
      <c r="D156" s="136" t="s">
        <v>53</v>
      </c>
      <c r="E156" s="136" t="s">
        <v>53</v>
      </c>
      <c r="F156" s="137" t="s">
        <v>53</v>
      </c>
      <c r="G156" s="138">
        <v>9960</v>
      </c>
      <c r="H156" s="139">
        <v>9960</v>
      </c>
      <c r="I156" s="53"/>
      <c r="J156" s="50"/>
      <c r="K156" s="49"/>
      <c r="L156"/>
      <c r="M156"/>
    </row>
    <row r="157" spans="2:13" ht="17.25">
      <c r="B157" s="136" t="s">
        <v>34</v>
      </c>
      <c r="C157" s="136" t="s">
        <v>34</v>
      </c>
      <c r="D157" s="136" t="s">
        <v>34</v>
      </c>
      <c r="E157" s="136" t="s">
        <v>34</v>
      </c>
      <c r="F157" s="137" t="s">
        <v>34</v>
      </c>
      <c r="G157" s="138">
        <v>9510</v>
      </c>
      <c r="H157" s="139">
        <v>9510</v>
      </c>
      <c r="I157" s="53"/>
      <c r="J157" s="50"/>
      <c r="K157" s="49"/>
      <c r="L157"/>
      <c r="M157"/>
    </row>
    <row r="158" spans="2:13" ht="17.25" customHeight="1">
      <c r="B158" s="136" t="s">
        <v>50</v>
      </c>
      <c r="C158" s="136" t="s">
        <v>50</v>
      </c>
      <c r="D158" s="136" t="s">
        <v>50</v>
      </c>
      <c r="E158" s="136" t="s">
        <v>50</v>
      </c>
      <c r="F158" s="137" t="s">
        <v>50</v>
      </c>
      <c r="G158" s="138">
        <v>6100</v>
      </c>
      <c r="H158" s="139">
        <v>6100</v>
      </c>
      <c r="I158" s="53"/>
      <c r="J158" s="50"/>
      <c r="K158" s="49"/>
      <c r="L158"/>
      <c r="M158"/>
    </row>
    <row r="159" spans="2:13" ht="17.25" customHeight="1">
      <c r="B159" s="136" t="s">
        <v>54</v>
      </c>
      <c r="C159" s="136" t="s">
        <v>54</v>
      </c>
      <c r="D159" s="136" t="s">
        <v>54</v>
      </c>
      <c r="E159" s="136" t="s">
        <v>54</v>
      </c>
      <c r="F159" s="137" t="s">
        <v>54</v>
      </c>
      <c r="G159" s="138">
        <v>3946</v>
      </c>
      <c r="H159" s="139">
        <v>3946</v>
      </c>
      <c r="I159" s="54"/>
      <c r="J159" s="50"/>
      <c r="K159" s="49"/>
      <c r="L159"/>
      <c r="M159"/>
    </row>
    <row r="160" spans="2:13" ht="17.25" customHeight="1">
      <c r="B160" s="136" t="s">
        <v>36</v>
      </c>
      <c r="C160" s="136" t="s">
        <v>36</v>
      </c>
      <c r="D160" s="136" t="s">
        <v>36</v>
      </c>
      <c r="E160" s="136" t="s">
        <v>36</v>
      </c>
      <c r="F160" s="137" t="s">
        <v>36</v>
      </c>
      <c r="G160" s="138">
        <v>2748</v>
      </c>
      <c r="H160" s="139">
        <v>2748</v>
      </c>
      <c r="I160" s="53"/>
      <c r="J160" s="50"/>
      <c r="K160" s="49"/>
      <c r="L160"/>
      <c r="M160"/>
    </row>
    <row r="161" spans="2:13" ht="17.25" customHeight="1">
      <c r="B161" s="136" t="s">
        <v>55</v>
      </c>
      <c r="C161" s="136" t="s">
        <v>55</v>
      </c>
      <c r="D161" s="136" t="s">
        <v>55</v>
      </c>
      <c r="E161" s="136" t="s">
        <v>55</v>
      </c>
      <c r="F161" s="137" t="s">
        <v>55</v>
      </c>
      <c r="G161" s="138">
        <v>2031</v>
      </c>
      <c r="H161" s="139">
        <v>2031</v>
      </c>
      <c r="I161" s="53"/>
      <c r="J161" s="50"/>
      <c r="K161" s="49"/>
      <c r="L161"/>
      <c r="M161"/>
    </row>
    <row r="162" spans="2:13" ht="17.25" customHeight="1">
      <c r="B162" s="136" t="s">
        <v>38</v>
      </c>
      <c r="C162" s="136" t="s">
        <v>38</v>
      </c>
      <c r="D162" s="136" t="s">
        <v>38</v>
      </c>
      <c r="E162" s="136" t="s">
        <v>38</v>
      </c>
      <c r="F162" s="137" t="s">
        <v>38</v>
      </c>
      <c r="G162" s="138">
        <v>1331</v>
      </c>
      <c r="H162" s="139">
        <v>1331</v>
      </c>
      <c r="I162" s="53"/>
      <c r="J162" s="50"/>
      <c r="K162" s="49"/>
      <c r="L162"/>
      <c r="M162"/>
    </row>
    <row r="163" spans="2:13" ht="18" customHeight="1" thickBot="1">
      <c r="B163" s="132" t="s">
        <v>37</v>
      </c>
      <c r="C163" s="132" t="s">
        <v>37</v>
      </c>
      <c r="D163" s="132" t="s">
        <v>37</v>
      </c>
      <c r="E163" s="132" t="s">
        <v>37</v>
      </c>
      <c r="F163" s="133" t="s">
        <v>37</v>
      </c>
      <c r="G163" s="134">
        <v>1238</v>
      </c>
      <c r="H163" s="135">
        <v>1238</v>
      </c>
      <c r="I163" s="53"/>
      <c r="J163" s="50"/>
      <c r="K163" s="49"/>
      <c r="L163"/>
      <c r="M163"/>
    </row>
    <row r="164" spans="2:13" ht="17.25">
      <c r="B164" s="40"/>
      <c r="C164" s="40"/>
      <c r="D164" s="40"/>
      <c r="E164" s="40"/>
      <c r="F164" s="40"/>
      <c r="G164" s="93"/>
      <c r="H164" s="93"/>
      <c r="I164" s="52"/>
      <c r="J164" s="52"/>
      <c r="L164"/>
      <c r="M164"/>
    </row>
    <row r="165" spans="2:13" ht="17.25">
      <c r="G165" s="41"/>
      <c r="H165" s="41"/>
      <c r="I165" s="2"/>
      <c r="J165" s="2"/>
    </row>
    <row r="166" spans="2:13" ht="17.25">
      <c r="B166" s="87" t="s">
        <v>8</v>
      </c>
      <c r="C166" s="38"/>
      <c r="D166" s="38"/>
      <c r="E166" s="38"/>
      <c r="F166" s="38"/>
      <c r="G166" s="38"/>
      <c r="H166" s="39" t="s">
        <v>14</v>
      </c>
      <c r="I166" s="2"/>
      <c r="J166" s="52"/>
      <c r="K166"/>
    </row>
    <row r="167" spans="2:13" ht="18" thickBot="1">
      <c r="B167" s="88" t="s">
        <v>30</v>
      </c>
      <c r="C167" s="38"/>
      <c r="D167" s="38"/>
      <c r="E167" s="38"/>
      <c r="F167" s="38"/>
      <c r="G167" s="38"/>
      <c r="H167" s="39"/>
      <c r="I167" s="2"/>
      <c r="J167" s="52"/>
      <c r="K167"/>
    </row>
    <row r="168" spans="2:13" ht="15" customHeight="1" thickBot="1">
      <c r="B168" s="110" t="s">
        <v>19</v>
      </c>
      <c r="C168" s="110"/>
      <c r="D168" s="110"/>
      <c r="E168" s="110"/>
      <c r="F168" s="111"/>
      <c r="G168" s="144" t="s">
        <v>9</v>
      </c>
      <c r="H168" s="144"/>
      <c r="I168" s="2"/>
      <c r="J168" s="2"/>
    </row>
    <row r="169" spans="2:13" ht="17.25" customHeight="1">
      <c r="B169" s="140" t="s">
        <v>50</v>
      </c>
      <c r="C169" s="140" t="s">
        <v>50</v>
      </c>
      <c r="D169" s="140" t="s">
        <v>50</v>
      </c>
      <c r="E169" s="140" t="s">
        <v>50</v>
      </c>
      <c r="F169" s="141" t="s">
        <v>50</v>
      </c>
      <c r="G169" s="142">
        <v>2043036369524.3201</v>
      </c>
      <c r="H169" s="143">
        <v>2043036369524.3201</v>
      </c>
      <c r="I169" s="55"/>
      <c r="J169" s="56"/>
    </row>
    <row r="170" spans="2:13" ht="17.25" customHeight="1">
      <c r="B170" s="136" t="s">
        <v>49</v>
      </c>
      <c r="C170" s="136" t="s">
        <v>49</v>
      </c>
      <c r="D170" s="136" t="s">
        <v>49</v>
      </c>
      <c r="E170" s="136" t="s">
        <v>49</v>
      </c>
      <c r="F170" s="137" t="s">
        <v>49</v>
      </c>
      <c r="G170" s="138">
        <v>1533427194175.8401</v>
      </c>
      <c r="H170" s="139">
        <v>1533427194175.8401</v>
      </c>
      <c r="I170" s="55"/>
      <c r="J170" s="56"/>
    </row>
    <row r="171" spans="2:13" ht="17.25" customHeight="1">
      <c r="B171" s="136" t="s">
        <v>34</v>
      </c>
      <c r="C171" s="136" t="s">
        <v>34</v>
      </c>
      <c r="D171" s="136" t="s">
        <v>34</v>
      </c>
      <c r="E171" s="136" t="s">
        <v>34</v>
      </c>
      <c r="F171" s="137" t="s">
        <v>34</v>
      </c>
      <c r="G171" s="138">
        <v>1201179014893.8501</v>
      </c>
      <c r="H171" s="139">
        <v>1201179014893.8501</v>
      </c>
      <c r="I171" s="55"/>
      <c r="J171" s="56"/>
    </row>
    <row r="172" spans="2:13" ht="17.25" customHeight="1">
      <c r="B172" s="136" t="s">
        <v>32</v>
      </c>
      <c r="C172" s="136" t="s">
        <v>32</v>
      </c>
      <c r="D172" s="136" t="s">
        <v>32</v>
      </c>
      <c r="E172" s="136" t="s">
        <v>32</v>
      </c>
      <c r="F172" s="137" t="s">
        <v>32</v>
      </c>
      <c r="G172" s="138">
        <v>478017283335.52002</v>
      </c>
      <c r="H172" s="139">
        <v>478017283335.52002</v>
      </c>
      <c r="I172" s="55"/>
      <c r="J172" s="56"/>
    </row>
    <row r="173" spans="2:13" ht="17.25" customHeight="1">
      <c r="B173" s="136" t="s">
        <v>42</v>
      </c>
      <c r="C173" s="136" t="s">
        <v>42</v>
      </c>
      <c r="D173" s="136" t="s">
        <v>42</v>
      </c>
      <c r="E173" s="136" t="s">
        <v>42</v>
      </c>
      <c r="F173" s="137" t="s">
        <v>42</v>
      </c>
      <c r="G173" s="138">
        <v>437956433963.01001</v>
      </c>
      <c r="H173" s="139">
        <v>437956433963.01001</v>
      </c>
      <c r="I173" s="57"/>
      <c r="J173" s="50"/>
    </row>
    <row r="174" spans="2:13" ht="17.25" customHeight="1">
      <c r="B174" s="136" t="s">
        <v>57</v>
      </c>
      <c r="C174" s="136" t="s">
        <v>57</v>
      </c>
      <c r="D174" s="136" t="s">
        <v>57</v>
      </c>
      <c r="E174" s="136" t="s">
        <v>57</v>
      </c>
      <c r="F174" s="137" t="s">
        <v>57</v>
      </c>
      <c r="G174" s="138">
        <v>330917860715.16998</v>
      </c>
      <c r="H174" s="139">
        <v>330917860715.16998</v>
      </c>
      <c r="I174" s="55"/>
      <c r="J174" s="56"/>
    </row>
    <row r="175" spans="2:13" ht="17.25" customHeight="1">
      <c r="B175" s="136" t="s">
        <v>53</v>
      </c>
      <c r="C175" s="136" t="s">
        <v>53</v>
      </c>
      <c r="D175" s="136" t="s">
        <v>53</v>
      </c>
      <c r="E175" s="136" t="s">
        <v>53</v>
      </c>
      <c r="F175" s="137" t="s">
        <v>53</v>
      </c>
      <c r="G175" s="138">
        <v>291124363201.53003</v>
      </c>
      <c r="H175" s="139">
        <v>291124363201.53003</v>
      </c>
      <c r="I175" s="55"/>
      <c r="J175" s="56"/>
    </row>
    <row r="176" spans="2:13" ht="17.25" customHeight="1">
      <c r="B176" s="136" t="s">
        <v>43</v>
      </c>
      <c r="C176" s="136" t="s">
        <v>43</v>
      </c>
      <c r="D176" s="136" t="s">
        <v>43</v>
      </c>
      <c r="E176" s="136" t="s">
        <v>43</v>
      </c>
      <c r="F176" s="137" t="s">
        <v>43</v>
      </c>
      <c r="G176" s="138">
        <v>249329191996.07001</v>
      </c>
      <c r="H176" s="139">
        <v>249329191996.07001</v>
      </c>
      <c r="I176" s="55"/>
      <c r="J176" s="56"/>
    </row>
    <row r="177" spans="2:10" ht="17.25" customHeight="1">
      <c r="B177" s="136" t="s">
        <v>36</v>
      </c>
      <c r="C177" s="136" t="s">
        <v>36</v>
      </c>
      <c r="D177" s="136" t="s">
        <v>36</v>
      </c>
      <c r="E177" s="136" t="s">
        <v>36</v>
      </c>
      <c r="F177" s="137" t="s">
        <v>36</v>
      </c>
      <c r="G177" s="138">
        <v>196861974330.26001</v>
      </c>
      <c r="H177" s="139">
        <v>196861974330.26001</v>
      </c>
      <c r="I177" s="55"/>
      <c r="J177" s="56"/>
    </row>
    <row r="178" spans="2:10" ht="18" customHeight="1" thickBot="1">
      <c r="B178" s="132" t="s">
        <v>58</v>
      </c>
      <c r="C178" s="132" t="s">
        <v>58</v>
      </c>
      <c r="D178" s="132" t="s">
        <v>58</v>
      </c>
      <c r="E178" s="132" t="s">
        <v>58</v>
      </c>
      <c r="F178" s="133" t="s">
        <v>58</v>
      </c>
      <c r="G178" s="134">
        <v>175025849526.45001</v>
      </c>
      <c r="H178" s="135">
        <v>175025849526.45001</v>
      </c>
      <c r="I178" s="55"/>
      <c r="J178" s="56"/>
    </row>
    <row r="179" spans="2:10" ht="17.25">
      <c r="G179" s="41"/>
      <c r="H179" s="41"/>
      <c r="J179" s="48"/>
    </row>
    <row r="180" spans="2:10">
      <c r="B180" s="58"/>
      <c r="J180" s="48"/>
    </row>
  </sheetData>
  <dataConsolidate link="1"/>
  <mergeCells count="100">
    <mergeCell ref="B178:F178"/>
    <mergeCell ref="G178:H178"/>
    <mergeCell ref="B175:F175"/>
    <mergeCell ref="G175:H175"/>
    <mergeCell ref="B176:F176"/>
    <mergeCell ref="G176:H176"/>
    <mergeCell ref="B177:F177"/>
    <mergeCell ref="G177:H177"/>
    <mergeCell ref="B172:F172"/>
    <mergeCell ref="G172:H172"/>
    <mergeCell ref="B173:F173"/>
    <mergeCell ref="G173:H173"/>
    <mergeCell ref="B174:F174"/>
    <mergeCell ref="G174:H174"/>
    <mergeCell ref="B171:F171"/>
    <mergeCell ref="G171:H171"/>
    <mergeCell ref="B161:F161"/>
    <mergeCell ref="G161:H161"/>
    <mergeCell ref="B162:F162"/>
    <mergeCell ref="G162:H162"/>
    <mergeCell ref="B163:F163"/>
    <mergeCell ref="G163:H163"/>
    <mergeCell ref="G168:H168"/>
    <mergeCell ref="B169:F169"/>
    <mergeCell ref="G169:H169"/>
    <mergeCell ref="B170:F170"/>
    <mergeCell ref="G170:H170"/>
    <mergeCell ref="B158:F158"/>
    <mergeCell ref="G158:H158"/>
    <mergeCell ref="B159:F159"/>
    <mergeCell ref="G159:H159"/>
    <mergeCell ref="B160:F160"/>
    <mergeCell ref="G160:H160"/>
    <mergeCell ref="B155:F155"/>
    <mergeCell ref="G155:H155"/>
    <mergeCell ref="B156:F156"/>
    <mergeCell ref="G156:H156"/>
    <mergeCell ref="B157:F157"/>
    <mergeCell ref="G157:H157"/>
    <mergeCell ref="B148:F148"/>
    <mergeCell ref="G148:H148"/>
    <mergeCell ref="B153:F153"/>
    <mergeCell ref="G153:H153"/>
    <mergeCell ref="B154:F154"/>
    <mergeCell ref="G154:H154"/>
    <mergeCell ref="B145:F145"/>
    <mergeCell ref="G145:H145"/>
    <mergeCell ref="B146:F146"/>
    <mergeCell ref="G146:H146"/>
    <mergeCell ref="B147:F147"/>
    <mergeCell ref="G147:H147"/>
    <mergeCell ref="B142:F142"/>
    <mergeCell ref="G142:H142"/>
    <mergeCell ref="B143:F143"/>
    <mergeCell ref="G143:H143"/>
    <mergeCell ref="B144:F144"/>
    <mergeCell ref="G144:H144"/>
    <mergeCell ref="B139:F139"/>
    <mergeCell ref="G139:H139"/>
    <mergeCell ref="B140:F140"/>
    <mergeCell ref="G140:H140"/>
    <mergeCell ref="B141:F141"/>
    <mergeCell ref="G141:H141"/>
    <mergeCell ref="B138:F138"/>
    <mergeCell ref="G138:H138"/>
    <mergeCell ref="H48:I48"/>
    <mergeCell ref="B49:D49"/>
    <mergeCell ref="B50:D50"/>
    <mergeCell ref="B51:D51"/>
    <mergeCell ref="B52:D52"/>
    <mergeCell ref="B53:D53"/>
    <mergeCell ref="B54:D54"/>
    <mergeCell ref="B128:F128"/>
    <mergeCell ref="G128:H128"/>
    <mergeCell ref="B129:F129"/>
    <mergeCell ref="G129:H129"/>
    <mergeCell ref="B39:D39"/>
    <mergeCell ref="B24:D24"/>
    <mergeCell ref="B25:D25"/>
    <mergeCell ref="B26:D26"/>
    <mergeCell ref="B27:D27"/>
    <mergeCell ref="B28:D28"/>
    <mergeCell ref="B33:D33"/>
    <mergeCell ref="B34:D34"/>
    <mergeCell ref="B35:D35"/>
    <mergeCell ref="B36:D36"/>
    <mergeCell ref="B37:D37"/>
    <mergeCell ref="B38:D38"/>
    <mergeCell ref="B23:D23"/>
    <mergeCell ref="B2:H2"/>
    <mergeCell ref="B3:H3"/>
    <mergeCell ref="I3:N3"/>
    <mergeCell ref="B11:D11"/>
    <mergeCell ref="B12:D12"/>
    <mergeCell ref="B13:D13"/>
    <mergeCell ref="B14:D14"/>
    <mergeCell ref="B15:D15"/>
    <mergeCell ref="B16:D16"/>
    <mergeCell ref="B17:D17"/>
    <mergeCell ref="B22:D22"/>
  </mergeCells>
  <pageMargins left="0.70866141732283472" right="0.70866141732283472" top="0.15748031496062992" bottom="0.15748031496062992" header="0.31496062992125984" footer="0.11811023622047245"/>
  <pageSetup paperSize="9" scale="47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49" max="16383" man="1"/>
    <brk id="192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44385">
          <objectPr defaultSize="0" autoPict="0" dde="1">
            <anchor moveWithCells="1">
              <from>
                <xdr:col>0</xdr:col>
                <xdr:colOff>123825</xdr:colOff>
                <xdr:row>72</xdr:row>
                <xdr:rowOff>123825</xdr:rowOff>
              </from>
              <to>
                <xdr:col>1</xdr:col>
                <xdr:colOff>257175</xdr:colOff>
                <xdr:row>74</xdr:row>
                <xdr:rowOff>0</xdr:rowOff>
              </to>
            </anchor>
          </objectPr>
        </oleObject>
      </mc:Choice>
      <mc:Fallback>
        <oleObject link="[1]!'!Январь2012!R1C2:R10C9'" oleUpdate="OLEUPDATE_ALWAYS" shapeId="144385"/>
      </mc:Fallback>
    </mc:AlternateContent>
  </oleObjec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03">
    <pageSetUpPr fitToPage="1"/>
  </sheetPr>
  <dimension ref="B2:N180"/>
  <sheetViews>
    <sheetView workbookViewId="0"/>
  </sheetViews>
  <sheetFormatPr defaultRowHeight="13.5"/>
  <cols>
    <col min="1" max="1" width="3.42578125" style="75" customWidth="1"/>
    <col min="2" max="2" width="46.7109375" style="75" customWidth="1"/>
    <col min="3" max="4" width="18.42578125" style="75" customWidth="1"/>
    <col min="5" max="9" width="25.5703125" style="75" customWidth="1"/>
    <col min="10" max="10" width="10.5703125" style="75" customWidth="1"/>
    <col min="11" max="11" width="14.85546875" style="75" bestFit="1" customWidth="1"/>
    <col min="12" max="12" width="9.140625" style="75"/>
    <col min="13" max="13" width="23.42578125" style="75" customWidth="1"/>
    <col min="14" max="16384" width="9.140625" style="75"/>
  </cols>
  <sheetData>
    <row r="2" spans="2:14" s="1" customFormat="1" ht="20.25">
      <c r="B2" s="183" t="s">
        <v>15</v>
      </c>
      <c r="C2" s="183"/>
      <c r="D2" s="183"/>
      <c r="E2" s="183"/>
      <c r="F2" s="183"/>
      <c r="G2" s="183"/>
      <c r="H2" s="183"/>
    </row>
    <row r="3" spans="2:14" s="1" customFormat="1" ht="21" thickBot="1">
      <c r="B3" s="184">
        <v>42247</v>
      </c>
      <c r="C3" s="184"/>
      <c r="D3" s="184"/>
      <c r="E3" s="184"/>
      <c r="F3" s="184"/>
      <c r="G3" s="184"/>
      <c r="H3" s="184"/>
      <c r="I3" s="184"/>
      <c r="J3" s="184"/>
      <c r="K3" s="184"/>
      <c r="L3" s="184"/>
      <c r="M3" s="184"/>
      <c r="N3" s="184"/>
    </row>
    <row r="4" spans="2:14" s="1" customFormat="1" ht="18" thickTop="1"/>
    <row r="5" spans="2:14" s="1" customFormat="1" ht="17.25">
      <c r="B5" s="17"/>
      <c r="C5" s="17"/>
      <c r="D5" s="17"/>
      <c r="E5" s="17"/>
      <c r="F5" s="17"/>
      <c r="G5" s="17"/>
      <c r="H5" s="17"/>
    </row>
    <row r="6" spans="2:14" s="1" customFormat="1" ht="17.25">
      <c r="B6" s="18" t="s">
        <v>20</v>
      </c>
      <c r="C6" s="68">
        <f>B3</f>
        <v>42247</v>
      </c>
      <c r="D6" s="17"/>
      <c r="E6" s="17"/>
      <c r="F6" s="17"/>
      <c r="G6" s="17"/>
      <c r="H6" s="17"/>
    </row>
    <row r="7" spans="2:14" s="1" customFormat="1" ht="18" thickBot="1">
      <c r="B7" s="21"/>
      <c r="C7" s="21"/>
      <c r="D7" s="21"/>
      <c r="E7" s="21"/>
      <c r="F7" s="21"/>
      <c r="G7" s="21"/>
      <c r="H7" s="21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3" t="s">
        <v>44</v>
      </c>
      <c r="C10" s="14"/>
      <c r="D10" s="14"/>
      <c r="E10" s="14"/>
      <c r="F10" s="14"/>
      <c r="G10" s="14"/>
      <c r="H10" s="15" t="s">
        <v>13</v>
      </c>
    </row>
    <row r="11" spans="2:14" s="46" customFormat="1" ht="15.75" thickBot="1">
      <c r="B11" s="179" t="s">
        <v>18</v>
      </c>
      <c r="C11" s="179"/>
      <c r="D11" s="180"/>
      <c r="E11" s="73">
        <v>42216</v>
      </c>
      <c r="F11" s="73">
        <f>EDATE(E11,1)</f>
        <v>42247</v>
      </c>
      <c r="G11" s="45" t="s">
        <v>10</v>
      </c>
      <c r="H11" s="45" t="s">
        <v>11</v>
      </c>
      <c r="J11" s="77"/>
    </row>
    <row r="12" spans="2:14" s="76" customFormat="1" ht="17.25">
      <c r="B12" s="181" t="s">
        <v>0</v>
      </c>
      <c r="C12" s="181"/>
      <c r="D12" s="182"/>
      <c r="E12" s="78">
        <f>Июль2015!F12</f>
        <v>1220929</v>
      </c>
      <c r="F12" s="84">
        <v>1235081</v>
      </c>
      <c r="G12" s="11">
        <f>F12-E12</f>
        <v>14152</v>
      </c>
      <c r="H12" s="59">
        <f t="shared" ref="H12:H18" si="0">F12/E12-1</f>
        <v>1.1591173606327665E-2</v>
      </c>
      <c r="I12" s="85"/>
      <c r="J12" s="86"/>
    </row>
    <row r="13" spans="2:14" s="76" customFormat="1" ht="17.25">
      <c r="B13" s="177" t="s">
        <v>1</v>
      </c>
      <c r="C13" s="177"/>
      <c r="D13" s="178"/>
      <c r="E13" s="78">
        <f>Июль2015!F13</f>
        <v>35988</v>
      </c>
      <c r="F13" s="84">
        <v>35814</v>
      </c>
      <c r="G13" s="11">
        <f t="shared" ref="G13:G18" si="1">F13-E13</f>
        <v>-174</v>
      </c>
      <c r="H13" s="59">
        <f t="shared" si="0"/>
        <v>-4.8349449816605938E-3</v>
      </c>
      <c r="I13" s="85"/>
      <c r="J13" s="86"/>
    </row>
    <row r="14" spans="2:14" s="76" customFormat="1" ht="17.25">
      <c r="B14" s="177" t="s">
        <v>2</v>
      </c>
      <c r="C14" s="177"/>
      <c r="D14" s="178"/>
      <c r="E14" s="78">
        <f>Июль2015!F14</f>
        <v>16162</v>
      </c>
      <c r="F14" s="84">
        <v>13361</v>
      </c>
      <c r="G14" s="11">
        <f t="shared" si="1"/>
        <v>-2801</v>
      </c>
      <c r="H14" s="59">
        <f t="shared" si="0"/>
        <v>-0.17330775894072514</v>
      </c>
      <c r="I14" s="85"/>
      <c r="J14" s="86"/>
    </row>
    <row r="15" spans="2:14" s="76" customFormat="1" ht="17.25">
      <c r="B15" s="162" t="s">
        <v>23</v>
      </c>
      <c r="C15" s="162"/>
      <c r="D15" s="163"/>
      <c r="E15" s="78">
        <f>Июль2015!F15</f>
        <v>4321</v>
      </c>
      <c r="F15" s="84">
        <v>4140</v>
      </c>
      <c r="G15" s="11">
        <f t="shared" si="1"/>
        <v>-181</v>
      </c>
      <c r="H15" s="59">
        <f t="shared" si="0"/>
        <v>-4.1888451747280731E-2</v>
      </c>
      <c r="I15" s="85"/>
      <c r="J15" s="86"/>
    </row>
    <row r="16" spans="2:14" s="76" customFormat="1" ht="17.25">
      <c r="B16" s="164" t="s">
        <v>24</v>
      </c>
      <c r="C16" s="164"/>
      <c r="D16" s="165"/>
      <c r="E16" s="78">
        <f>Июль2015!F16</f>
        <v>11841</v>
      </c>
      <c r="F16" s="84">
        <v>9221</v>
      </c>
      <c r="G16" s="11">
        <f t="shared" si="1"/>
        <v>-2620</v>
      </c>
      <c r="H16" s="59">
        <f t="shared" si="0"/>
        <v>-0.22126509585339071</v>
      </c>
      <c r="I16" s="85"/>
      <c r="J16" s="86"/>
    </row>
    <row r="17" spans="2:10" s="76" customFormat="1" ht="18" customHeight="1" thickBot="1">
      <c r="B17" s="175" t="s">
        <v>3</v>
      </c>
      <c r="C17" s="175"/>
      <c r="D17" s="176"/>
      <c r="E17" s="78">
        <f>Июль2015!F17</f>
        <v>15591</v>
      </c>
      <c r="F17" s="84">
        <v>15927</v>
      </c>
      <c r="G17" s="11">
        <f t="shared" si="1"/>
        <v>336</v>
      </c>
      <c r="H17" s="59">
        <f t="shared" si="0"/>
        <v>2.1550894746969362E-2</v>
      </c>
      <c r="I17" s="85"/>
      <c r="J17" s="86"/>
    </row>
    <row r="18" spans="2:10" s="70" customFormat="1" ht="18" thickBot="1">
      <c r="B18" s="60" t="s">
        <v>4</v>
      </c>
      <c r="C18" s="60"/>
      <c r="D18" s="61"/>
      <c r="E18" s="72">
        <f>Июль2015!F18</f>
        <v>1288670</v>
      </c>
      <c r="F18" s="72">
        <v>1300183</v>
      </c>
      <c r="G18" s="72">
        <f t="shared" si="1"/>
        <v>11513</v>
      </c>
      <c r="H18" s="69">
        <f t="shared" si="0"/>
        <v>8.9340172425833586E-3</v>
      </c>
      <c r="I18" s="85"/>
      <c r="J18" s="86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3" t="s">
        <v>45</v>
      </c>
      <c r="C21" s="14"/>
      <c r="D21" s="14"/>
      <c r="E21" s="14"/>
      <c r="F21" s="14"/>
      <c r="G21" s="14"/>
      <c r="H21" s="15" t="s">
        <v>12</v>
      </c>
    </row>
    <row r="22" spans="2:10" s="76" customFormat="1" ht="15.75" thickBot="1">
      <c r="B22" s="179" t="s">
        <v>18</v>
      </c>
      <c r="C22" s="179"/>
      <c r="D22" s="180"/>
      <c r="E22" s="73">
        <f>E11</f>
        <v>42216</v>
      </c>
      <c r="F22" s="73">
        <f>F11</f>
        <v>42247</v>
      </c>
      <c r="G22" s="45" t="s">
        <v>10</v>
      </c>
      <c r="H22" s="45" t="s">
        <v>11</v>
      </c>
      <c r="J22" s="77"/>
    </row>
    <row r="23" spans="2:10" s="76" customFormat="1" ht="17.25">
      <c r="B23" s="181" t="s">
        <v>0</v>
      </c>
      <c r="C23" s="181"/>
      <c r="D23" s="182"/>
      <c r="E23" s="78">
        <f>Июль2015!F23</f>
        <v>984614</v>
      </c>
      <c r="F23" s="84">
        <v>991257</v>
      </c>
      <c r="G23" s="11">
        <f>F23-E23</f>
        <v>6643</v>
      </c>
      <c r="H23" s="59">
        <f>F23/E23-1</f>
        <v>6.7468063626965336E-3</v>
      </c>
      <c r="I23" s="86"/>
    </row>
    <row r="24" spans="2:10" s="76" customFormat="1" ht="17.25">
      <c r="B24" s="177" t="s">
        <v>1</v>
      </c>
      <c r="C24" s="177"/>
      <c r="D24" s="178"/>
      <c r="E24" s="78">
        <f>Июль2015!F24</f>
        <v>20904</v>
      </c>
      <c r="F24" s="84">
        <v>20981</v>
      </c>
      <c r="G24" s="11">
        <f t="shared" ref="G24:G29" si="2">F24-E24</f>
        <v>77</v>
      </c>
      <c r="H24" s="59">
        <f t="shared" ref="H24:H29" si="3">F24/E24-1</f>
        <v>3.6835055491772906E-3</v>
      </c>
      <c r="I24" s="86"/>
    </row>
    <row r="25" spans="2:10" s="76" customFormat="1" ht="17.25">
      <c r="B25" s="177" t="s">
        <v>2</v>
      </c>
      <c r="C25" s="177"/>
      <c r="D25" s="178"/>
      <c r="E25" s="78">
        <f>Июль2015!F25</f>
        <v>8823</v>
      </c>
      <c r="F25" s="84">
        <v>8602</v>
      </c>
      <c r="G25" s="11">
        <f t="shared" si="2"/>
        <v>-221</v>
      </c>
      <c r="H25" s="59">
        <f t="shared" si="3"/>
        <v>-2.5048169556840083E-2</v>
      </c>
      <c r="I25" s="86"/>
    </row>
    <row r="26" spans="2:10" s="76" customFormat="1" ht="17.25">
      <c r="B26" s="162" t="s">
        <v>23</v>
      </c>
      <c r="C26" s="162"/>
      <c r="D26" s="163"/>
      <c r="E26" s="78">
        <f>Июль2015!F26</f>
        <v>3897</v>
      </c>
      <c r="F26" s="84">
        <v>3939</v>
      </c>
      <c r="G26" s="11">
        <f t="shared" si="2"/>
        <v>42</v>
      </c>
      <c r="H26" s="59">
        <f t="shared" si="3"/>
        <v>1.0777521170130866E-2</v>
      </c>
      <c r="I26" s="86"/>
    </row>
    <row r="27" spans="2:10" s="76" customFormat="1" ht="17.25">
      <c r="B27" s="164" t="s">
        <v>24</v>
      </c>
      <c r="C27" s="164"/>
      <c r="D27" s="165"/>
      <c r="E27" s="78">
        <f>Июль2015!F27</f>
        <v>4926</v>
      </c>
      <c r="F27" s="84">
        <v>4663</v>
      </c>
      <c r="G27" s="11">
        <f t="shared" si="2"/>
        <v>-263</v>
      </c>
      <c r="H27" s="59">
        <f t="shared" si="3"/>
        <v>-5.3390174583840877E-2</v>
      </c>
      <c r="I27" s="86"/>
    </row>
    <row r="28" spans="2:10" s="76" customFormat="1" ht="18" thickBot="1">
      <c r="B28" s="175" t="s">
        <v>3</v>
      </c>
      <c r="C28" s="175"/>
      <c r="D28" s="176"/>
      <c r="E28" s="78">
        <f>Июль2015!F28</f>
        <v>4715</v>
      </c>
      <c r="F28" s="84">
        <v>4694</v>
      </c>
      <c r="G28" s="11">
        <f t="shared" si="2"/>
        <v>-21</v>
      </c>
      <c r="H28" s="59">
        <f t="shared" si="3"/>
        <v>-4.4538706256628258E-3</v>
      </c>
      <c r="I28" s="86"/>
    </row>
    <row r="29" spans="2:10" s="70" customFormat="1" ht="18" thickBot="1">
      <c r="B29" s="60" t="s">
        <v>4</v>
      </c>
      <c r="C29" s="60"/>
      <c r="D29" s="61"/>
      <c r="E29" s="72">
        <f>Июль2015!F29</f>
        <v>1019056</v>
      </c>
      <c r="F29" s="72">
        <v>1025534</v>
      </c>
      <c r="G29" s="72">
        <f t="shared" si="2"/>
        <v>6478</v>
      </c>
      <c r="H29" s="69">
        <f t="shared" si="3"/>
        <v>6.3568636071029694E-3</v>
      </c>
      <c r="I29" s="86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3" t="s">
        <v>16</v>
      </c>
      <c r="C32" s="14"/>
      <c r="D32" s="14"/>
      <c r="E32" s="14"/>
      <c r="F32" s="14"/>
      <c r="G32" s="14"/>
      <c r="H32" s="15" t="s">
        <v>14</v>
      </c>
    </row>
    <row r="33" spans="2:9" ht="15.75" thickBot="1">
      <c r="B33" s="145" t="s">
        <v>18</v>
      </c>
      <c r="C33" s="145"/>
      <c r="D33" s="146"/>
      <c r="E33" s="73">
        <f>E11</f>
        <v>42216</v>
      </c>
      <c r="F33" s="73">
        <f>F11</f>
        <v>42247</v>
      </c>
      <c r="G33" s="16" t="s">
        <v>10</v>
      </c>
      <c r="H33" s="16" t="s">
        <v>11</v>
      </c>
    </row>
    <row r="34" spans="2:9" ht="17.25">
      <c r="B34" s="160" t="s">
        <v>0</v>
      </c>
      <c r="C34" s="160"/>
      <c r="D34" s="161"/>
      <c r="E34" s="78">
        <f>Июль2015!F34</f>
        <v>66054</v>
      </c>
      <c r="F34" s="78">
        <v>67242</v>
      </c>
      <c r="G34" s="11">
        <f t="shared" ref="G34:G40" si="4">F34-E34</f>
        <v>1188</v>
      </c>
      <c r="H34" s="59">
        <f t="shared" ref="H34:H40" si="5">F34/E34-1</f>
        <v>1.798528476700878E-2</v>
      </c>
      <c r="I34" s="58"/>
    </row>
    <row r="35" spans="2:9" ht="17.25">
      <c r="B35" s="136" t="s">
        <v>1</v>
      </c>
      <c r="C35" s="136"/>
      <c r="D35" s="137"/>
      <c r="E35" s="78">
        <f>Июль2015!F35</f>
        <v>1123</v>
      </c>
      <c r="F35" s="78">
        <v>1011</v>
      </c>
      <c r="G35" s="11">
        <f t="shared" si="4"/>
        <v>-112</v>
      </c>
      <c r="H35" s="59">
        <f t="shared" si="5"/>
        <v>-9.9732858414959935E-2</v>
      </c>
      <c r="I35" s="58"/>
    </row>
    <row r="36" spans="2:9" ht="17.25">
      <c r="B36" s="136" t="s">
        <v>2</v>
      </c>
      <c r="C36" s="136"/>
      <c r="D36" s="137"/>
      <c r="E36" s="78">
        <f>Июль2015!F36</f>
        <v>619</v>
      </c>
      <c r="F36" s="78">
        <v>594</v>
      </c>
      <c r="G36" s="11">
        <f t="shared" si="4"/>
        <v>-25</v>
      </c>
      <c r="H36" s="59">
        <f t="shared" si="5"/>
        <v>-4.0387722132471771E-2</v>
      </c>
      <c r="I36" s="58"/>
    </row>
    <row r="37" spans="2:9" ht="17.25">
      <c r="B37" s="162" t="s">
        <v>23</v>
      </c>
      <c r="C37" s="162"/>
      <c r="D37" s="163"/>
      <c r="E37" s="78">
        <f>Июль2015!F37</f>
        <v>284</v>
      </c>
      <c r="F37" s="78">
        <v>273</v>
      </c>
      <c r="G37" s="11">
        <f t="shared" si="4"/>
        <v>-11</v>
      </c>
      <c r="H37" s="59">
        <f t="shared" si="5"/>
        <v>-3.8732394366197131E-2</v>
      </c>
      <c r="I37" s="58"/>
    </row>
    <row r="38" spans="2:9" ht="17.25">
      <c r="B38" s="164" t="s">
        <v>24</v>
      </c>
      <c r="C38" s="164"/>
      <c r="D38" s="165"/>
      <c r="E38" s="78">
        <f>Июль2015!F38</f>
        <v>335</v>
      </c>
      <c r="F38" s="78">
        <v>321</v>
      </c>
      <c r="G38" s="11">
        <f t="shared" si="4"/>
        <v>-14</v>
      </c>
      <c r="H38" s="59">
        <f t="shared" si="5"/>
        <v>-4.179104477611939E-2</v>
      </c>
      <c r="I38" s="58"/>
    </row>
    <row r="39" spans="2:9" ht="18" thickBot="1">
      <c r="B39" s="166" t="s">
        <v>3</v>
      </c>
      <c r="C39" s="166"/>
      <c r="D39" s="167"/>
      <c r="E39" s="78">
        <f>Июль2015!F39</f>
        <v>524</v>
      </c>
      <c r="F39" s="78">
        <v>488</v>
      </c>
      <c r="G39" s="11">
        <f t="shared" si="4"/>
        <v>-36</v>
      </c>
      <c r="H39" s="59">
        <f t="shared" si="5"/>
        <v>-6.8702290076335881E-2</v>
      </c>
      <c r="I39" s="58"/>
    </row>
    <row r="40" spans="2:9" s="70" customFormat="1" ht="18" thickBot="1">
      <c r="B40" s="60" t="s">
        <v>4</v>
      </c>
      <c r="C40" s="60"/>
      <c r="D40" s="61"/>
      <c r="E40" s="72">
        <f>Июль2015!F40</f>
        <v>68320</v>
      </c>
      <c r="F40" s="72">
        <v>69335</v>
      </c>
      <c r="G40" s="72">
        <f t="shared" si="4"/>
        <v>1015</v>
      </c>
      <c r="H40" s="69">
        <f t="shared" si="5"/>
        <v>1.4856557377049162E-2</v>
      </c>
      <c r="I40" s="58"/>
    </row>
    <row r="41" spans="2:9" ht="15">
      <c r="B41" s="6"/>
      <c r="C41" s="6"/>
      <c r="D41" s="6"/>
      <c r="E41" s="42"/>
      <c r="F41" s="42"/>
      <c r="G41" s="43"/>
      <c r="H41" s="44"/>
    </row>
    <row r="42" spans="2:9" ht="15">
      <c r="B42" s="10"/>
      <c r="C42" s="2"/>
      <c r="D42" s="2"/>
      <c r="E42" s="2"/>
      <c r="F42" s="2"/>
      <c r="G42" s="2"/>
    </row>
    <row r="43" spans="2:9" ht="17.25">
      <c r="B43" s="19"/>
      <c r="C43" s="19"/>
      <c r="D43" s="19"/>
      <c r="E43" s="19"/>
      <c r="F43" s="19"/>
      <c r="G43" s="19"/>
      <c r="H43" s="19"/>
    </row>
    <row r="44" spans="2:9" ht="17.25">
      <c r="B44" s="20" t="s">
        <v>17</v>
      </c>
      <c r="C44" s="19"/>
      <c r="D44" s="19"/>
      <c r="E44" s="19"/>
      <c r="F44" s="19"/>
      <c r="G44" s="19"/>
      <c r="H44" s="19"/>
    </row>
    <row r="45" spans="2:9" ht="18" thickBot="1">
      <c r="B45" s="22"/>
      <c r="C45" s="22"/>
      <c r="D45" s="22"/>
      <c r="E45" s="22"/>
      <c r="F45" s="22"/>
      <c r="G45" s="22"/>
      <c r="H45" s="22"/>
    </row>
    <row r="47" spans="2:9">
      <c r="F47" s="5"/>
    </row>
    <row r="48" spans="2:9" ht="18" thickBot="1">
      <c r="B48" s="12" t="s">
        <v>46</v>
      </c>
      <c r="C48" s="23"/>
      <c r="D48" s="23"/>
      <c r="E48" s="23"/>
      <c r="F48" s="23"/>
      <c r="G48" s="23"/>
      <c r="H48" s="185" t="s">
        <v>13</v>
      </c>
      <c r="I48" s="185"/>
    </row>
    <row r="49" spans="2:9" ht="15.75" thickBot="1">
      <c r="B49" s="145" t="s">
        <v>18</v>
      </c>
      <c r="C49" s="145"/>
      <c r="D49" s="146"/>
      <c r="E49" s="73">
        <v>40543</v>
      </c>
      <c r="F49" s="73">
        <v>40908</v>
      </c>
      <c r="G49" s="73">
        <v>41274</v>
      </c>
      <c r="H49" s="73">
        <v>41639</v>
      </c>
      <c r="I49" s="73">
        <v>42004</v>
      </c>
    </row>
    <row r="50" spans="2:9" ht="17.25">
      <c r="B50" s="169" t="s">
        <v>0</v>
      </c>
      <c r="C50" s="169"/>
      <c r="D50" s="170"/>
      <c r="E50" s="80">
        <v>714295</v>
      </c>
      <c r="F50" s="80">
        <v>772175</v>
      </c>
      <c r="G50" s="80">
        <v>805549</v>
      </c>
      <c r="H50" s="80">
        <v>881844</v>
      </c>
      <c r="I50" s="80">
        <v>944559</v>
      </c>
    </row>
    <row r="51" spans="2:9" ht="17.25">
      <c r="B51" s="171" t="s">
        <v>1</v>
      </c>
      <c r="C51" s="171"/>
      <c r="D51" s="172"/>
      <c r="E51" s="81">
        <v>17170</v>
      </c>
      <c r="F51" s="81">
        <v>16850</v>
      </c>
      <c r="G51" s="81">
        <v>17821</v>
      </c>
      <c r="H51" s="81">
        <v>19539</v>
      </c>
      <c r="I51" s="81">
        <v>20178</v>
      </c>
    </row>
    <row r="52" spans="2:9" ht="17.25">
      <c r="B52" s="173" t="s">
        <v>2</v>
      </c>
      <c r="C52" s="173"/>
      <c r="D52" s="174"/>
      <c r="E52" s="83">
        <v>4295</v>
      </c>
      <c r="F52" s="83">
        <v>5058</v>
      </c>
      <c r="G52" s="83">
        <v>5876</v>
      </c>
      <c r="H52" s="83">
        <v>6957</v>
      </c>
      <c r="I52" s="83">
        <v>7486</v>
      </c>
    </row>
    <row r="53" spans="2:9" ht="18" thickBot="1">
      <c r="B53" s="158" t="s">
        <v>3</v>
      </c>
      <c r="C53" s="158"/>
      <c r="D53" s="159"/>
      <c r="E53" s="79">
        <v>5348</v>
      </c>
      <c r="F53" s="79">
        <v>5242</v>
      </c>
      <c r="G53" s="79">
        <v>5261</v>
      </c>
      <c r="H53" s="79">
        <v>5182</v>
      </c>
      <c r="I53" s="79">
        <v>5142</v>
      </c>
    </row>
    <row r="54" spans="2:9" s="71" customFormat="1" ht="18" thickBot="1">
      <c r="B54" s="147" t="s">
        <v>4</v>
      </c>
      <c r="C54" s="147"/>
      <c r="D54" s="148"/>
      <c r="E54" s="82">
        <v>741108</v>
      </c>
      <c r="F54" s="82">
        <v>799325</v>
      </c>
      <c r="G54" s="82">
        <v>834507</v>
      </c>
      <c r="H54" s="82">
        <v>913522</v>
      </c>
      <c r="I54" s="82">
        <v>977365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2" t="s">
        <v>47</v>
      </c>
      <c r="C82" s="23"/>
      <c r="D82" s="23"/>
      <c r="E82" s="23"/>
      <c r="F82" s="23"/>
      <c r="G82" s="23"/>
      <c r="H82" s="24" t="s">
        <v>12</v>
      </c>
      <c r="I82"/>
      <c r="J82"/>
      <c r="K82"/>
    </row>
    <row r="83" spans="2:11" ht="15.75" thickBot="1">
      <c r="B83" s="32" t="s">
        <v>18</v>
      </c>
      <c r="C83" s="73">
        <f>EDATE(D83,-1)</f>
        <v>42093</v>
      </c>
      <c r="D83" s="73">
        <f>EDATE(E83,-1)</f>
        <v>42124</v>
      </c>
      <c r="E83" s="73">
        <f>EDATE(F83,-1)</f>
        <v>42154</v>
      </c>
      <c r="F83" s="73">
        <f>EDATE(G83,-1)</f>
        <v>42185</v>
      </c>
      <c r="G83" s="73">
        <f>EDATE(H83,-1)</f>
        <v>42216</v>
      </c>
      <c r="H83" s="73">
        <f>EDATE(E11,1)</f>
        <v>42247</v>
      </c>
      <c r="I83"/>
      <c r="J83"/>
    </row>
    <row r="84" spans="2:11" ht="16.5" customHeight="1">
      <c r="B84" s="25" t="s">
        <v>0</v>
      </c>
      <c r="C84" s="80">
        <v>965577</v>
      </c>
      <c r="D84" s="80">
        <v>971876</v>
      </c>
      <c r="E84" s="80">
        <v>975467</v>
      </c>
      <c r="F84" s="80">
        <v>980206</v>
      </c>
      <c r="G84" s="80">
        <v>984614</v>
      </c>
      <c r="H84" s="80">
        <v>991257</v>
      </c>
    </row>
    <row r="85" spans="2:11" ht="16.5" customHeight="1">
      <c r="B85" s="26" t="s">
        <v>1</v>
      </c>
      <c r="C85" s="81">
        <v>20587</v>
      </c>
      <c r="D85" s="81">
        <v>20753</v>
      </c>
      <c r="E85" s="81">
        <v>20771</v>
      </c>
      <c r="F85" s="81">
        <v>20872</v>
      </c>
      <c r="G85" s="81">
        <v>20904</v>
      </c>
      <c r="H85" s="81">
        <v>20981</v>
      </c>
    </row>
    <row r="86" spans="2:11" ht="16.5" customHeight="1">
      <c r="B86" s="27" t="s">
        <v>2</v>
      </c>
      <c r="C86" s="83">
        <v>8231</v>
      </c>
      <c r="D86" s="83">
        <v>8355</v>
      </c>
      <c r="E86" s="83">
        <v>8400</v>
      </c>
      <c r="F86" s="83">
        <v>8385</v>
      </c>
      <c r="G86" s="83">
        <v>8823</v>
      </c>
      <c r="H86" s="83">
        <v>8602</v>
      </c>
    </row>
    <row r="87" spans="2:11" ht="16.5" customHeight="1" thickBot="1">
      <c r="B87" s="28" t="s">
        <v>3</v>
      </c>
      <c r="C87" s="79">
        <v>5043</v>
      </c>
      <c r="D87" s="79">
        <v>4971</v>
      </c>
      <c r="E87" s="79">
        <v>4915</v>
      </c>
      <c r="F87" s="79">
        <v>4856</v>
      </c>
      <c r="G87" s="79">
        <v>4715</v>
      </c>
      <c r="H87" s="79">
        <v>4694</v>
      </c>
    </row>
    <row r="88" spans="2:11" s="71" customFormat="1" ht="18" thickBot="1">
      <c r="B88" s="113" t="s">
        <v>4</v>
      </c>
      <c r="C88" s="82">
        <v>999438</v>
      </c>
      <c r="D88" s="82">
        <v>1005955</v>
      </c>
      <c r="E88" s="82">
        <v>1009553</v>
      </c>
      <c r="F88" s="82">
        <v>1014319</v>
      </c>
      <c r="G88" s="82">
        <v>1019056</v>
      </c>
      <c r="H88" s="82">
        <v>1025534</v>
      </c>
      <c r="I88" s="58"/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29"/>
      <c r="C123" s="29"/>
      <c r="D123" s="29"/>
      <c r="E123" s="29"/>
      <c r="F123" s="29"/>
      <c r="G123" s="29"/>
      <c r="H123" s="29"/>
    </row>
    <row r="124" spans="2:8" ht="17.25">
      <c r="B124" s="30" t="s">
        <v>25</v>
      </c>
      <c r="C124" s="92">
        <f>B3</f>
        <v>42247</v>
      </c>
      <c r="D124" s="29"/>
      <c r="E124" s="29"/>
      <c r="F124" s="29"/>
      <c r="G124" s="29"/>
      <c r="H124" s="29"/>
    </row>
    <row r="125" spans="2:8" ht="18" thickBot="1">
      <c r="B125" s="31"/>
      <c r="C125" s="31"/>
      <c r="D125" s="31"/>
      <c r="E125" s="31"/>
      <c r="F125" s="31"/>
      <c r="G125" s="31"/>
      <c r="H125" s="31"/>
    </row>
    <row r="127" spans="2:8" ht="18" thickBot="1">
      <c r="B127" s="62"/>
      <c r="C127" s="74"/>
      <c r="D127" s="36"/>
      <c r="E127" s="36"/>
      <c r="F127" s="36"/>
      <c r="G127" s="36"/>
      <c r="H127" s="37" t="s">
        <v>13</v>
      </c>
    </row>
    <row r="128" spans="2:8" ht="30.75" customHeight="1" thickBot="1">
      <c r="B128" s="146" t="s">
        <v>26</v>
      </c>
      <c r="C128" s="149"/>
      <c r="D128" s="149"/>
      <c r="E128" s="149"/>
      <c r="F128" s="149"/>
      <c r="G128" s="150" t="s">
        <v>5</v>
      </c>
      <c r="H128" s="151"/>
    </row>
    <row r="129" spans="2:10" ht="18" customHeight="1" thickBot="1">
      <c r="B129" s="133" t="s">
        <v>22</v>
      </c>
      <c r="C129" s="152"/>
      <c r="D129" s="152"/>
      <c r="E129" s="152"/>
      <c r="F129" s="152"/>
      <c r="G129" s="153">
        <v>395</v>
      </c>
      <c r="H129" s="154"/>
    </row>
    <row r="132" spans="2:10" ht="17.25">
      <c r="B132" s="33"/>
      <c r="C132" s="33"/>
      <c r="D132" s="33"/>
      <c r="E132" s="33"/>
      <c r="F132" s="33"/>
      <c r="G132" s="33"/>
      <c r="H132" s="33"/>
    </row>
    <row r="133" spans="2:10" ht="17.25">
      <c r="B133" s="34" t="s">
        <v>21</v>
      </c>
      <c r="C133" s="33"/>
      <c r="D133" s="33"/>
      <c r="E133" s="34"/>
      <c r="F133" s="97">
        <f>C6</f>
        <v>42247</v>
      </c>
      <c r="G133" s="33"/>
      <c r="H133" s="33"/>
    </row>
    <row r="134" spans="2:10" ht="18" thickBot="1">
      <c r="B134" s="35"/>
      <c r="C134" s="35"/>
      <c r="D134" s="35"/>
      <c r="E134" s="35"/>
      <c r="F134" s="35"/>
      <c r="G134" s="35"/>
      <c r="H134" s="35"/>
    </row>
    <row r="136" spans="2:10" ht="17.25">
      <c r="B136" s="87" t="s">
        <v>27</v>
      </c>
      <c r="C136" s="38"/>
      <c r="D136" s="38"/>
      <c r="E136" s="38"/>
      <c r="F136" s="38"/>
      <c r="G136" s="38"/>
      <c r="H136" s="39" t="s">
        <v>13</v>
      </c>
    </row>
    <row r="137" spans="2:10" ht="18" thickBot="1">
      <c r="B137" s="88" t="s">
        <v>28</v>
      </c>
      <c r="C137" s="38"/>
      <c r="D137" s="38"/>
      <c r="E137" s="38"/>
      <c r="F137" s="38"/>
      <c r="G137" s="38"/>
      <c r="H137" s="39"/>
    </row>
    <row r="138" spans="2:10" ht="15.75" customHeight="1" thickBot="1">
      <c r="B138" s="155" t="s">
        <v>19</v>
      </c>
      <c r="C138" s="155"/>
      <c r="D138" s="155"/>
      <c r="E138" s="155"/>
      <c r="F138" s="156"/>
      <c r="G138" s="157" t="s">
        <v>6</v>
      </c>
      <c r="H138" s="144"/>
      <c r="I138"/>
    </row>
    <row r="139" spans="2:10" ht="17.25" customHeight="1">
      <c r="B139" s="140" t="s">
        <v>52</v>
      </c>
      <c r="C139" s="140" t="s">
        <v>52</v>
      </c>
      <c r="D139" s="140" t="s">
        <v>52</v>
      </c>
      <c r="E139" s="140" t="s">
        <v>52</v>
      </c>
      <c r="F139" s="141" t="s">
        <v>52</v>
      </c>
      <c r="G139" s="142">
        <v>222769</v>
      </c>
      <c r="H139" s="143">
        <v>222769</v>
      </c>
      <c r="I139" s="47"/>
      <c r="J139" s="50"/>
    </row>
    <row r="140" spans="2:10" ht="13.5" customHeight="1">
      <c r="B140" s="136" t="s">
        <v>32</v>
      </c>
      <c r="C140" s="136" t="s">
        <v>32</v>
      </c>
      <c r="D140" s="136" t="s">
        <v>32</v>
      </c>
      <c r="E140" s="136" t="s">
        <v>32</v>
      </c>
      <c r="F140" s="137" t="s">
        <v>32</v>
      </c>
      <c r="G140" s="138">
        <v>178795</v>
      </c>
      <c r="H140" s="139">
        <v>178795</v>
      </c>
      <c r="I140" s="47"/>
      <c r="J140" s="50"/>
    </row>
    <row r="141" spans="2:10" ht="17.25" customHeight="1">
      <c r="B141" s="136" t="s">
        <v>53</v>
      </c>
      <c r="C141" s="136" t="s">
        <v>53</v>
      </c>
      <c r="D141" s="136" t="s">
        <v>53</v>
      </c>
      <c r="E141" s="136" t="s">
        <v>53</v>
      </c>
      <c r="F141" s="137" t="s">
        <v>53</v>
      </c>
      <c r="G141" s="138">
        <v>133432</v>
      </c>
      <c r="H141" s="139">
        <v>133432</v>
      </c>
      <c r="I141" s="47"/>
      <c r="J141" s="50"/>
    </row>
    <row r="142" spans="2:10" ht="17.25" customHeight="1">
      <c r="B142" s="136" t="s">
        <v>34</v>
      </c>
      <c r="C142" s="136" t="s">
        <v>34</v>
      </c>
      <c r="D142" s="136" t="s">
        <v>34</v>
      </c>
      <c r="E142" s="136" t="s">
        <v>34</v>
      </c>
      <c r="F142" s="137" t="s">
        <v>34</v>
      </c>
      <c r="G142" s="138">
        <v>132552</v>
      </c>
      <c r="H142" s="139">
        <v>132552</v>
      </c>
      <c r="I142" s="47"/>
      <c r="J142" s="50"/>
    </row>
    <row r="143" spans="2:10" ht="17.25" customHeight="1">
      <c r="B143" s="136" t="s">
        <v>50</v>
      </c>
      <c r="C143" s="136" t="s">
        <v>50</v>
      </c>
      <c r="D143" s="136" t="s">
        <v>50</v>
      </c>
      <c r="E143" s="136" t="s">
        <v>50</v>
      </c>
      <c r="F143" s="137" t="s">
        <v>50</v>
      </c>
      <c r="G143" s="138">
        <v>64435</v>
      </c>
      <c r="H143" s="139">
        <v>64435</v>
      </c>
      <c r="I143" s="47"/>
      <c r="J143" s="50"/>
    </row>
    <row r="144" spans="2:10" ht="13.5" customHeight="1">
      <c r="B144" s="136" t="s">
        <v>54</v>
      </c>
      <c r="C144" s="136" t="s">
        <v>54</v>
      </c>
      <c r="D144" s="136" t="s">
        <v>54</v>
      </c>
      <c r="E144" s="136" t="s">
        <v>54</v>
      </c>
      <c r="F144" s="137" t="s">
        <v>54</v>
      </c>
      <c r="G144" s="138">
        <v>63642</v>
      </c>
      <c r="H144" s="139">
        <v>63642</v>
      </c>
      <c r="I144" s="51"/>
      <c r="J144" s="50"/>
    </row>
    <row r="145" spans="2:13" ht="17.25" customHeight="1">
      <c r="B145" s="136" t="s">
        <v>36</v>
      </c>
      <c r="C145" s="136" t="s">
        <v>36</v>
      </c>
      <c r="D145" s="136" t="s">
        <v>36</v>
      </c>
      <c r="E145" s="136" t="s">
        <v>36</v>
      </c>
      <c r="F145" s="137" t="s">
        <v>36</v>
      </c>
      <c r="G145" s="138">
        <v>47253</v>
      </c>
      <c r="H145" s="139">
        <v>47253</v>
      </c>
      <c r="I145" s="47"/>
      <c r="J145" s="50"/>
    </row>
    <row r="146" spans="2:13" ht="17.25" customHeight="1">
      <c r="B146" s="136" t="s">
        <v>37</v>
      </c>
      <c r="C146" s="136" t="s">
        <v>37</v>
      </c>
      <c r="D146" s="136" t="s">
        <v>37</v>
      </c>
      <c r="E146" s="136" t="s">
        <v>37</v>
      </c>
      <c r="F146" s="137" t="s">
        <v>37</v>
      </c>
      <c r="G146" s="138">
        <v>31481</v>
      </c>
      <c r="H146" s="139">
        <v>31481</v>
      </c>
      <c r="I146" s="47"/>
      <c r="J146" s="50"/>
    </row>
    <row r="147" spans="2:13" ht="17.25" customHeight="1">
      <c r="B147" s="136" t="s">
        <v>38</v>
      </c>
      <c r="C147" s="136" t="s">
        <v>38</v>
      </c>
      <c r="D147" s="136" t="s">
        <v>38</v>
      </c>
      <c r="E147" s="136" t="s">
        <v>38</v>
      </c>
      <c r="F147" s="137" t="s">
        <v>38</v>
      </c>
      <c r="G147" s="138">
        <v>22056</v>
      </c>
      <c r="H147" s="139">
        <v>22056</v>
      </c>
      <c r="I147" s="47"/>
      <c r="J147" s="50"/>
      <c r="L147"/>
    </row>
    <row r="148" spans="2:13" ht="18" customHeight="1" thickBot="1">
      <c r="B148" s="132" t="s">
        <v>39</v>
      </c>
      <c r="C148" s="132" t="s">
        <v>39</v>
      </c>
      <c r="D148" s="132" t="s">
        <v>39</v>
      </c>
      <c r="E148" s="132" t="s">
        <v>39</v>
      </c>
      <c r="F148" s="133" t="s">
        <v>39</v>
      </c>
      <c r="G148" s="134">
        <v>19818</v>
      </c>
      <c r="H148" s="135">
        <v>19818</v>
      </c>
      <c r="I148" s="47"/>
      <c r="J148" s="50"/>
      <c r="L148"/>
    </row>
    <row r="149" spans="2:13" ht="17.25">
      <c r="G149" s="41"/>
      <c r="H149" s="41"/>
      <c r="I149" s="52"/>
      <c r="J149" s="52"/>
    </row>
    <row r="150" spans="2:13" ht="17.25">
      <c r="B150" s="40"/>
      <c r="C150" s="40"/>
      <c r="D150" s="40"/>
      <c r="E150" s="40"/>
      <c r="F150" s="40"/>
      <c r="G150" s="41"/>
      <c r="H150" s="41"/>
      <c r="I150" s="52"/>
      <c r="J150" s="52"/>
    </row>
    <row r="151" spans="2:13" ht="17.25">
      <c r="B151" s="87" t="s">
        <v>7</v>
      </c>
      <c r="C151" s="38"/>
      <c r="D151" s="38"/>
      <c r="E151" s="38"/>
      <c r="F151" s="38"/>
      <c r="G151" s="38"/>
      <c r="H151" s="39" t="s">
        <v>12</v>
      </c>
      <c r="I151" s="52"/>
      <c r="J151" s="52"/>
    </row>
    <row r="152" spans="2:13" ht="18" thickBot="1">
      <c r="B152" s="88" t="s">
        <v>29</v>
      </c>
      <c r="C152" s="38"/>
      <c r="D152" s="38"/>
      <c r="E152" s="38"/>
      <c r="F152" s="38"/>
      <c r="G152" s="38"/>
      <c r="H152" s="39"/>
      <c r="I152" s="52"/>
      <c r="J152" s="52"/>
    </row>
    <row r="153" spans="2:13" ht="15.75" thickBot="1">
      <c r="B153" s="145" t="s">
        <v>19</v>
      </c>
      <c r="C153" s="145"/>
      <c r="D153" s="145"/>
      <c r="E153" s="145"/>
      <c r="F153" s="146"/>
      <c r="G153" s="144" t="s">
        <v>6</v>
      </c>
      <c r="H153" s="144"/>
      <c r="I153" s="52"/>
      <c r="J153" s="52"/>
      <c r="K153"/>
      <c r="L153"/>
      <c r="M153"/>
    </row>
    <row r="154" spans="2:13" ht="17.25" customHeight="1">
      <c r="B154" s="140" t="s">
        <v>32</v>
      </c>
      <c r="C154" s="140" t="s">
        <v>32</v>
      </c>
      <c r="D154" s="140" t="s">
        <v>32</v>
      </c>
      <c r="E154" s="140" t="s">
        <v>32</v>
      </c>
      <c r="F154" s="141" t="s">
        <v>32</v>
      </c>
      <c r="G154" s="142">
        <v>11791</v>
      </c>
      <c r="H154" s="143">
        <v>11791</v>
      </c>
      <c r="I154" s="53"/>
      <c r="J154" s="50"/>
      <c r="K154" s="49"/>
      <c r="L154"/>
      <c r="M154"/>
    </row>
    <row r="155" spans="2:13" ht="17.25" customHeight="1">
      <c r="B155" s="136" t="s">
        <v>52</v>
      </c>
      <c r="C155" s="136" t="s">
        <v>52</v>
      </c>
      <c r="D155" s="136" t="s">
        <v>52</v>
      </c>
      <c r="E155" s="136" t="s">
        <v>52</v>
      </c>
      <c r="F155" s="137" t="s">
        <v>52</v>
      </c>
      <c r="G155" s="138">
        <v>10708</v>
      </c>
      <c r="H155" s="139">
        <v>10708</v>
      </c>
      <c r="I155" s="53"/>
      <c r="J155" s="50"/>
      <c r="K155" s="49"/>
      <c r="L155"/>
      <c r="M155"/>
    </row>
    <row r="156" spans="2:13" ht="17.25" customHeight="1">
      <c r="B156" s="136" t="s">
        <v>53</v>
      </c>
      <c r="C156" s="136" t="s">
        <v>53</v>
      </c>
      <c r="D156" s="136" t="s">
        <v>53</v>
      </c>
      <c r="E156" s="136" t="s">
        <v>53</v>
      </c>
      <c r="F156" s="137" t="s">
        <v>53</v>
      </c>
      <c r="G156" s="138">
        <v>9973</v>
      </c>
      <c r="H156" s="139">
        <v>9973</v>
      </c>
      <c r="I156" s="53"/>
      <c r="J156" s="50"/>
      <c r="K156" s="49"/>
      <c r="L156"/>
      <c r="M156"/>
    </row>
    <row r="157" spans="2:13" ht="17.25">
      <c r="B157" s="136" t="s">
        <v>34</v>
      </c>
      <c r="C157" s="136" t="s">
        <v>34</v>
      </c>
      <c r="D157" s="136" t="s">
        <v>34</v>
      </c>
      <c r="E157" s="136" t="s">
        <v>34</v>
      </c>
      <c r="F157" s="137" t="s">
        <v>34</v>
      </c>
      <c r="G157" s="138">
        <v>9634</v>
      </c>
      <c r="H157" s="139">
        <v>9634</v>
      </c>
      <c r="I157" s="53"/>
      <c r="J157" s="50"/>
      <c r="K157" s="49"/>
      <c r="L157"/>
      <c r="M157"/>
    </row>
    <row r="158" spans="2:13" ht="17.25" customHeight="1">
      <c r="B158" s="136" t="s">
        <v>50</v>
      </c>
      <c r="C158" s="136" t="s">
        <v>50</v>
      </c>
      <c r="D158" s="136" t="s">
        <v>50</v>
      </c>
      <c r="E158" s="136" t="s">
        <v>50</v>
      </c>
      <c r="F158" s="137" t="s">
        <v>50</v>
      </c>
      <c r="G158" s="138">
        <v>6427</v>
      </c>
      <c r="H158" s="139">
        <v>6427</v>
      </c>
      <c r="I158" s="53"/>
      <c r="J158" s="50"/>
      <c r="K158" s="49"/>
      <c r="L158"/>
      <c r="M158"/>
    </row>
    <row r="159" spans="2:13" ht="17.25" customHeight="1">
      <c r="B159" s="136" t="s">
        <v>54</v>
      </c>
      <c r="C159" s="136" t="s">
        <v>54</v>
      </c>
      <c r="D159" s="136" t="s">
        <v>54</v>
      </c>
      <c r="E159" s="136" t="s">
        <v>54</v>
      </c>
      <c r="F159" s="137" t="s">
        <v>54</v>
      </c>
      <c r="G159" s="138">
        <v>4086</v>
      </c>
      <c r="H159" s="139">
        <v>4086</v>
      </c>
      <c r="I159" s="54"/>
      <c r="J159" s="50"/>
      <c r="K159" s="49"/>
      <c r="L159"/>
      <c r="M159"/>
    </row>
    <row r="160" spans="2:13" ht="17.25" customHeight="1">
      <c r="B160" s="136" t="s">
        <v>36</v>
      </c>
      <c r="C160" s="136" t="s">
        <v>36</v>
      </c>
      <c r="D160" s="136" t="s">
        <v>36</v>
      </c>
      <c r="E160" s="136" t="s">
        <v>36</v>
      </c>
      <c r="F160" s="137" t="s">
        <v>36</v>
      </c>
      <c r="G160" s="138">
        <v>2852</v>
      </c>
      <c r="H160" s="139">
        <v>2852</v>
      </c>
      <c r="I160" s="53"/>
      <c r="J160" s="50"/>
      <c r="K160" s="49"/>
      <c r="L160"/>
      <c r="M160"/>
    </row>
    <row r="161" spans="2:13" ht="17.25" customHeight="1">
      <c r="B161" s="136" t="s">
        <v>55</v>
      </c>
      <c r="C161" s="136" t="s">
        <v>55</v>
      </c>
      <c r="D161" s="136" t="s">
        <v>55</v>
      </c>
      <c r="E161" s="136" t="s">
        <v>55</v>
      </c>
      <c r="F161" s="137" t="s">
        <v>55</v>
      </c>
      <c r="G161" s="138">
        <v>1986</v>
      </c>
      <c r="H161" s="139">
        <v>1986</v>
      </c>
      <c r="I161" s="53"/>
      <c r="J161" s="50"/>
      <c r="K161" s="49"/>
      <c r="L161"/>
      <c r="M161"/>
    </row>
    <row r="162" spans="2:13" ht="17.25" customHeight="1">
      <c r="B162" s="136" t="s">
        <v>38</v>
      </c>
      <c r="C162" s="136" t="s">
        <v>38</v>
      </c>
      <c r="D162" s="136" t="s">
        <v>38</v>
      </c>
      <c r="E162" s="136" t="s">
        <v>38</v>
      </c>
      <c r="F162" s="137" t="s">
        <v>38</v>
      </c>
      <c r="G162" s="138">
        <v>1322</v>
      </c>
      <c r="H162" s="139">
        <v>1322</v>
      </c>
      <c r="I162" s="53"/>
      <c r="J162" s="50"/>
      <c r="K162" s="49"/>
      <c r="L162"/>
      <c r="M162"/>
    </row>
    <row r="163" spans="2:13" ht="18" customHeight="1" thickBot="1">
      <c r="B163" s="132" t="s">
        <v>37</v>
      </c>
      <c r="C163" s="132" t="s">
        <v>37</v>
      </c>
      <c r="D163" s="132" t="s">
        <v>37</v>
      </c>
      <c r="E163" s="132" t="s">
        <v>37</v>
      </c>
      <c r="F163" s="133" t="s">
        <v>37</v>
      </c>
      <c r="G163" s="134">
        <v>1202</v>
      </c>
      <c r="H163" s="135">
        <v>1202</v>
      </c>
      <c r="I163" s="53"/>
      <c r="J163" s="50"/>
      <c r="K163" s="49"/>
      <c r="L163"/>
      <c r="M163"/>
    </row>
    <row r="164" spans="2:13" ht="17.25">
      <c r="B164" s="40"/>
      <c r="C164" s="40"/>
      <c r="D164" s="40"/>
      <c r="E164" s="40"/>
      <c r="F164" s="40"/>
      <c r="G164" s="93"/>
      <c r="H164" s="93"/>
      <c r="I164" s="52"/>
      <c r="J164" s="52"/>
      <c r="L164"/>
      <c r="M164"/>
    </row>
    <row r="165" spans="2:13" ht="17.25">
      <c r="G165" s="41"/>
      <c r="H165" s="41"/>
      <c r="I165" s="2"/>
      <c r="J165" s="2"/>
    </row>
    <row r="166" spans="2:13" ht="17.25">
      <c r="B166" s="87" t="s">
        <v>8</v>
      </c>
      <c r="C166" s="38"/>
      <c r="D166" s="38"/>
      <c r="E166" s="38"/>
      <c r="F166" s="38"/>
      <c r="G166" s="38"/>
      <c r="H166" s="39" t="s">
        <v>14</v>
      </c>
      <c r="I166" s="2"/>
      <c r="J166" s="52"/>
      <c r="K166"/>
    </row>
    <row r="167" spans="2:13" ht="18" thickBot="1">
      <c r="B167" s="88" t="s">
        <v>30</v>
      </c>
      <c r="C167" s="38"/>
      <c r="D167" s="38"/>
      <c r="E167" s="38"/>
      <c r="F167" s="38"/>
      <c r="G167" s="38"/>
      <c r="H167" s="39"/>
      <c r="I167" s="2"/>
      <c r="J167" s="52"/>
      <c r="K167"/>
    </row>
    <row r="168" spans="2:13" ht="15" customHeight="1" thickBot="1">
      <c r="B168" s="114" t="s">
        <v>19</v>
      </c>
      <c r="C168" s="114"/>
      <c r="D168" s="114"/>
      <c r="E168" s="114"/>
      <c r="F168" s="115"/>
      <c r="G168" s="144" t="s">
        <v>9</v>
      </c>
      <c r="H168" s="144"/>
      <c r="I168" s="2"/>
      <c r="J168" s="2"/>
    </row>
    <row r="169" spans="2:13" ht="17.25" customHeight="1">
      <c r="B169" s="140" t="s">
        <v>49</v>
      </c>
      <c r="C169" s="140" t="s">
        <v>49</v>
      </c>
      <c r="D169" s="140" t="s">
        <v>49</v>
      </c>
      <c r="E169" s="140" t="s">
        <v>49</v>
      </c>
      <c r="F169" s="141" t="s">
        <v>49</v>
      </c>
      <c r="G169" s="142">
        <v>1725854557102.8101</v>
      </c>
      <c r="H169" s="143">
        <v>1725854557102.8101</v>
      </c>
      <c r="I169" s="55"/>
      <c r="J169" s="56"/>
    </row>
    <row r="170" spans="2:13" ht="17.25" customHeight="1">
      <c r="B170" s="136" t="s">
        <v>50</v>
      </c>
      <c r="C170" s="136" t="s">
        <v>50</v>
      </c>
      <c r="D170" s="136" t="s">
        <v>50</v>
      </c>
      <c r="E170" s="136" t="s">
        <v>50</v>
      </c>
      <c r="F170" s="137" t="s">
        <v>50</v>
      </c>
      <c r="G170" s="138">
        <v>1399892839740.6899</v>
      </c>
      <c r="H170" s="139">
        <v>1399892839740.6899</v>
      </c>
      <c r="I170" s="55"/>
      <c r="J170" s="56"/>
    </row>
    <row r="171" spans="2:13" ht="17.25" customHeight="1">
      <c r="B171" s="136" t="s">
        <v>34</v>
      </c>
      <c r="C171" s="136" t="s">
        <v>34</v>
      </c>
      <c r="D171" s="136" t="s">
        <v>34</v>
      </c>
      <c r="E171" s="136" t="s">
        <v>34</v>
      </c>
      <c r="F171" s="137" t="s">
        <v>34</v>
      </c>
      <c r="G171" s="138">
        <v>1078447091515.73</v>
      </c>
      <c r="H171" s="139">
        <v>1078447091515.73</v>
      </c>
      <c r="I171" s="55"/>
      <c r="J171" s="56"/>
    </row>
    <row r="172" spans="2:13" ht="17.25" customHeight="1">
      <c r="B172" s="136" t="s">
        <v>32</v>
      </c>
      <c r="C172" s="136" t="s">
        <v>32</v>
      </c>
      <c r="D172" s="136" t="s">
        <v>32</v>
      </c>
      <c r="E172" s="136" t="s">
        <v>32</v>
      </c>
      <c r="F172" s="137" t="s">
        <v>32</v>
      </c>
      <c r="G172" s="138">
        <v>492289100927.94</v>
      </c>
      <c r="H172" s="139">
        <v>492289100927.94</v>
      </c>
      <c r="I172" s="55"/>
      <c r="J172" s="56"/>
    </row>
    <row r="173" spans="2:13" ht="17.25" customHeight="1">
      <c r="B173" s="136" t="s">
        <v>42</v>
      </c>
      <c r="C173" s="136" t="s">
        <v>42</v>
      </c>
      <c r="D173" s="136" t="s">
        <v>42</v>
      </c>
      <c r="E173" s="136" t="s">
        <v>42</v>
      </c>
      <c r="F173" s="137" t="s">
        <v>42</v>
      </c>
      <c r="G173" s="138">
        <v>339973944984.97998</v>
      </c>
      <c r="H173" s="139">
        <v>339973944984.97998</v>
      </c>
      <c r="I173" s="57"/>
      <c r="J173" s="50"/>
    </row>
    <row r="174" spans="2:13" ht="17.25" customHeight="1">
      <c r="B174" s="136" t="s">
        <v>57</v>
      </c>
      <c r="C174" s="136" t="s">
        <v>57</v>
      </c>
      <c r="D174" s="136" t="s">
        <v>57</v>
      </c>
      <c r="E174" s="136" t="s">
        <v>57</v>
      </c>
      <c r="F174" s="137" t="s">
        <v>57</v>
      </c>
      <c r="G174" s="138">
        <v>323817388622.37</v>
      </c>
      <c r="H174" s="139">
        <v>323817388622.37</v>
      </c>
      <c r="I174" s="55"/>
      <c r="J174" s="56"/>
    </row>
    <row r="175" spans="2:13" ht="17.25" customHeight="1">
      <c r="B175" s="136" t="s">
        <v>53</v>
      </c>
      <c r="C175" s="136" t="s">
        <v>53</v>
      </c>
      <c r="D175" s="136" t="s">
        <v>53</v>
      </c>
      <c r="E175" s="136" t="s">
        <v>53</v>
      </c>
      <c r="F175" s="137" t="s">
        <v>53</v>
      </c>
      <c r="G175" s="138">
        <v>257126992630.48001</v>
      </c>
      <c r="H175" s="139">
        <v>257126992630.48001</v>
      </c>
      <c r="I175" s="55"/>
      <c r="J175" s="56"/>
    </row>
    <row r="176" spans="2:13" ht="17.25" customHeight="1">
      <c r="B176" s="136" t="s">
        <v>37</v>
      </c>
      <c r="C176" s="136" t="s">
        <v>37</v>
      </c>
      <c r="D176" s="136" t="s">
        <v>37</v>
      </c>
      <c r="E176" s="136" t="s">
        <v>37</v>
      </c>
      <c r="F176" s="137" t="s">
        <v>37</v>
      </c>
      <c r="G176" s="138">
        <v>183988441971.04999</v>
      </c>
      <c r="H176" s="139">
        <v>183988441971.04999</v>
      </c>
      <c r="I176" s="55"/>
      <c r="J176" s="56"/>
    </row>
    <row r="177" spans="2:10" ht="17.25" customHeight="1">
      <c r="B177" s="136" t="s">
        <v>58</v>
      </c>
      <c r="C177" s="136" t="s">
        <v>58</v>
      </c>
      <c r="D177" s="136" t="s">
        <v>58</v>
      </c>
      <c r="E177" s="136" t="s">
        <v>58</v>
      </c>
      <c r="F177" s="137" t="s">
        <v>58</v>
      </c>
      <c r="G177" s="138">
        <v>178426653304.5</v>
      </c>
      <c r="H177" s="139">
        <v>178426653304.5</v>
      </c>
      <c r="I177" s="55"/>
      <c r="J177" s="56"/>
    </row>
    <row r="178" spans="2:10" ht="18" customHeight="1" thickBot="1">
      <c r="B178" s="132" t="s">
        <v>36</v>
      </c>
      <c r="C178" s="132" t="s">
        <v>36</v>
      </c>
      <c r="D178" s="132" t="s">
        <v>36</v>
      </c>
      <c r="E178" s="132" t="s">
        <v>36</v>
      </c>
      <c r="F178" s="133" t="s">
        <v>36</v>
      </c>
      <c r="G178" s="134">
        <v>172901647536.73999</v>
      </c>
      <c r="H178" s="135">
        <v>172901647536.73999</v>
      </c>
      <c r="I178" s="55"/>
      <c r="J178" s="56"/>
    </row>
    <row r="179" spans="2:10" ht="17.25">
      <c r="G179" s="41"/>
      <c r="H179" s="41"/>
      <c r="J179" s="48"/>
    </row>
    <row r="180" spans="2:10">
      <c r="B180" s="58"/>
      <c r="J180" s="48"/>
    </row>
  </sheetData>
  <dataConsolidate link="1"/>
  <mergeCells count="100">
    <mergeCell ref="B178:F178"/>
    <mergeCell ref="G178:H178"/>
    <mergeCell ref="B175:F175"/>
    <mergeCell ref="G175:H175"/>
    <mergeCell ref="B176:F176"/>
    <mergeCell ref="G176:H176"/>
    <mergeCell ref="B177:F177"/>
    <mergeCell ref="G177:H177"/>
    <mergeCell ref="B172:F172"/>
    <mergeCell ref="G172:H172"/>
    <mergeCell ref="B173:F173"/>
    <mergeCell ref="G173:H173"/>
    <mergeCell ref="B174:F174"/>
    <mergeCell ref="G174:H174"/>
    <mergeCell ref="B171:F171"/>
    <mergeCell ref="G171:H171"/>
    <mergeCell ref="B161:F161"/>
    <mergeCell ref="G161:H161"/>
    <mergeCell ref="B162:F162"/>
    <mergeCell ref="G162:H162"/>
    <mergeCell ref="B163:F163"/>
    <mergeCell ref="G163:H163"/>
    <mergeCell ref="G168:H168"/>
    <mergeCell ref="B169:F169"/>
    <mergeCell ref="G169:H169"/>
    <mergeCell ref="B170:F170"/>
    <mergeCell ref="G170:H170"/>
    <mergeCell ref="B158:F158"/>
    <mergeCell ref="G158:H158"/>
    <mergeCell ref="B159:F159"/>
    <mergeCell ref="G159:H159"/>
    <mergeCell ref="B160:F160"/>
    <mergeCell ref="G160:H160"/>
    <mergeCell ref="B155:F155"/>
    <mergeCell ref="G155:H155"/>
    <mergeCell ref="B156:F156"/>
    <mergeCell ref="G156:H156"/>
    <mergeCell ref="B157:F157"/>
    <mergeCell ref="G157:H157"/>
    <mergeCell ref="B148:F148"/>
    <mergeCell ref="G148:H148"/>
    <mergeCell ref="B153:F153"/>
    <mergeCell ref="G153:H153"/>
    <mergeCell ref="B154:F154"/>
    <mergeCell ref="G154:H154"/>
    <mergeCell ref="B145:F145"/>
    <mergeCell ref="G145:H145"/>
    <mergeCell ref="B146:F146"/>
    <mergeCell ref="G146:H146"/>
    <mergeCell ref="B147:F147"/>
    <mergeCell ref="G147:H147"/>
    <mergeCell ref="B142:F142"/>
    <mergeCell ref="G142:H142"/>
    <mergeCell ref="B143:F143"/>
    <mergeCell ref="G143:H143"/>
    <mergeCell ref="B144:F144"/>
    <mergeCell ref="G144:H144"/>
    <mergeCell ref="B139:F139"/>
    <mergeCell ref="G139:H139"/>
    <mergeCell ref="B140:F140"/>
    <mergeCell ref="G140:H140"/>
    <mergeCell ref="B141:F141"/>
    <mergeCell ref="G141:H141"/>
    <mergeCell ref="B138:F138"/>
    <mergeCell ref="G138:H138"/>
    <mergeCell ref="H48:I48"/>
    <mergeCell ref="B49:D49"/>
    <mergeCell ref="B50:D50"/>
    <mergeCell ref="B51:D51"/>
    <mergeCell ref="B52:D52"/>
    <mergeCell ref="B53:D53"/>
    <mergeCell ref="B54:D54"/>
    <mergeCell ref="B128:F128"/>
    <mergeCell ref="G128:H128"/>
    <mergeCell ref="B129:F129"/>
    <mergeCell ref="G129:H129"/>
    <mergeCell ref="B39:D39"/>
    <mergeCell ref="B24:D24"/>
    <mergeCell ref="B25:D25"/>
    <mergeCell ref="B26:D26"/>
    <mergeCell ref="B27:D27"/>
    <mergeCell ref="B28:D28"/>
    <mergeCell ref="B33:D33"/>
    <mergeCell ref="B34:D34"/>
    <mergeCell ref="B35:D35"/>
    <mergeCell ref="B36:D36"/>
    <mergeCell ref="B37:D37"/>
    <mergeCell ref="B38:D38"/>
    <mergeCell ref="B23:D23"/>
    <mergeCell ref="B2:H2"/>
    <mergeCell ref="B3:H3"/>
    <mergeCell ref="I3:N3"/>
    <mergeCell ref="B11:D11"/>
    <mergeCell ref="B12:D12"/>
    <mergeCell ref="B13:D13"/>
    <mergeCell ref="B14:D14"/>
    <mergeCell ref="B15:D15"/>
    <mergeCell ref="B16:D16"/>
    <mergeCell ref="B17:D17"/>
    <mergeCell ref="B22:D22"/>
  </mergeCells>
  <pageMargins left="0.70866141732283472" right="0.70866141732283472" top="0.15748031496062992" bottom="0.15748031496062992" header="0.31496062992125984" footer="0.11811023622047245"/>
  <pageSetup paperSize="9" scale="47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49" max="16383" man="1"/>
    <brk id="192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45409">
          <objectPr defaultSize="0" autoPict="0" dde="1">
            <anchor moveWithCells="1">
              <from>
                <xdr:col>0</xdr:col>
                <xdr:colOff>123825</xdr:colOff>
                <xdr:row>72</xdr:row>
                <xdr:rowOff>123825</xdr:rowOff>
              </from>
              <to>
                <xdr:col>1</xdr:col>
                <xdr:colOff>257175</xdr:colOff>
                <xdr:row>74</xdr:row>
                <xdr:rowOff>0</xdr:rowOff>
              </to>
            </anchor>
          </objectPr>
        </oleObject>
      </mc:Choice>
      <mc:Fallback>
        <oleObject link="[1]!'!Январь2012!R1C2:R10C9'" oleUpdate="OLEUPDATE_ALWAYS" shapeId="145409"/>
      </mc:Fallback>
    </mc:AlternateContent>
  </oleObjec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04">
    <pageSetUpPr fitToPage="1"/>
  </sheetPr>
  <dimension ref="B2:N180"/>
  <sheetViews>
    <sheetView workbookViewId="0"/>
  </sheetViews>
  <sheetFormatPr defaultRowHeight="13.5"/>
  <cols>
    <col min="1" max="1" width="3.42578125" style="75" customWidth="1"/>
    <col min="2" max="2" width="46.7109375" style="75" customWidth="1"/>
    <col min="3" max="4" width="18.42578125" style="75" customWidth="1"/>
    <col min="5" max="9" width="25.5703125" style="75" customWidth="1"/>
    <col min="10" max="10" width="10.5703125" style="75" customWidth="1"/>
    <col min="11" max="11" width="14.85546875" style="75" bestFit="1" customWidth="1"/>
    <col min="12" max="12" width="9.140625" style="75"/>
    <col min="13" max="13" width="23.42578125" style="75" customWidth="1"/>
    <col min="14" max="16384" width="9.140625" style="75"/>
  </cols>
  <sheetData>
    <row r="2" spans="2:14" s="1" customFormat="1" ht="20.25">
      <c r="B2" s="183" t="s">
        <v>15</v>
      </c>
      <c r="C2" s="183"/>
      <c r="D2" s="183"/>
      <c r="E2" s="183"/>
      <c r="F2" s="183"/>
      <c r="G2" s="183"/>
      <c r="H2" s="183"/>
    </row>
    <row r="3" spans="2:14" s="1" customFormat="1" ht="21" thickBot="1">
      <c r="B3" s="184">
        <v>42277</v>
      </c>
      <c r="C3" s="184"/>
      <c r="D3" s="184"/>
      <c r="E3" s="184"/>
      <c r="F3" s="184"/>
      <c r="G3" s="184"/>
      <c r="H3" s="184"/>
      <c r="I3" s="184"/>
      <c r="J3" s="184"/>
      <c r="K3" s="184"/>
      <c r="L3" s="184"/>
      <c r="M3" s="184"/>
      <c r="N3" s="184"/>
    </row>
    <row r="4" spans="2:14" s="1" customFormat="1" ht="18" thickTop="1"/>
    <row r="5" spans="2:14" s="1" customFormat="1" ht="17.25">
      <c r="B5" s="17"/>
      <c r="C5" s="17"/>
      <c r="D5" s="17"/>
      <c r="E5" s="17"/>
      <c r="F5" s="17"/>
      <c r="G5" s="17"/>
      <c r="H5" s="17"/>
    </row>
    <row r="6" spans="2:14" s="1" customFormat="1" ht="17.25">
      <c r="B6" s="18" t="s">
        <v>20</v>
      </c>
      <c r="C6" s="68">
        <f>B3</f>
        <v>42277</v>
      </c>
      <c r="D6" s="17"/>
      <c r="E6" s="17"/>
      <c r="F6" s="17"/>
      <c r="G6" s="17"/>
      <c r="H6" s="17"/>
    </row>
    <row r="7" spans="2:14" s="1" customFormat="1" ht="18" thickBot="1">
      <c r="B7" s="21"/>
      <c r="C7" s="21"/>
      <c r="D7" s="21"/>
      <c r="E7" s="21"/>
      <c r="F7" s="21"/>
      <c r="G7" s="21"/>
      <c r="H7" s="21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3" t="s">
        <v>44</v>
      </c>
      <c r="C10" s="14"/>
      <c r="D10" s="14"/>
      <c r="E10" s="14"/>
      <c r="F10" s="14"/>
      <c r="G10" s="14"/>
      <c r="H10" s="15" t="s">
        <v>13</v>
      </c>
    </row>
    <row r="11" spans="2:14" s="46" customFormat="1" ht="15.75" thickBot="1">
      <c r="B11" s="179" t="s">
        <v>18</v>
      </c>
      <c r="C11" s="179"/>
      <c r="D11" s="180"/>
      <c r="E11" s="73">
        <v>42247</v>
      </c>
      <c r="F11" s="73">
        <f>EDATE(E11,1)</f>
        <v>42277</v>
      </c>
      <c r="G11" s="45" t="s">
        <v>10</v>
      </c>
      <c r="H11" s="45" t="s">
        <v>11</v>
      </c>
      <c r="J11" s="77"/>
    </row>
    <row r="12" spans="2:14" s="76" customFormat="1" ht="17.25">
      <c r="B12" s="181" t="s">
        <v>0</v>
      </c>
      <c r="C12" s="181"/>
      <c r="D12" s="182"/>
      <c r="E12" s="78">
        <f>Август2015!F12</f>
        <v>1235081</v>
      </c>
      <c r="F12" s="84">
        <v>1246115</v>
      </c>
      <c r="G12" s="11">
        <f>F12-E12</f>
        <v>11034</v>
      </c>
      <c r="H12" s="59">
        <f t="shared" ref="H12:H18" si="0">F12/E12-1</f>
        <v>8.9338270121555041E-3</v>
      </c>
      <c r="I12" s="85"/>
      <c r="J12" s="86"/>
    </row>
    <row r="13" spans="2:14" s="76" customFormat="1" ht="17.25">
      <c r="B13" s="177" t="s">
        <v>1</v>
      </c>
      <c r="C13" s="177"/>
      <c r="D13" s="178"/>
      <c r="E13" s="78">
        <f>Август2015!F13</f>
        <v>35814</v>
      </c>
      <c r="F13" s="84">
        <v>35949</v>
      </c>
      <c r="G13" s="11">
        <f t="shared" ref="G13:G18" si="1">F13-E13</f>
        <v>135</v>
      </c>
      <c r="H13" s="59">
        <f t="shared" si="0"/>
        <v>3.7694756240576055E-3</v>
      </c>
      <c r="I13" s="85"/>
      <c r="J13" s="86"/>
    </row>
    <row r="14" spans="2:14" s="76" customFormat="1" ht="17.25">
      <c r="B14" s="177" t="s">
        <v>2</v>
      </c>
      <c r="C14" s="177"/>
      <c r="D14" s="178"/>
      <c r="E14" s="78">
        <f>Август2015!F14</f>
        <v>13361</v>
      </c>
      <c r="F14" s="84">
        <v>13481</v>
      </c>
      <c r="G14" s="11">
        <f t="shared" si="1"/>
        <v>120</v>
      </c>
      <c r="H14" s="59">
        <f t="shared" si="0"/>
        <v>8.981363670383935E-3</v>
      </c>
      <c r="I14" s="85"/>
      <c r="J14" s="86"/>
    </row>
    <row r="15" spans="2:14" s="76" customFormat="1" ht="17.25">
      <c r="B15" s="162" t="s">
        <v>23</v>
      </c>
      <c r="C15" s="162"/>
      <c r="D15" s="163"/>
      <c r="E15" s="78">
        <f>Август2015!F15</f>
        <v>4140</v>
      </c>
      <c r="F15" s="84">
        <v>4342</v>
      </c>
      <c r="G15" s="11">
        <f t="shared" si="1"/>
        <v>202</v>
      </c>
      <c r="H15" s="59">
        <f t="shared" si="0"/>
        <v>4.8792270531401005E-2</v>
      </c>
      <c r="I15" s="85"/>
      <c r="J15" s="86"/>
    </row>
    <row r="16" spans="2:14" s="76" customFormat="1" ht="17.25">
      <c r="B16" s="164" t="s">
        <v>24</v>
      </c>
      <c r="C16" s="164"/>
      <c r="D16" s="165"/>
      <c r="E16" s="78">
        <f>Август2015!F16</f>
        <v>9221</v>
      </c>
      <c r="F16" s="84">
        <v>9139</v>
      </c>
      <c r="G16" s="11">
        <f t="shared" si="1"/>
        <v>-82</v>
      </c>
      <c r="H16" s="59">
        <f t="shared" si="0"/>
        <v>-8.8927448216028493E-3</v>
      </c>
      <c r="I16" s="85"/>
      <c r="J16" s="86"/>
    </row>
    <row r="17" spans="2:10" s="76" customFormat="1" ht="18" customHeight="1" thickBot="1">
      <c r="B17" s="175" t="s">
        <v>3</v>
      </c>
      <c r="C17" s="175"/>
      <c r="D17" s="176"/>
      <c r="E17" s="78">
        <f>Август2015!F17</f>
        <v>15927</v>
      </c>
      <c r="F17" s="84">
        <v>15721</v>
      </c>
      <c r="G17" s="11">
        <f t="shared" si="1"/>
        <v>-206</v>
      </c>
      <c r="H17" s="59">
        <f t="shared" si="0"/>
        <v>-1.2934011427136349E-2</v>
      </c>
      <c r="I17" s="85"/>
      <c r="J17" s="86"/>
    </row>
    <row r="18" spans="2:10" s="70" customFormat="1" ht="18" thickBot="1">
      <c r="B18" s="60" t="s">
        <v>4</v>
      </c>
      <c r="C18" s="60"/>
      <c r="D18" s="61"/>
      <c r="E18" s="72">
        <f>Август2015!F18</f>
        <v>1300183</v>
      </c>
      <c r="F18" s="72">
        <v>1311266</v>
      </c>
      <c r="G18" s="72">
        <f t="shared" si="1"/>
        <v>11083</v>
      </c>
      <c r="H18" s="69">
        <f t="shared" si="0"/>
        <v>8.5241846724652959E-3</v>
      </c>
      <c r="I18" s="85"/>
      <c r="J18" s="86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3" t="s">
        <v>45</v>
      </c>
      <c r="C21" s="14"/>
      <c r="D21" s="14"/>
      <c r="E21" s="14"/>
      <c r="F21" s="14"/>
      <c r="G21" s="14"/>
      <c r="H21" s="15" t="s">
        <v>12</v>
      </c>
    </row>
    <row r="22" spans="2:10" s="76" customFormat="1" ht="15.75" thickBot="1">
      <c r="B22" s="179" t="s">
        <v>18</v>
      </c>
      <c r="C22" s="179"/>
      <c r="D22" s="180"/>
      <c r="E22" s="73">
        <f>E11</f>
        <v>42247</v>
      </c>
      <c r="F22" s="73">
        <f>F11</f>
        <v>42277</v>
      </c>
      <c r="G22" s="45" t="s">
        <v>10</v>
      </c>
      <c r="H22" s="45" t="s">
        <v>11</v>
      </c>
      <c r="J22" s="77"/>
    </row>
    <row r="23" spans="2:10" s="76" customFormat="1" ht="17.25">
      <c r="B23" s="181" t="s">
        <v>0</v>
      </c>
      <c r="C23" s="181"/>
      <c r="D23" s="182"/>
      <c r="E23" s="78">
        <f>Август2015!F23</f>
        <v>991257</v>
      </c>
      <c r="F23" s="84">
        <v>993268</v>
      </c>
      <c r="G23" s="11">
        <f>F23-E23</f>
        <v>2011</v>
      </c>
      <c r="H23" s="59">
        <f>F23/E23-1</f>
        <v>2.0287372497747036E-3</v>
      </c>
      <c r="I23" s="86"/>
    </row>
    <row r="24" spans="2:10" s="76" customFormat="1" ht="17.25">
      <c r="B24" s="177" t="s">
        <v>1</v>
      </c>
      <c r="C24" s="177"/>
      <c r="D24" s="178"/>
      <c r="E24" s="78">
        <f>Август2015!F24</f>
        <v>20981</v>
      </c>
      <c r="F24" s="84">
        <v>21072</v>
      </c>
      <c r="G24" s="11">
        <f t="shared" ref="G24:G29" si="2">F24-E24</f>
        <v>91</v>
      </c>
      <c r="H24" s="59">
        <f t="shared" ref="H24:H29" si="3">F24/E24-1</f>
        <v>4.3372575187075046E-3</v>
      </c>
      <c r="I24" s="86"/>
    </row>
    <row r="25" spans="2:10" s="76" customFormat="1" ht="17.25">
      <c r="B25" s="177" t="s">
        <v>2</v>
      </c>
      <c r="C25" s="177"/>
      <c r="D25" s="178"/>
      <c r="E25" s="78">
        <f>Август2015!F25</f>
        <v>8602</v>
      </c>
      <c r="F25" s="84">
        <v>8775</v>
      </c>
      <c r="G25" s="11">
        <f t="shared" si="2"/>
        <v>173</v>
      </c>
      <c r="H25" s="59">
        <f t="shared" si="3"/>
        <v>2.0111601953034075E-2</v>
      </c>
      <c r="I25" s="86"/>
    </row>
    <row r="26" spans="2:10" s="76" customFormat="1" ht="17.25">
      <c r="B26" s="162" t="s">
        <v>23</v>
      </c>
      <c r="C26" s="162"/>
      <c r="D26" s="163"/>
      <c r="E26" s="78">
        <f>Август2015!F26</f>
        <v>3939</v>
      </c>
      <c r="F26" s="84">
        <v>4107</v>
      </c>
      <c r="G26" s="11">
        <f t="shared" si="2"/>
        <v>168</v>
      </c>
      <c r="H26" s="59">
        <f t="shared" si="3"/>
        <v>4.2650418888042552E-2</v>
      </c>
      <c r="I26" s="86"/>
    </row>
    <row r="27" spans="2:10" s="76" customFormat="1" ht="17.25">
      <c r="B27" s="164" t="s">
        <v>24</v>
      </c>
      <c r="C27" s="164"/>
      <c r="D27" s="165"/>
      <c r="E27" s="78">
        <f>Август2015!F27</f>
        <v>4663</v>
      </c>
      <c r="F27" s="84">
        <v>4668</v>
      </c>
      <c r="G27" s="11">
        <f t="shared" si="2"/>
        <v>5</v>
      </c>
      <c r="H27" s="59">
        <f t="shared" si="3"/>
        <v>1.0722710701265292E-3</v>
      </c>
      <c r="I27" s="86"/>
    </row>
    <row r="28" spans="2:10" s="76" customFormat="1" ht="18" thickBot="1">
      <c r="B28" s="175" t="s">
        <v>3</v>
      </c>
      <c r="C28" s="175"/>
      <c r="D28" s="176"/>
      <c r="E28" s="78">
        <f>Август2015!F28</f>
        <v>4694</v>
      </c>
      <c r="F28" s="84">
        <v>4323</v>
      </c>
      <c r="G28" s="11">
        <f t="shared" si="2"/>
        <v>-371</v>
      </c>
      <c r="H28" s="59">
        <f t="shared" si="3"/>
        <v>-7.9037068598210469E-2</v>
      </c>
      <c r="I28" s="86"/>
    </row>
    <row r="29" spans="2:10" s="70" customFormat="1" ht="18" thickBot="1">
      <c r="B29" s="60" t="s">
        <v>4</v>
      </c>
      <c r="C29" s="60"/>
      <c r="D29" s="61"/>
      <c r="E29" s="72">
        <f>Август2015!F29</f>
        <v>1025534</v>
      </c>
      <c r="F29" s="72">
        <v>1027438</v>
      </c>
      <c r="G29" s="72">
        <f t="shared" si="2"/>
        <v>1904</v>
      </c>
      <c r="H29" s="69">
        <f t="shared" si="3"/>
        <v>1.8565937355563555E-3</v>
      </c>
      <c r="I29" s="86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3" t="s">
        <v>16</v>
      </c>
      <c r="C32" s="14"/>
      <c r="D32" s="14"/>
      <c r="E32" s="14"/>
      <c r="F32" s="14"/>
      <c r="G32" s="14"/>
      <c r="H32" s="15" t="s">
        <v>14</v>
      </c>
    </row>
    <row r="33" spans="2:9" ht="15.75" thickBot="1">
      <c r="B33" s="145" t="s">
        <v>18</v>
      </c>
      <c r="C33" s="145"/>
      <c r="D33" s="146"/>
      <c r="E33" s="73">
        <f>E11</f>
        <v>42247</v>
      </c>
      <c r="F33" s="73">
        <f>F11</f>
        <v>42277</v>
      </c>
      <c r="G33" s="16" t="s">
        <v>10</v>
      </c>
      <c r="H33" s="16" t="s">
        <v>11</v>
      </c>
    </row>
    <row r="34" spans="2:9" ht="17.25">
      <c r="B34" s="160" t="s">
        <v>0</v>
      </c>
      <c r="C34" s="160"/>
      <c r="D34" s="161"/>
      <c r="E34" s="78">
        <f>Август2015!F34</f>
        <v>67242</v>
      </c>
      <c r="F34" s="78">
        <v>67993</v>
      </c>
      <c r="G34" s="11">
        <f t="shared" ref="G34:G40" si="4">F34-E34</f>
        <v>751</v>
      </c>
      <c r="H34" s="59">
        <f t="shared" ref="H34:H40" si="5">F34/E34-1</f>
        <v>1.1168614853811709E-2</v>
      </c>
      <c r="I34" s="58"/>
    </row>
    <row r="35" spans="2:9" ht="17.25">
      <c r="B35" s="136" t="s">
        <v>1</v>
      </c>
      <c r="C35" s="136"/>
      <c r="D35" s="137"/>
      <c r="E35" s="78">
        <f>Август2015!F35</f>
        <v>1011</v>
      </c>
      <c r="F35" s="78">
        <v>1113</v>
      </c>
      <c r="G35" s="11">
        <f t="shared" si="4"/>
        <v>102</v>
      </c>
      <c r="H35" s="59">
        <f t="shared" si="5"/>
        <v>0.10089020771513346</v>
      </c>
      <c r="I35" s="58"/>
    </row>
    <row r="36" spans="2:9" ht="17.25">
      <c r="B36" s="136" t="s">
        <v>2</v>
      </c>
      <c r="C36" s="136"/>
      <c r="D36" s="137"/>
      <c r="E36" s="78">
        <f>Август2015!F36</f>
        <v>594</v>
      </c>
      <c r="F36" s="78">
        <v>611</v>
      </c>
      <c r="G36" s="11">
        <f t="shared" si="4"/>
        <v>17</v>
      </c>
      <c r="H36" s="59">
        <f t="shared" si="5"/>
        <v>2.8619528619528545E-2</v>
      </c>
      <c r="I36" s="58"/>
    </row>
    <row r="37" spans="2:9" ht="17.25">
      <c r="B37" s="162" t="s">
        <v>23</v>
      </c>
      <c r="C37" s="162"/>
      <c r="D37" s="163"/>
      <c r="E37" s="78">
        <f>Август2015!F37</f>
        <v>273</v>
      </c>
      <c r="F37" s="78">
        <v>284</v>
      </c>
      <c r="G37" s="11">
        <f t="shared" si="4"/>
        <v>11</v>
      </c>
      <c r="H37" s="59">
        <f t="shared" si="5"/>
        <v>4.0293040293040372E-2</v>
      </c>
      <c r="I37" s="58"/>
    </row>
    <row r="38" spans="2:9" ht="17.25">
      <c r="B38" s="164" t="s">
        <v>24</v>
      </c>
      <c r="C38" s="164"/>
      <c r="D38" s="165"/>
      <c r="E38" s="78">
        <f>Август2015!F38</f>
        <v>321</v>
      </c>
      <c r="F38" s="78">
        <v>327</v>
      </c>
      <c r="G38" s="11">
        <f t="shared" si="4"/>
        <v>6</v>
      </c>
      <c r="H38" s="59">
        <f t="shared" si="5"/>
        <v>1.8691588785046731E-2</v>
      </c>
      <c r="I38" s="58"/>
    </row>
    <row r="39" spans="2:9" ht="18" thickBot="1">
      <c r="B39" s="166" t="s">
        <v>3</v>
      </c>
      <c r="C39" s="166"/>
      <c r="D39" s="167"/>
      <c r="E39" s="78">
        <f>Август2015!F39</f>
        <v>488</v>
      </c>
      <c r="F39" s="78">
        <v>478</v>
      </c>
      <c r="G39" s="11">
        <f t="shared" si="4"/>
        <v>-10</v>
      </c>
      <c r="H39" s="59">
        <f t="shared" si="5"/>
        <v>-2.0491803278688492E-2</v>
      </c>
      <c r="I39" s="58"/>
    </row>
    <row r="40" spans="2:9" s="70" customFormat="1" ht="18" thickBot="1">
      <c r="B40" s="60" t="s">
        <v>4</v>
      </c>
      <c r="C40" s="60"/>
      <c r="D40" s="61"/>
      <c r="E40" s="72">
        <f>Август2015!F40</f>
        <v>69335</v>
      </c>
      <c r="F40" s="72">
        <v>70195</v>
      </c>
      <c r="G40" s="72">
        <f t="shared" si="4"/>
        <v>860</v>
      </c>
      <c r="H40" s="69">
        <f t="shared" si="5"/>
        <v>1.24035479916349E-2</v>
      </c>
      <c r="I40" s="58"/>
    </row>
    <row r="41" spans="2:9" ht="15">
      <c r="B41" s="6"/>
      <c r="C41" s="6"/>
      <c r="D41" s="6"/>
      <c r="E41" s="42"/>
      <c r="F41" s="42"/>
      <c r="G41" s="43"/>
      <c r="H41" s="44"/>
    </row>
    <row r="42" spans="2:9" ht="15">
      <c r="B42" s="10"/>
      <c r="C42" s="2"/>
      <c r="D42" s="2"/>
      <c r="E42" s="2"/>
      <c r="F42" s="2"/>
      <c r="G42" s="2"/>
    </row>
    <row r="43" spans="2:9" ht="17.25">
      <c r="B43" s="19"/>
      <c r="C43" s="19"/>
      <c r="D43" s="19"/>
      <c r="E43" s="19"/>
      <c r="F43" s="19"/>
      <c r="G43" s="19"/>
      <c r="H43" s="19"/>
    </row>
    <row r="44" spans="2:9" ht="17.25">
      <c r="B44" s="20" t="s">
        <v>17</v>
      </c>
      <c r="C44" s="19"/>
      <c r="D44" s="19"/>
      <c r="E44" s="19"/>
      <c r="F44" s="19"/>
      <c r="G44" s="19"/>
      <c r="H44" s="19"/>
    </row>
    <row r="45" spans="2:9" ht="18" thickBot="1">
      <c r="B45" s="22"/>
      <c r="C45" s="22"/>
      <c r="D45" s="22"/>
      <c r="E45" s="22"/>
      <c r="F45" s="22"/>
      <c r="G45" s="22"/>
      <c r="H45" s="22"/>
    </row>
    <row r="47" spans="2:9">
      <c r="F47" s="5"/>
    </row>
    <row r="48" spans="2:9" ht="18" thickBot="1">
      <c r="B48" s="12" t="s">
        <v>46</v>
      </c>
      <c r="C48" s="23"/>
      <c r="D48" s="23"/>
      <c r="E48" s="23"/>
      <c r="F48" s="23"/>
      <c r="G48" s="23"/>
      <c r="H48" s="185" t="s">
        <v>13</v>
      </c>
      <c r="I48" s="185"/>
    </row>
    <row r="49" spans="2:9" ht="15.75" thickBot="1">
      <c r="B49" s="145" t="s">
        <v>18</v>
      </c>
      <c r="C49" s="145"/>
      <c r="D49" s="146"/>
      <c r="E49" s="73">
        <v>40543</v>
      </c>
      <c r="F49" s="73">
        <v>40908</v>
      </c>
      <c r="G49" s="73">
        <v>41274</v>
      </c>
      <c r="H49" s="73">
        <v>41639</v>
      </c>
      <c r="I49" s="73">
        <v>42004</v>
      </c>
    </row>
    <row r="50" spans="2:9" ht="17.25">
      <c r="B50" s="169" t="s">
        <v>0</v>
      </c>
      <c r="C50" s="169"/>
      <c r="D50" s="170"/>
      <c r="E50" s="80">
        <v>714295</v>
      </c>
      <c r="F50" s="80">
        <v>772175</v>
      </c>
      <c r="G50" s="80">
        <v>805549</v>
      </c>
      <c r="H50" s="80">
        <v>881844</v>
      </c>
      <c r="I50" s="80">
        <v>944559</v>
      </c>
    </row>
    <row r="51" spans="2:9" ht="17.25">
      <c r="B51" s="171" t="s">
        <v>1</v>
      </c>
      <c r="C51" s="171"/>
      <c r="D51" s="172"/>
      <c r="E51" s="81">
        <v>17170</v>
      </c>
      <c r="F51" s="81">
        <v>16850</v>
      </c>
      <c r="G51" s="81">
        <v>17821</v>
      </c>
      <c r="H51" s="81">
        <v>19539</v>
      </c>
      <c r="I51" s="81">
        <v>20178</v>
      </c>
    </row>
    <row r="52" spans="2:9" ht="17.25">
      <c r="B52" s="173" t="s">
        <v>2</v>
      </c>
      <c r="C52" s="173"/>
      <c r="D52" s="174"/>
      <c r="E52" s="83">
        <v>4295</v>
      </c>
      <c r="F52" s="83">
        <v>5058</v>
      </c>
      <c r="G52" s="83">
        <v>5876</v>
      </c>
      <c r="H52" s="83">
        <v>6957</v>
      </c>
      <c r="I52" s="83">
        <v>7486</v>
      </c>
    </row>
    <row r="53" spans="2:9" ht="18" thickBot="1">
      <c r="B53" s="158" t="s">
        <v>3</v>
      </c>
      <c r="C53" s="158"/>
      <c r="D53" s="159"/>
      <c r="E53" s="79">
        <v>5348</v>
      </c>
      <c r="F53" s="79">
        <v>5242</v>
      </c>
      <c r="G53" s="79">
        <v>5261</v>
      </c>
      <c r="H53" s="79">
        <v>5182</v>
      </c>
      <c r="I53" s="79">
        <v>5142</v>
      </c>
    </row>
    <row r="54" spans="2:9" s="71" customFormat="1" ht="18" thickBot="1">
      <c r="B54" s="147" t="s">
        <v>4</v>
      </c>
      <c r="C54" s="147"/>
      <c r="D54" s="148"/>
      <c r="E54" s="82">
        <v>741108</v>
      </c>
      <c r="F54" s="82">
        <v>799325</v>
      </c>
      <c r="G54" s="82">
        <v>834507</v>
      </c>
      <c r="H54" s="82">
        <v>913522</v>
      </c>
      <c r="I54" s="82">
        <v>977365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2" t="s">
        <v>47</v>
      </c>
      <c r="C82" s="23"/>
      <c r="D82" s="23"/>
      <c r="E82" s="23"/>
      <c r="F82" s="23"/>
      <c r="G82" s="23"/>
      <c r="H82" s="119" t="s">
        <v>12</v>
      </c>
      <c r="I82"/>
      <c r="J82"/>
      <c r="K82"/>
    </row>
    <row r="83" spans="2:11" ht="15.75" thickBot="1">
      <c r="B83" s="32" t="s">
        <v>18</v>
      </c>
      <c r="C83" s="73">
        <f>EDATE(D83,-1)</f>
        <v>42124</v>
      </c>
      <c r="D83" s="73">
        <f>EDATE(E83,-1)</f>
        <v>42154</v>
      </c>
      <c r="E83" s="73">
        <f>EDATE(F83,-1)</f>
        <v>42185</v>
      </c>
      <c r="F83" s="73">
        <f>EDATE(G83,-1)</f>
        <v>42215</v>
      </c>
      <c r="G83" s="73">
        <f>EDATE(H83,-1)</f>
        <v>42246</v>
      </c>
      <c r="H83" s="73">
        <f>EDATE(E11,1)</f>
        <v>42277</v>
      </c>
      <c r="I83"/>
      <c r="J83"/>
    </row>
    <row r="84" spans="2:11" ht="16.5" customHeight="1">
      <c r="B84" s="25" t="s">
        <v>0</v>
      </c>
      <c r="C84" s="80">
        <v>971876</v>
      </c>
      <c r="D84" s="80">
        <v>975467</v>
      </c>
      <c r="E84" s="80">
        <v>980206</v>
      </c>
      <c r="F84" s="80">
        <v>984614</v>
      </c>
      <c r="G84" s="80">
        <v>991257</v>
      </c>
      <c r="H84" s="80">
        <v>993268</v>
      </c>
    </row>
    <row r="85" spans="2:11" ht="16.5" customHeight="1">
      <c r="B85" s="26" t="s">
        <v>1</v>
      </c>
      <c r="C85" s="81">
        <v>20753</v>
      </c>
      <c r="D85" s="81">
        <v>20771</v>
      </c>
      <c r="E85" s="81">
        <v>20872</v>
      </c>
      <c r="F85" s="81">
        <v>20904</v>
      </c>
      <c r="G85" s="81">
        <v>20981</v>
      </c>
      <c r="H85" s="81">
        <v>21072</v>
      </c>
    </row>
    <row r="86" spans="2:11" ht="16.5" customHeight="1">
      <c r="B86" s="27" t="s">
        <v>2</v>
      </c>
      <c r="C86" s="83">
        <v>8355</v>
      </c>
      <c r="D86" s="83">
        <v>8400</v>
      </c>
      <c r="E86" s="83">
        <v>8385</v>
      </c>
      <c r="F86" s="83">
        <v>8823</v>
      </c>
      <c r="G86" s="83">
        <v>8602</v>
      </c>
      <c r="H86" s="83">
        <v>8775</v>
      </c>
    </row>
    <row r="87" spans="2:11" ht="16.5" customHeight="1" thickBot="1">
      <c r="B87" s="28" t="s">
        <v>3</v>
      </c>
      <c r="C87" s="79">
        <v>4971</v>
      </c>
      <c r="D87" s="79">
        <v>4915</v>
      </c>
      <c r="E87" s="79">
        <v>4856</v>
      </c>
      <c r="F87" s="79">
        <v>4715</v>
      </c>
      <c r="G87" s="79">
        <v>4694</v>
      </c>
      <c r="H87" s="79">
        <v>4323</v>
      </c>
    </row>
    <row r="88" spans="2:11" s="71" customFormat="1" ht="18" thickBot="1">
      <c r="B88" s="116" t="s">
        <v>4</v>
      </c>
      <c r="C88" s="82">
        <v>1005955</v>
      </c>
      <c r="D88" s="82">
        <v>1009553</v>
      </c>
      <c r="E88" s="82">
        <v>1014319</v>
      </c>
      <c r="F88" s="82">
        <v>1019056</v>
      </c>
      <c r="G88" s="82">
        <v>1025534</v>
      </c>
      <c r="H88" s="82">
        <v>1027438</v>
      </c>
      <c r="I88" s="58"/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29"/>
      <c r="C123" s="29"/>
      <c r="D123" s="29"/>
      <c r="E123" s="29"/>
      <c r="F123" s="29"/>
      <c r="G123" s="29"/>
      <c r="H123" s="29"/>
    </row>
    <row r="124" spans="2:8" ht="17.25">
      <c r="B124" s="30" t="s">
        <v>25</v>
      </c>
      <c r="C124" s="92">
        <f>B3</f>
        <v>42277</v>
      </c>
      <c r="D124" s="29"/>
      <c r="E124" s="29"/>
      <c r="F124" s="29"/>
      <c r="G124" s="29"/>
      <c r="H124" s="29"/>
    </row>
    <row r="125" spans="2:8" ht="18" thickBot="1">
      <c r="B125" s="31"/>
      <c r="C125" s="31"/>
      <c r="D125" s="31"/>
      <c r="E125" s="31"/>
      <c r="F125" s="31"/>
      <c r="G125" s="31"/>
      <c r="H125" s="31"/>
    </row>
    <row r="127" spans="2:8" ht="18" thickBot="1">
      <c r="B127" s="62"/>
      <c r="C127" s="74"/>
      <c r="D127" s="36"/>
      <c r="E127" s="36"/>
      <c r="F127" s="36"/>
      <c r="G127" s="36"/>
      <c r="H127" s="37" t="s">
        <v>13</v>
      </c>
    </row>
    <row r="128" spans="2:8" ht="30.75" customHeight="1" thickBot="1">
      <c r="B128" s="146" t="s">
        <v>26</v>
      </c>
      <c r="C128" s="149"/>
      <c r="D128" s="149"/>
      <c r="E128" s="149"/>
      <c r="F128" s="149"/>
      <c r="G128" s="150" t="s">
        <v>5</v>
      </c>
      <c r="H128" s="151"/>
    </row>
    <row r="129" spans="2:10" ht="18" customHeight="1" thickBot="1">
      <c r="B129" s="133" t="s">
        <v>22</v>
      </c>
      <c r="C129" s="152"/>
      <c r="D129" s="152"/>
      <c r="E129" s="152"/>
      <c r="F129" s="152"/>
      <c r="G129" s="153">
        <v>396</v>
      </c>
      <c r="H129" s="154"/>
    </row>
    <row r="132" spans="2:10" ht="17.25">
      <c r="B132" s="33"/>
      <c r="C132" s="33"/>
      <c r="D132" s="33"/>
      <c r="E132" s="33"/>
      <c r="F132" s="33"/>
      <c r="G132" s="33"/>
      <c r="H132" s="33"/>
    </row>
    <row r="133" spans="2:10" ht="17.25">
      <c r="B133" s="34" t="s">
        <v>21</v>
      </c>
      <c r="C133" s="33"/>
      <c r="D133" s="33"/>
      <c r="E133" s="34"/>
      <c r="F133" s="97">
        <f>C6</f>
        <v>42277</v>
      </c>
      <c r="G133" s="33"/>
      <c r="H133" s="33"/>
    </row>
    <row r="134" spans="2:10" ht="18" thickBot="1">
      <c r="B134" s="35"/>
      <c r="C134" s="35"/>
      <c r="D134" s="35"/>
      <c r="E134" s="35"/>
      <c r="F134" s="35"/>
      <c r="G134" s="35"/>
      <c r="H134" s="35"/>
    </row>
    <row r="136" spans="2:10" ht="17.25">
      <c r="B136" s="87" t="s">
        <v>27</v>
      </c>
      <c r="C136" s="38"/>
      <c r="D136" s="38"/>
      <c r="E136" s="38"/>
      <c r="F136" s="38"/>
      <c r="G136" s="38"/>
      <c r="H136" s="39" t="s">
        <v>13</v>
      </c>
    </row>
    <row r="137" spans="2:10" ht="18" thickBot="1">
      <c r="B137" s="88" t="s">
        <v>28</v>
      </c>
      <c r="C137" s="38"/>
      <c r="D137" s="38"/>
      <c r="E137" s="38"/>
      <c r="F137" s="38"/>
      <c r="G137" s="38"/>
      <c r="H137" s="39"/>
    </row>
    <row r="138" spans="2:10" ht="15.75" customHeight="1" thickBot="1">
      <c r="B138" s="155" t="s">
        <v>19</v>
      </c>
      <c r="C138" s="155"/>
      <c r="D138" s="155"/>
      <c r="E138" s="155"/>
      <c r="F138" s="156"/>
      <c r="G138" s="157" t="s">
        <v>6</v>
      </c>
      <c r="H138" s="144"/>
      <c r="I138"/>
    </row>
    <row r="139" spans="2:10" ht="17.25" customHeight="1">
      <c r="B139" s="140" t="s">
        <v>52</v>
      </c>
      <c r="C139" s="140" t="s">
        <v>52</v>
      </c>
      <c r="D139" s="140" t="s">
        <v>52</v>
      </c>
      <c r="E139" s="140" t="s">
        <v>52</v>
      </c>
      <c r="F139" s="141" t="s">
        <v>52</v>
      </c>
      <c r="G139" s="142">
        <v>223950</v>
      </c>
      <c r="H139" s="143">
        <v>223950</v>
      </c>
      <c r="I139" s="47"/>
      <c r="J139" s="50"/>
    </row>
    <row r="140" spans="2:10" ht="13.5" customHeight="1">
      <c r="B140" s="136" t="s">
        <v>32</v>
      </c>
      <c r="C140" s="136" t="s">
        <v>32</v>
      </c>
      <c r="D140" s="136" t="s">
        <v>32</v>
      </c>
      <c r="E140" s="136" t="s">
        <v>32</v>
      </c>
      <c r="F140" s="137" t="s">
        <v>32</v>
      </c>
      <c r="G140" s="138">
        <v>179804</v>
      </c>
      <c r="H140" s="139">
        <v>179804</v>
      </c>
      <c r="I140" s="47"/>
      <c r="J140" s="50"/>
    </row>
    <row r="141" spans="2:10" ht="17.25" customHeight="1">
      <c r="B141" s="136" t="s">
        <v>53</v>
      </c>
      <c r="C141" s="136" t="s">
        <v>53</v>
      </c>
      <c r="D141" s="136" t="s">
        <v>53</v>
      </c>
      <c r="E141" s="136" t="s">
        <v>53</v>
      </c>
      <c r="F141" s="137" t="s">
        <v>53</v>
      </c>
      <c r="G141" s="138">
        <v>134736</v>
      </c>
      <c r="H141" s="139">
        <v>134736</v>
      </c>
      <c r="I141" s="47"/>
      <c r="J141" s="50"/>
    </row>
    <row r="142" spans="2:10" ht="17.25" customHeight="1">
      <c r="B142" s="136" t="s">
        <v>34</v>
      </c>
      <c r="C142" s="136" t="s">
        <v>34</v>
      </c>
      <c r="D142" s="136" t="s">
        <v>34</v>
      </c>
      <c r="E142" s="136" t="s">
        <v>34</v>
      </c>
      <c r="F142" s="137" t="s">
        <v>34</v>
      </c>
      <c r="G142" s="138">
        <v>134417</v>
      </c>
      <c r="H142" s="139">
        <v>134417</v>
      </c>
      <c r="I142" s="47"/>
      <c r="J142" s="50"/>
    </row>
    <row r="143" spans="2:10" ht="17.25" customHeight="1">
      <c r="B143" s="136" t="s">
        <v>50</v>
      </c>
      <c r="C143" s="136" t="s">
        <v>50</v>
      </c>
      <c r="D143" s="136" t="s">
        <v>50</v>
      </c>
      <c r="E143" s="136" t="s">
        <v>50</v>
      </c>
      <c r="F143" s="137" t="s">
        <v>50</v>
      </c>
      <c r="G143" s="138">
        <v>66500</v>
      </c>
      <c r="H143" s="139">
        <v>66500</v>
      </c>
      <c r="I143" s="47"/>
      <c r="J143" s="50"/>
    </row>
    <row r="144" spans="2:10" ht="13.5" customHeight="1">
      <c r="B144" s="136" t="s">
        <v>54</v>
      </c>
      <c r="C144" s="136" t="s">
        <v>54</v>
      </c>
      <c r="D144" s="136" t="s">
        <v>54</v>
      </c>
      <c r="E144" s="136" t="s">
        <v>54</v>
      </c>
      <c r="F144" s="137" t="s">
        <v>54</v>
      </c>
      <c r="G144" s="138">
        <v>59532</v>
      </c>
      <c r="H144" s="139">
        <v>59532</v>
      </c>
      <c r="I144" s="51"/>
      <c r="J144" s="50"/>
    </row>
    <row r="145" spans="2:13" ht="17.25" customHeight="1">
      <c r="B145" s="136" t="s">
        <v>36</v>
      </c>
      <c r="C145" s="136" t="s">
        <v>36</v>
      </c>
      <c r="D145" s="136" t="s">
        <v>36</v>
      </c>
      <c r="E145" s="136" t="s">
        <v>36</v>
      </c>
      <c r="F145" s="137" t="s">
        <v>36</v>
      </c>
      <c r="G145" s="138">
        <v>47439</v>
      </c>
      <c r="H145" s="139">
        <v>47439</v>
      </c>
      <c r="I145" s="47"/>
      <c r="J145" s="50"/>
    </row>
    <row r="146" spans="2:13" ht="17.25" customHeight="1">
      <c r="B146" s="136" t="s">
        <v>59</v>
      </c>
      <c r="C146" s="136" t="s">
        <v>59</v>
      </c>
      <c r="D146" s="136" t="s">
        <v>59</v>
      </c>
      <c r="E146" s="136" t="s">
        <v>59</v>
      </c>
      <c r="F146" s="137" t="s">
        <v>59</v>
      </c>
      <c r="G146" s="138">
        <v>31609</v>
      </c>
      <c r="H146" s="139">
        <v>31609</v>
      </c>
      <c r="I146" s="47"/>
      <c r="J146" s="50"/>
    </row>
    <row r="147" spans="2:13" ht="17.25" customHeight="1">
      <c r="B147" s="136" t="s">
        <v>38</v>
      </c>
      <c r="C147" s="136" t="s">
        <v>38</v>
      </c>
      <c r="D147" s="136" t="s">
        <v>38</v>
      </c>
      <c r="E147" s="136" t="s">
        <v>38</v>
      </c>
      <c r="F147" s="137" t="s">
        <v>38</v>
      </c>
      <c r="G147" s="138">
        <v>22124</v>
      </c>
      <c r="H147" s="139">
        <v>22124</v>
      </c>
      <c r="I147" s="47"/>
      <c r="J147" s="50"/>
      <c r="L147"/>
    </row>
    <row r="148" spans="2:13" ht="18" customHeight="1" thickBot="1">
      <c r="B148" s="132" t="s">
        <v>39</v>
      </c>
      <c r="C148" s="132" t="s">
        <v>39</v>
      </c>
      <c r="D148" s="132" t="s">
        <v>39</v>
      </c>
      <c r="E148" s="132" t="s">
        <v>39</v>
      </c>
      <c r="F148" s="133" t="s">
        <v>39</v>
      </c>
      <c r="G148" s="134">
        <v>19824</v>
      </c>
      <c r="H148" s="135">
        <v>19824</v>
      </c>
      <c r="I148" s="47"/>
      <c r="J148" s="50"/>
      <c r="L148"/>
    </row>
    <row r="149" spans="2:13" ht="17.25">
      <c r="G149" s="41"/>
      <c r="H149" s="41"/>
      <c r="I149" s="52"/>
      <c r="J149" s="52"/>
    </row>
    <row r="150" spans="2:13" ht="17.25">
      <c r="B150" s="40"/>
      <c r="C150" s="40"/>
      <c r="D150" s="40"/>
      <c r="E150" s="40"/>
      <c r="F150" s="40"/>
      <c r="G150" s="41"/>
      <c r="H150" s="41"/>
      <c r="I150" s="52"/>
      <c r="J150" s="52"/>
    </row>
    <row r="151" spans="2:13" ht="17.25">
      <c r="B151" s="87" t="s">
        <v>7</v>
      </c>
      <c r="C151" s="38"/>
      <c r="D151" s="38"/>
      <c r="E151" s="38"/>
      <c r="F151" s="38"/>
      <c r="G151" s="38"/>
      <c r="H151" s="39" t="s">
        <v>12</v>
      </c>
      <c r="I151" s="52"/>
      <c r="J151" s="52"/>
    </row>
    <row r="152" spans="2:13" ht="18" thickBot="1">
      <c r="B152" s="88" t="s">
        <v>29</v>
      </c>
      <c r="C152" s="38"/>
      <c r="D152" s="38"/>
      <c r="E152" s="38"/>
      <c r="F152" s="38"/>
      <c r="G152" s="38"/>
      <c r="H152" s="39"/>
      <c r="I152" s="52"/>
      <c r="J152" s="52"/>
    </row>
    <row r="153" spans="2:13" ht="15.75" thickBot="1">
      <c r="B153" s="145" t="s">
        <v>19</v>
      </c>
      <c r="C153" s="145"/>
      <c r="D153" s="145"/>
      <c r="E153" s="145"/>
      <c r="F153" s="146"/>
      <c r="G153" s="144" t="s">
        <v>6</v>
      </c>
      <c r="H153" s="144"/>
      <c r="I153" s="52"/>
      <c r="J153" s="52"/>
      <c r="K153"/>
      <c r="L153"/>
      <c r="M153"/>
    </row>
    <row r="154" spans="2:13" ht="17.25" customHeight="1">
      <c r="B154" s="140" t="s">
        <v>32</v>
      </c>
      <c r="C154" s="140" t="s">
        <v>32</v>
      </c>
      <c r="D154" s="140" t="s">
        <v>32</v>
      </c>
      <c r="E154" s="140" t="s">
        <v>32</v>
      </c>
      <c r="F154" s="141" t="s">
        <v>32</v>
      </c>
      <c r="G154" s="142">
        <v>12149</v>
      </c>
      <c r="H154" s="143">
        <v>12149</v>
      </c>
      <c r="I154" s="53"/>
      <c r="J154" s="50"/>
      <c r="K154" s="49"/>
      <c r="L154"/>
      <c r="M154"/>
    </row>
    <row r="155" spans="2:13" ht="17.25" customHeight="1">
      <c r="B155" s="136" t="s">
        <v>52</v>
      </c>
      <c r="C155" s="136" t="s">
        <v>52</v>
      </c>
      <c r="D155" s="136" t="s">
        <v>52</v>
      </c>
      <c r="E155" s="136" t="s">
        <v>52</v>
      </c>
      <c r="F155" s="137" t="s">
        <v>52</v>
      </c>
      <c r="G155" s="138">
        <v>10782</v>
      </c>
      <c r="H155" s="139">
        <v>10782</v>
      </c>
      <c r="I155" s="53"/>
      <c r="J155" s="50"/>
      <c r="K155" s="49"/>
      <c r="L155"/>
      <c r="M155"/>
    </row>
    <row r="156" spans="2:13" ht="17.25" customHeight="1">
      <c r="B156" s="136" t="s">
        <v>53</v>
      </c>
      <c r="C156" s="136" t="s">
        <v>53</v>
      </c>
      <c r="D156" s="136" t="s">
        <v>53</v>
      </c>
      <c r="E156" s="136" t="s">
        <v>53</v>
      </c>
      <c r="F156" s="137" t="s">
        <v>53</v>
      </c>
      <c r="G156" s="138">
        <v>9960</v>
      </c>
      <c r="H156" s="139">
        <v>9960</v>
      </c>
      <c r="I156" s="53"/>
      <c r="J156" s="50"/>
      <c r="K156" s="49"/>
      <c r="L156"/>
      <c r="M156"/>
    </row>
    <row r="157" spans="2:13" ht="17.25">
      <c r="B157" s="136" t="s">
        <v>34</v>
      </c>
      <c r="C157" s="136" t="s">
        <v>34</v>
      </c>
      <c r="D157" s="136" t="s">
        <v>34</v>
      </c>
      <c r="E157" s="136" t="s">
        <v>34</v>
      </c>
      <c r="F157" s="137" t="s">
        <v>34</v>
      </c>
      <c r="G157" s="138">
        <v>9791</v>
      </c>
      <c r="H157" s="139">
        <v>9791</v>
      </c>
      <c r="I157" s="53"/>
      <c r="J157" s="50"/>
      <c r="K157" s="49"/>
      <c r="L157"/>
      <c r="M157"/>
    </row>
    <row r="158" spans="2:13" ht="17.25" customHeight="1">
      <c r="B158" s="136" t="s">
        <v>50</v>
      </c>
      <c r="C158" s="136" t="s">
        <v>50</v>
      </c>
      <c r="D158" s="136" t="s">
        <v>50</v>
      </c>
      <c r="E158" s="136" t="s">
        <v>50</v>
      </c>
      <c r="F158" s="137" t="s">
        <v>50</v>
      </c>
      <c r="G158" s="138">
        <v>6686</v>
      </c>
      <c r="H158" s="139">
        <v>6686</v>
      </c>
      <c r="I158" s="53"/>
      <c r="J158" s="50"/>
      <c r="K158" s="49"/>
      <c r="L158"/>
      <c r="M158"/>
    </row>
    <row r="159" spans="2:13" ht="17.25" customHeight="1">
      <c r="B159" s="136" t="s">
        <v>54</v>
      </c>
      <c r="C159" s="136" t="s">
        <v>54</v>
      </c>
      <c r="D159" s="136" t="s">
        <v>54</v>
      </c>
      <c r="E159" s="136" t="s">
        <v>54</v>
      </c>
      <c r="F159" s="137" t="s">
        <v>54</v>
      </c>
      <c r="G159" s="138">
        <v>4076</v>
      </c>
      <c r="H159" s="139">
        <v>4076</v>
      </c>
      <c r="I159" s="54"/>
      <c r="J159" s="50"/>
      <c r="K159" s="49"/>
      <c r="L159"/>
      <c r="M159"/>
    </row>
    <row r="160" spans="2:13" ht="17.25" customHeight="1">
      <c r="B160" s="136" t="s">
        <v>36</v>
      </c>
      <c r="C160" s="136" t="s">
        <v>36</v>
      </c>
      <c r="D160" s="136" t="s">
        <v>36</v>
      </c>
      <c r="E160" s="136" t="s">
        <v>36</v>
      </c>
      <c r="F160" s="137" t="s">
        <v>36</v>
      </c>
      <c r="G160" s="138">
        <v>2925</v>
      </c>
      <c r="H160" s="139">
        <v>2925</v>
      </c>
      <c r="I160" s="53"/>
      <c r="J160" s="50"/>
      <c r="K160" s="49"/>
      <c r="L160"/>
      <c r="M160"/>
    </row>
    <row r="161" spans="2:13" ht="17.25" customHeight="1">
      <c r="B161" s="136" t="s">
        <v>55</v>
      </c>
      <c r="C161" s="136" t="s">
        <v>55</v>
      </c>
      <c r="D161" s="136" t="s">
        <v>55</v>
      </c>
      <c r="E161" s="136" t="s">
        <v>55</v>
      </c>
      <c r="F161" s="137" t="s">
        <v>55</v>
      </c>
      <c r="G161" s="138">
        <v>2089</v>
      </c>
      <c r="H161" s="139">
        <v>2089</v>
      </c>
      <c r="I161" s="53"/>
      <c r="J161" s="50"/>
      <c r="K161" s="49"/>
      <c r="L161"/>
      <c r="M161"/>
    </row>
    <row r="162" spans="2:13" ht="17.25" customHeight="1">
      <c r="B162" s="136" t="s">
        <v>38</v>
      </c>
      <c r="C162" s="136" t="s">
        <v>38</v>
      </c>
      <c r="D162" s="136" t="s">
        <v>38</v>
      </c>
      <c r="E162" s="136" t="s">
        <v>38</v>
      </c>
      <c r="F162" s="137" t="s">
        <v>38</v>
      </c>
      <c r="G162" s="138">
        <v>1288</v>
      </c>
      <c r="H162" s="139">
        <v>1288</v>
      </c>
      <c r="I162" s="53"/>
      <c r="J162" s="50"/>
      <c r="K162" s="49"/>
      <c r="L162"/>
      <c r="M162"/>
    </row>
    <row r="163" spans="2:13" ht="18" customHeight="1" thickBot="1">
      <c r="B163" s="132" t="s">
        <v>59</v>
      </c>
      <c r="C163" s="132" t="s">
        <v>59</v>
      </c>
      <c r="D163" s="132" t="s">
        <v>59</v>
      </c>
      <c r="E163" s="132" t="s">
        <v>59</v>
      </c>
      <c r="F163" s="133" t="s">
        <v>59</v>
      </c>
      <c r="G163" s="134">
        <v>1243</v>
      </c>
      <c r="H163" s="135">
        <v>1243</v>
      </c>
      <c r="I163" s="53"/>
      <c r="J163" s="50"/>
      <c r="K163" s="49"/>
      <c r="L163"/>
      <c r="M163"/>
    </row>
    <row r="164" spans="2:13" ht="17.25">
      <c r="B164" s="40"/>
      <c r="C164" s="40"/>
      <c r="D164" s="40"/>
      <c r="E164" s="40"/>
      <c r="F164" s="40"/>
      <c r="G164" s="93"/>
      <c r="H164" s="93"/>
      <c r="I164" s="52"/>
      <c r="J164" s="52"/>
      <c r="L164"/>
      <c r="M164"/>
    </row>
    <row r="165" spans="2:13" ht="17.25">
      <c r="G165" s="41"/>
      <c r="H165" s="41"/>
      <c r="I165" s="2"/>
      <c r="J165" s="2"/>
    </row>
    <row r="166" spans="2:13" ht="17.25">
      <c r="B166" s="87" t="s">
        <v>8</v>
      </c>
      <c r="C166" s="38"/>
      <c r="D166" s="38"/>
      <c r="E166" s="38"/>
      <c r="F166" s="38"/>
      <c r="G166" s="38"/>
      <c r="H166" s="39" t="s">
        <v>14</v>
      </c>
      <c r="I166" s="2"/>
      <c r="J166" s="52"/>
      <c r="K166"/>
    </row>
    <row r="167" spans="2:13" ht="18" thickBot="1">
      <c r="B167" s="88" t="s">
        <v>30</v>
      </c>
      <c r="C167" s="38"/>
      <c r="D167" s="38"/>
      <c r="E167" s="38"/>
      <c r="F167" s="38"/>
      <c r="G167" s="38"/>
      <c r="H167" s="39"/>
      <c r="I167" s="2"/>
      <c r="J167" s="52"/>
      <c r="K167"/>
    </row>
    <row r="168" spans="2:13" ht="15" customHeight="1" thickBot="1">
      <c r="B168" s="117" t="s">
        <v>19</v>
      </c>
      <c r="C168" s="117"/>
      <c r="D168" s="117"/>
      <c r="E168" s="117"/>
      <c r="F168" s="118"/>
      <c r="G168" s="144" t="s">
        <v>9</v>
      </c>
      <c r="H168" s="144"/>
      <c r="I168" s="2"/>
      <c r="J168" s="2"/>
    </row>
    <row r="169" spans="2:13" ht="17.25" customHeight="1">
      <c r="B169" s="140" t="s">
        <v>49</v>
      </c>
      <c r="C169" s="140" t="s">
        <v>49</v>
      </c>
      <c r="D169" s="140" t="s">
        <v>49</v>
      </c>
      <c r="E169" s="140" t="s">
        <v>49</v>
      </c>
      <c r="F169" s="141" t="s">
        <v>49</v>
      </c>
      <c r="G169" s="142">
        <v>1871950984848.6399</v>
      </c>
      <c r="H169" s="143">
        <v>1871950984848.6399</v>
      </c>
      <c r="I169" s="55"/>
      <c r="J169" s="56"/>
    </row>
    <row r="170" spans="2:13" ht="17.25" customHeight="1">
      <c r="B170" s="136" t="s">
        <v>34</v>
      </c>
      <c r="C170" s="136" t="s">
        <v>34</v>
      </c>
      <c r="D170" s="136" t="s">
        <v>34</v>
      </c>
      <c r="E170" s="136" t="s">
        <v>34</v>
      </c>
      <c r="F170" s="137" t="s">
        <v>34</v>
      </c>
      <c r="G170" s="138">
        <v>1254106793933.8101</v>
      </c>
      <c r="H170" s="139">
        <v>1254106793933.8101</v>
      </c>
      <c r="I170" s="55"/>
      <c r="J170" s="56"/>
    </row>
    <row r="171" spans="2:13" ht="17.25" customHeight="1">
      <c r="B171" s="136" t="s">
        <v>50</v>
      </c>
      <c r="C171" s="136" t="s">
        <v>50</v>
      </c>
      <c r="D171" s="136" t="s">
        <v>50</v>
      </c>
      <c r="E171" s="136" t="s">
        <v>50</v>
      </c>
      <c r="F171" s="137" t="s">
        <v>50</v>
      </c>
      <c r="G171" s="138">
        <v>1241056375886.8999</v>
      </c>
      <c r="H171" s="139">
        <v>1241056375886.8999</v>
      </c>
      <c r="I171" s="55"/>
      <c r="J171" s="56"/>
    </row>
    <row r="172" spans="2:13" ht="17.25" customHeight="1">
      <c r="B172" s="136" t="s">
        <v>32</v>
      </c>
      <c r="C172" s="136" t="s">
        <v>32</v>
      </c>
      <c r="D172" s="136" t="s">
        <v>32</v>
      </c>
      <c r="E172" s="136" t="s">
        <v>32</v>
      </c>
      <c r="F172" s="137" t="s">
        <v>32</v>
      </c>
      <c r="G172" s="138">
        <v>607964862650.41003</v>
      </c>
      <c r="H172" s="139">
        <v>607964862650.41003</v>
      </c>
      <c r="I172" s="55"/>
      <c r="J172" s="56"/>
    </row>
    <row r="173" spans="2:13" ht="17.25" customHeight="1">
      <c r="B173" s="136" t="s">
        <v>57</v>
      </c>
      <c r="C173" s="136" t="s">
        <v>57</v>
      </c>
      <c r="D173" s="136" t="s">
        <v>57</v>
      </c>
      <c r="E173" s="136" t="s">
        <v>57</v>
      </c>
      <c r="F173" s="137" t="s">
        <v>57</v>
      </c>
      <c r="G173" s="138">
        <v>316610782552.5</v>
      </c>
      <c r="H173" s="139">
        <v>316610782552.5</v>
      </c>
      <c r="I173" s="57"/>
      <c r="J173" s="50"/>
    </row>
    <row r="174" spans="2:13" ht="17.25" customHeight="1">
      <c r="B174" s="136" t="s">
        <v>42</v>
      </c>
      <c r="C174" s="136" t="s">
        <v>42</v>
      </c>
      <c r="D174" s="136" t="s">
        <v>42</v>
      </c>
      <c r="E174" s="136" t="s">
        <v>42</v>
      </c>
      <c r="F174" s="137" t="s">
        <v>42</v>
      </c>
      <c r="G174" s="138">
        <v>308650425973.77002</v>
      </c>
      <c r="H174" s="139">
        <v>308650425973.77002</v>
      </c>
      <c r="I174" s="55"/>
      <c r="J174" s="56"/>
    </row>
    <row r="175" spans="2:13" ht="17.25" customHeight="1">
      <c r="B175" s="136" t="s">
        <v>60</v>
      </c>
      <c r="C175" s="136" t="s">
        <v>60</v>
      </c>
      <c r="D175" s="136" t="s">
        <v>60</v>
      </c>
      <c r="E175" s="136" t="s">
        <v>60</v>
      </c>
      <c r="F175" s="137" t="s">
        <v>60</v>
      </c>
      <c r="G175" s="138">
        <v>271801751444.98999</v>
      </c>
      <c r="H175" s="139">
        <v>271801751444.98999</v>
      </c>
      <c r="I175" s="55"/>
      <c r="J175" s="56"/>
    </row>
    <row r="176" spans="2:13" ht="17.25" customHeight="1">
      <c r="B176" s="136" t="s">
        <v>53</v>
      </c>
      <c r="C176" s="136" t="s">
        <v>53</v>
      </c>
      <c r="D176" s="136" t="s">
        <v>53</v>
      </c>
      <c r="E176" s="136" t="s">
        <v>53</v>
      </c>
      <c r="F176" s="137" t="s">
        <v>53</v>
      </c>
      <c r="G176" s="138">
        <v>246500561171.13</v>
      </c>
      <c r="H176" s="139">
        <v>246500561171.13</v>
      </c>
      <c r="I176" s="55"/>
      <c r="J176" s="56"/>
    </row>
    <row r="177" spans="2:10" ht="17.25" customHeight="1">
      <c r="B177" s="136" t="s">
        <v>43</v>
      </c>
      <c r="C177" s="136" t="s">
        <v>43</v>
      </c>
      <c r="D177" s="136" t="s">
        <v>43</v>
      </c>
      <c r="E177" s="136" t="s">
        <v>43</v>
      </c>
      <c r="F177" s="137" t="s">
        <v>43</v>
      </c>
      <c r="G177" s="138">
        <v>243722792950.87</v>
      </c>
      <c r="H177" s="139">
        <v>243722792950.87</v>
      </c>
      <c r="I177" s="55"/>
      <c r="J177" s="56"/>
    </row>
    <row r="178" spans="2:10" ht="18" customHeight="1" thickBot="1">
      <c r="B178" s="132" t="s">
        <v>61</v>
      </c>
      <c r="C178" s="132" t="s">
        <v>61</v>
      </c>
      <c r="D178" s="132" t="s">
        <v>61</v>
      </c>
      <c r="E178" s="132" t="s">
        <v>61</v>
      </c>
      <c r="F178" s="133" t="s">
        <v>61</v>
      </c>
      <c r="G178" s="134">
        <v>213618987324.89999</v>
      </c>
      <c r="H178" s="135">
        <v>213618987324.89999</v>
      </c>
      <c r="I178" s="55"/>
      <c r="J178" s="56"/>
    </row>
    <row r="179" spans="2:10" ht="17.25">
      <c r="G179" s="41"/>
      <c r="H179" s="41"/>
      <c r="J179" s="48"/>
    </row>
    <row r="180" spans="2:10">
      <c r="B180" s="58"/>
      <c r="J180" s="48"/>
    </row>
  </sheetData>
  <dataConsolidate link="1"/>
  <mergeCells count="100">
    <mergeCell ref="B23:D23"/>
    <mergeCell ref="B2:H2"/>
    <mergeCell ref="B3:H3"/>
    <mergeCell ref="I3:N3"/>
    <mergeCell ref="B11:D11"/>
    <mergeCell ref="B12:D12"/>
    <mergeCell ref="B13:D13"/>
    <mergeCell ref="B14:D14"/>
    <mergeCell ref="B15:D15"/>
    <mergeCell ref="B16:D16"/>
    <mergeCell ref="B17:D17"/>
    <mergeCell ref="B22:D22"/>
    <mergeCell ref="B39:D39"/>
    <mergeCell ref="B24:D24"/>
    <mergeCell ref="B25:D25"/>
    <mergeCell ref="B26:D26"/>
    <mergeCell ref="B27:D27"/>
    <mergeCell ref="B28:D28"/>
    <mergeCell ref="B33:D33"/>
    <mergeCell ref="B34:D34"/>
    <mergeCell ref="B35:D35"/>
    <mergeCell ref="B36:D36"/>
    <mergeCell ref="B37:D37"/>
    <mergeCell ref="B38:D38"/>
    <mergeCell ref="B138:F138"/>
    <mergeCell ref="G138:H138"/>
    <mergeCell ref="H48:I48"/>
    <mergeCell ref="B49:D49"/>
    <mergeCell ref="B50:D50"/>
    <mergeCell ref="B51:D51"/>
    <mergeCell ref="B52:D52"/>
    <mergeCell ref="B53:D53"/>
    <mergeCell ref="B54:D54"/>
    <mergeCell ref="B128:F128"/>
    <mergeCell ref="G128:H128"/>
    <mergeCell ref="B129:F129"/>
    <mergeCell ref="G129:H129"/>
    <mergeCell ref="B139:F139"/>
    <mergeCell ref="G139:H139"/>
    <mergeCell ref="B140:F140"/>
    <mergeCell ref="G140:H140"/>
    <mergeCell ref="B141:F141"/>
    <mergeCell ref="G141:H141"/>
    <mergeCell ref="B142:F142"/>
    <mergeCell ref="G142:H142"/>
    <mergeCell ref="B143:F143"/>
    <mergeCell ref="G143:H143"/>
    <mergeCell ref="B144:F144"/>
    <mergeCell ref="G144:H144"/>
    <mergeCell ref="B145:F145"/>
    <mergeCell ref="G145:H145"/>
    <mergeCell ref="B146:F146"/>
    <mergeCell ref="G146:H146"/>
    <mergeCell ref="B147:F147"/>
    <mergeCell ref="G147:H147"/>
    <mergeCell ref="B148:F148"/>
    <mergeCell ref="G148:H148"/>
    <mergeCell ref="B153:F153"/>
    <mergeCell ref="G153:H153"/>
    <mergeCell ref="B154:F154"/>
    <mergeCell ref="G154:H154"/>
    <mergeCell ref="B155:F155"/>
    <mergeCell ref="G155:H155"/>
    <mergeCell ref="B156:F156"/>
    <mergeCell ref="G156:H156"/>
    <mergeCell ref="B157:F157"/>
    <mergeCell ref="G157:H157"/>
    <mergeCell ref="B158:F158"/>
    <mergeCell ref="G158:H158"/>
    <mergeCell ref="B159:F159"/>
    <mergeCell ref="G159:H159"/>
    <mergeCell ref="B160:F160"/>
    <mergeCell ref="G160:H160"/>
    <mergeCell ref="B171:F171"/>
    <mergeCell ref="G171:H171"/>
    <mergeCell ref="B161:F161"/>
    <mergeCell ref="G161:H161"/>
    <mergeCell ref="B162:F162"/>
    <mergeCell ref="G162:H162"/>
    <mergeCell ref="B163:F163"/>
    <mergeCell ref="G163:H163"/>
    <mergeCell ref="G168:H168"/>
    <mergeCell ref="B169:F169"/>
    <mergeCell ref="G169:H169"/>
    <mergeCell ref="B170:F170"/>
    <mergeCell ref="G170:H170"/>
    <mergeCell ref="B172:F172"/>
    <mergeCell ref="G172:H172"/>
    <mergeCell ref="B173:F173"/>
    <mergeCell ref="G173:H173"/>
    <mergeCell ref="B174:F174"/>
    <mergeCell ref="G174:H174"/>
    <mergeCell ref="B178:F178"/>
    <mergeCell ref="G178:H178"/>
    <mergeCell ref="B175:F175"/>
    <mergeCell ref="G175:H175"/>
    <mergeCell ref="B176:F176"/>
    <mergeCell ref="G176:H176"/>
    <mergeCell ref="B177:F177"/>
    <mergeCell ref="G177:H177"/>
  </mergeCells>
  <pageMargins left="0.70866141732283472" right="0.70866141732283472" top="0.15748031496062992" bottom="0.15748031496062992" header="0.31496062992125984" footer="0.11811023622047245"/>
  <pageSetup paperSize="9" scale="47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49" max="16383" man="1"/>
    <brk id="192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46433">
          <objectPr defaultSize="0" autoPict="0" dde="1">
            <anchor moveWithCells="1">
              <from>
                <xdr:col>0</xdr:col>
                <xdr:colOff>123825</xdr:colOff>
                <xdr:row>72</xdr:row>
                <xdr:rowOff>123825</xdr:rowOff>
              </from>
              <to>
                <xdr:col>1</xdr:col>
                <xdr:colOff>257175</xdr:colOff>
                <xdr:row>74</xdr:row>
                <xdr:rowOff>0</xdr:rowOff>
              </to>
            </anchor>
          </objectPr>
        </oleObject>
      </mc:Choice>
      <mc:Fallback>
        <oleObject link="[1]!'!Январь2012!R1C2:R10C9'" oleUpdate="OLEUPDATE_ALWAYS" shapeId="146433"/>
      </mc:Fallback>
    </mc:AlternateContent>
  </oleObjec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05">
    <pageSetUpPr fitToPage="1"/>
  </sheetPr>
  <dimension ref="B2:N180"/>
  <sheetViews>
    <sheetView workbookViewId="0"/>
  </sheetViews>
  <sheetFormatPr defaultRowHeight="13.5"/>
  <cols>
    <col min="1" max="1" width="3.42578125" style="75" customWidth="1"/>
    <col min="2" max="2" width="46.7109375" style="75" customWidth="1"/>
    <col min="3" max="4" width="18.42578125" style="75" customWidth="1"/>
    <col min="5" max="9" width="25.5703125" style="75" customWidth="1"/>
    <col min="10" max="10" width="10.5703125" style="75" customWidth="1"/>
    <col min="11" max="11" width="14.85546875" style="75" bestFit="1" customWidth="1"/>
    <col min="12" max="12" width="9.140625" style="75"/>
    <col min="13" max="13" width="23.42578125" style="75" customWidth="1"/>
    <col min="14" max="16384" width="9.140625" style="75"/>
  </cols>
  <sheetData>
    <row r="2" spans="2:14" s="1" customFormat="1" ht="20.25">
      <c r="B2" s="183" t="s">
        <v>15</v>
      </c>
      <c r="C2" s="183"/>
      <c r="D2" s="183"/>
      <c r="E2" s="183"/>
      <c r="F2" s="183"/>
      <c r="G2" s="183"/>
      <c r="H2" s="183"/>
    </row>
    <row r="3" spans="2:14" s="1" customFormat="1" ht="21" thickBot="1">
      <c r="B3" s="184">
        <v>42308</v>
      </c>
      <c r="C3" s="184"/>
      <c r="D3" s="184"/>
      <c r="E3" s="184"/>
      <c r="F3" s="184"/>
      <c r="G3" s="184"/>
      <c r="H3" s="184"/>
      <c r="I3" s="184"/>
      <c r="J3" s="184"/>
      <c r="K3" s="184"/>
      <c r="L3" s="184"/>
      <c r="M3" s="184"/>
      <c r="N3" s="184"/>
    </row>
    <row r="4" spans="2:14" s="1" customFormat="1" ht="18" thickTop="1"/>
    <row r="5" spans="2:14" s="1" customFormat="1" ht="17.25">
      <c r="B5" s="17"/>
      <c r="C5" s="17"/>
      <c r="D5" s="17"/>
      <c r="E5" s="17"/>
      <c r="F5" s="17"/>
      <c r="G5" s="17"/>
      <c r="H5" s="17"/>
    </row>
    <row r="6" spans="2:14" s="1" customFormat="1" ht="17.25">
      <c r="B6" s="18" t="s">
        <v>20</v>
      </c>
      <c r="C6" s="68">
        <f>B3</f>
        <v>42308</v>
      </c>
      <c r="D6" s="17"/>
      <c r="E6" s="17"/>
      <c r="F6" s="17"/>
      <c r="G6" s="17"/>
      <c r="H6" s="17"/>
    </row>
    <row r="7" spans="2:14" s="1" customFormat="1" ht="18" thickBot="1">
      <c r="B7" s="21"/>
      <c r="C7" s="21"/>
      <c r="D7" s="21"/>
      <c r="E7" s="21"/>
      <c r="F7" s="21"/>
      <c r="G7" s="21"/>
      <c r="H7" s="21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3" t="s">
        <v>44</v>
      </c>
      <c r="C10" s="14"/>
      <c r="D10" s="14"/>
      <c r="E10" s="14"/>
      <c r="F10" s="14"/>
      <c r="G10" s="14"/>
      <c r="H10" s="15" t="s">
        <v>13</v>
      </c>
    </row>
    <row r="11" spans="2:14" s="46" customFormat="1" ht="15.75" thickBot="1">
      <c r="B11" s="179" t="s">
        <v>18</v>
      </c>
      <c r="C11" s="179"/>
      <c r="D11" s="180"/>
      <c r="E11" s="73">
        <v>42277</v>
      </c>
      <c r="F11" s="73">
        <f>EDATE(E11,1)</f>
        <v>42307</v>
      </c>
      <c r="G11" s="45" t="s">
        <v>10</v>
      </c>
      <c r="H11" s="45" t="s">
        <v>11</v>
      </c>
      <c r="J11" s="77"/>
    </row>
    <row r="12" spans="2:14" s="76" customFormat="1" ht="17.25">
      <c r="B12" s="181" t="s">
        <v>0</v>
      </c>
      <c r="C12" s="181"/>
      <c r="D12" s="182"/>
      <c r="E12" s="78">
        <f>Сентябрь2015!F12</f>
        <v>1246115</v>
      </c>
      <c r="F12" s="84">
        <v>1259135</v>
      </c>
      <c r="G12" s="11">
        <f>F12-E12</f>
        <v>13020</v>
      </c>
      <c r="H12" s="59">
        <f t="shared" ref="H12:H18" si="0">F12/E12-1</f>
        <v>1.0448473856746743E-2</v>
      </c>
      <c r="I12" s="85"/>
      <c r="J12" s="86"/>
    </row>
    <row r="13" spans="2:14" s="76" customFormat="1" ht="17.25">
      <c r="B13" s="177" t="s">
        <v>1</v>
      </c>
      <c r="C13" s="177"/>
      <c r="D13" s="178"/>
      <c r="E13" s="78">
        <f>Сентябрь2015!F13</f>
        <v>35949</v>
      </c>
      <c r="F13" s="84">
        <v>35600</v>
      </c>
      <c r="G13" s="11">
        <f t="shared" ref="G13:G18" si="1">F13-E13</f>
        <v>-349</v>
      </c>
      <c r="H13" s="59">
        <f t="shared" si="0"/>
        <v>-9.7081977245542239E-3</v>
      </c>
      <c r="I13" s="85"/>
      <c r="J13" s="86"/>
    </row>
    <row r="14" spans="2:14" s="76" customFormat="1" ht="17.25">
      <c r="B14" s="177" t="s">
        <v>2</v>
      </c>
      <c r="C14" s="177"/>
      <c r="D14" s="178"/>
      <c r="E14" s="78">
        <f>Сентябрь2015!F14</f>
        <v>13481</v>
      </c>
      <c r="F14" s="84">
        <v>13582</v>
      </c>
      <c r="G14" s="11">
        <f t="shared" si="1"/>
        <v>101</v>
      </c>
      <c r="H14" s="59">
        <f t="shared" si="0"/>
        <v>7.4920258141086826E-3</v>
      </c>
      <c r="I14" s="85"/>
      <c r="J14" s="86"/>
    </row>
    <row r="15" spans="2:14" s="76" customFormat="1" ht="17.25">
      <c r="B15" s="162" t="s">
        <v>23</v>
      </c>
      <c r="C15" s="162"/>
      <c r="D15" s="163"/>
      <c r="E15" s="78">
        <f>Сентябрь2015!F15</f>
        <v>4342</v>
      </c>
      <c r="F15" s="84">
        <v>4575</v>
      </c>
      <c r="G15" s="11">
        <f t="shared" si="1"/>
        <v>233</v>
      </c>
      <c r="H15" s="59">
        <f t="shared" si="0"/>
        <v>5.3661906955320138E-2</v>
      </c>
      <c r="I15" s="85"/>
      <c r="J15" s="86"/>
    </row>
    <row r="16" spans="2:14" s="76" customFormat="1" ht="17.25">
      <c r="B16" s="164" t="s">
        <v>24</v>
      </c>
      <c r="C16" s="164"/>
      <c r="D16" s="165"/>
      <c r="E16" s="78">
        <f>Сентябрь2015!F16</f>
        <v>9139</v>
      </c>
      <c r="F16" s="84">
        <v>9007</v>
      </c>
      <c r="G16" s="11">
        <f t="shared" si="1"/>
        <v>-132</v>
      </c>
      <c r="H16" s="59">
        <f t="shared" si="0"/>
        <v>-1.4443593390961795E-2</v>
      </c>
      <c r="I16" s="85"/>
      <c r="J16" s="86"/>
    </row>
    <row r="17" spans="2:10" s="76" customFormat="1" ht="18" customHeight="1" thickBot="1">
      <c r="B17" s="175" t="s">
        <v>3</v>
      </c>
      <c r="C17" s="175"/>
      <c r="D17" s="176"/>
      <c r="E17" s="78">
        <f>Сентябрь2015!F17</f>
        <v>15721</v>
      </c>
      <c r="F17" s="84">
        <v>15113</v>
      </c>
      <c r="G17" s="11">
        <f t="shared" si="1"/>
        <v>-608</v>
      </c>
      <c r="H17" s="59">
        <f t="shared" si="0"/>
        <v>-3.8674384581133481E-2</v>
      </c>
      <c r="I17" s="85"/>
      <c r="J17" s="86"/>
    </row>
    <row r="18" spans="2:10" s="70" customFormat="1" ht="18" thickBot="1">
      <c r="B18" s="60" t="s">
        <v>4</v>
      </c>
      <c r="C18" s="60"/>
      <c r="D18" s="61"/>
      <c r="E18" s="72">
        <f>Сентябрь2015!F18</f>
        <v>1311266</v>
      </c>
      <c r="F18" s="72">
        <v>1323430</v>
      </c>
      <c r="G18" s="72">
        <f t="shared" si="1"/>
        <v>12164</v>
      </c>
      <c r="H18" s="69">
        <f t="shared" si="0"/>
        <v>9.2765312301241742E-3</v>
      </c>
      <c r="I18" s="85"/>
      <c r="J18" s="86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3" t="s">
        <v>45</v>
      </c>
      <c r="C21" s="14"/>
      <c r="D21" s="14"/>
      <c r="E21" s="14"/>
      <c r="F21" s="14"/>
      <c r="G21" s="14"/>
      <c r="H21" s="15" t="s">
        <v>12</v>
      </c>
    </row>
    <row r="22" spans="2:10" s="76" customFormat="1" ht="15.75" thickBot="1">
      <c r="B22" s="179" t="s">
        <v>18</v>
      </c>
      <c r="C22" s="179"/>
      <c r="D22" s="180"/>
      <c r="E22" s="73">
        <f>E11</f>
        <v>42277</v>
      </c>
      <c r="F22" s="73">
        <f>F11</f>
        <v>42307</v>
      </c>
      <c r="G22" s="45" t="s">
        <v>10</v>
      </c>
      <c r="H22" s="45" t="s">
        <v>11</v>
      </c>
      <c r="J22" s="77"/>
    </row>
    <row r="23" spans="2:10" s="76" customFormat="1" ht="17.25">
      <c r="B23" s="181" t="s">
        <v>0</v>
      </c>
      <c r="C23" s="181"/>
      <c r="D23" s="182"/>
      <c r="E23" s="78">
        <f>Сентябрь2015!F23</f>
        <v>993268</v>
      </c>
      <c r="F23" s="84">
        <v>996118</v>
      </c>
      <c r="G23" s="11">
        <f>F23-E23</f>
        <v>2850</v>
      </c>
      <c r="H23" s="59">
        <f>F23/E23-1</f>
        <v>2.8693162369068936E-3</v>
      </c>
      <c r="I23" s="86"/>
    </row>
    <row r="24" spans="2:10" s="76" customFormat="1" ht="17.25">
      <c r="B24" s="177" t="s">
        <v>1</v>
      </c>
      <c r="C24" s="177"/>
      <c r="D24" s="178"/>
      <c r="E24" s="78">
        <f>Сентябрь2015!F24</f>
        <v>21072</v>
      </c>
      <c r="F24" s="84">
        <v>20973</v>
      </c>
      <c r="G24" s="11">
        <f t="shared" ref="G24:G29" si="2">F24-E24</f>
        <v>-99</v>
      </c>
      <c r="H24" s="59">
        <f t="shared" ref="H24:H29" si="3">F24/E24-1</f>
        <v>-4.6981776765375738E-3</v>
      </c>
      <c r="I24" s="86"/>
    </row>
    <row r="25" spans="2:10" s="76" customFormat="1" ht="17.25">
      <c r="B25" s="177" t="s">
        <v>2</v>
      </c>
      <c r="C25" s="177"/>
      <c r="D25" s="178"/>
      <c r="E25" s="78">
        <f>Сентябрь2015!F25</f>
        <v>8775</v>
      </c>
      <c r="F25" s="84">
        <v>8894</v>
      </c>
      <c r="G25" s="11">
        <f t="shared" si="2"/>
        <v>119</v>
      </c>
      <c r="H25" s="59">
        <f t="shared" si="3"/>
        <v>1.3561253561253483E-2</v>
      </c>
      <c r="I25" s="86"/>
    </row>
    <row r="26" spans="2:10" s="76" customFormat="1" ht="17.25">
      <c r="B26" s="162" t="s">
        <v>23</v>
      </c>
      <c r="C26" s="162"/>
      <c r="D26" s="163"/>
      <c r="E26" s="78">
        <f>Сентябрь2015!F26</f>
        <v>4107</v>
      </c>
      <c r="F26" s="84">
        <v>4335</v>
      </c>
      <c r="G26" s="11">
        <f t="shared" si="2"/>
        <v>228</v>
      </c>
      <c r="H26" s="59">
        <f t="shared" si="3"/>
        <v>5.5514974433893416E-2</v>
      </c>
      <c r="I26" s="86"/>
    </row>
    <row r="27" spans="2:10" s="76" customFormat="1" ht="17.25">
      <c r="B27" s="164" t="s">
        <v>24</v>
      </c>
      <c r="C27" s="164"/>
      <c r="D27" s="165"/>
      <c r="E27" s="78">
        <f>Сентябрь2015!F27</f>
        <v>4668</v>
      </c>
      <c r="F27" s="84">
        <v>4559</v>
      </c>
      <c r="G27" s="11">
        <f t="shared" si="2"/>
        <v>-109</v>
      </c>
      <c r="H27" s="59">
        <f t="shared" si="3"/>
        <v>-2.3350471293915986E-2</v>
      </c>
      <c r="I27" s="86"/>
    </row>
    <row r="28" spans="2:10" s="76" customFormat="1" ht="18" thickBot="1">
      <c r="B28" s="175" t="s">
        <v>3</v>
      </c>
      <c r="C28" s="175"/>
      <c r="D28" s="176"/>
      <c r="E28" s="78">
        <f>Сентябрь2015!F28</f>
        <v>4323</v>
      </c>
      <c r="F28" s="84">
        <v>4266</v>
      </c>
      <c r="G28" s="11">
        <f t="shared" si="2"/>
        <v>-57</v>
      </c>
      <c r="H28" s="59">
        <f t="shared" si="3"/>
        <v>-1.3185287994448291E-2</v>
      </c>
      <c r="I28" s="86"/>
    </row>
    <row r="29" spans="2:10" s="70" customFormat="1" ht="18" thickBot="1">
      <c r="B29" s="60" t="s">
        <v>4</v>
      </c>
      <c r="C29" s="60"/>
      <c r="D29" s="61"/>
      <c r="E29" s="72">
        <f>Сентябрь2015!F29</f>
        <v>1027438</v>
      </c>
      <c r="F29" s="72">
        <v>1030251</v>
      </c>
      <c r="G29" s="72">
        <f t="shared" si="2"/>
        <v>2813</v>
      </c>
      <c r="H29" s="69">
        <f t="shared" si="3"/>
        <v>2.7378781006737185E-3</v>
      </c>
      <c r="I29" s="86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3" t="s">
        <v>16</v>
      </c>
      <c r="C32" s="14"/>
      <c r="D32" s="14"/>
      <c r="E32" s="14"/>
      <c r="F32" s="14"/>
      <c r="G32" s="14"/>
      <c r="H32" s="15" t="s">
        <v>14</v>
      </c>
    </row>
    <row r="33" spans="2:9" ht="15.75" thickBot="1">
      <c r="B33" s="145" t="s">
        <v>18</v>
      </c>
      <c r="C33" s="145"/>
      <c r="D33" s="146"/>
      <c r="E33" s="73">
        <f>E11</f>
        <v>42277</v>
      </c>
      <c r="F33" s="73">
        <f>F11</f>
        <v>42307</v>
      </c>
      <c r="G33" s="16" t="s">
        <v>10</v>
      </c>
      <c r="H33" s="16" t="s">
        <v>11</v>
      </c>
    </row>
    <row r="34" spans="2:9" ht="17.25">
      <c r="B34" s="160" t="s">
        <v>0</v>
      </c>
      <c r="C34" s="160"/>
      <c r="D34" s="161"/>
      <c r="E34" s="78">
        <f>Сентябрь2015!F34</f>
        <v>67993</v>
      </c>
      <c r="F34" s="78">
        <v>73607</v>
      </c>
      <c r="G34" s="11">
        <f t="shared" ref="G34:G40" si="4">F34-E34</f>
        <v>5614</v>
      </c>
      <c r="H34" s="59">
        <f t="shared" ref="H34:H40" si="5">F34/E34-1</f>
        <v>8.2567323106790491E-2</v>
      </c>
      <c r="I34" s="58"/>
    </row>
    <row r="35" spans="2:9" ht="17.25">
      <c r="B35" s="136" t="s">
        <v>1</v>
      </c>
      <c r="C35" s="136"/>
      <c r="D35" s="137"/>
      <c r="E35" s="78">
        <f>Сентябрь2015!F35</f>
        <v>1113</v>
      </c>
      <c r="F35" s="78">
        <v>1135</v>
      </c>
      <c r="G35" s="11">
        <f t="shared" si="4"/>
        <v>22</v>
      </c>
      <c r="H35" s="59">
        <f t="shared" si="5"/>
        <v>1.9766397124887591E-2</v>
      </c>
      <c r="I35" s="58"/>
    </row>
    <row r="36" spans="2:9" ht="17.25">
      <c r="B36" s="136" t="s">
        <v>2</v>
      </c>
      <c r="C36" s="136"/>
      <c r="D36" s="137"/>
      <c r="E36" s="78">
        <f>Сентябрь2015!F36</f>
        <v>611</v>
      </c>
      <c r="F36" s="78">
        <v>644</v>
      </c>
      <c r="G36" s="11">
        <f t="shared" si="4"/>
        <v>33</v>
      </c>
      <c r="H36" s="59">
        <f t="shared" si="5"/>
        <v>5.4009819967266726E-2</v>
      </c>
      <c r="I36" s="58"/>
    </row>
    <row r="37" spans="2:9" ht="17.25">
      <c r="B37" s="162" t="s">
        <v>23</v>
      </c>
      <c r="C37" s="162"/>
      <c r="D37" s="163"/>
      <c r="E37" s="78">
        <f>Сентябрь2015!F37</f>
        <v>284</v>
      </c>
      <c r="F37" s="78">
        <v>311</v>
      </c>
      <c r="G37" s="11">
        <f t="shared" si="4"/>
        <v>27</v>
      </c>
      <c r="H37" s="59">
        <f t="shared" si="5"/>
        <v>9.5070422535211252E-2</v>
      </c>
      <c r="I37" s="58"/>
    </row>
    <row r="38" spans="2:9" ht="17.25">
      <c r="B38" s="164" t="s">
        <v>24</v>
      </c>
      <c r="C38" s="164"/>
      <c r="D38" s="165"/>
      <c r="E38" s="78">
        <f>Сентябрь2015!F38</f>
        <v>327</v>
      </c>
      <c r="F38" s="78">
        <v>333</v>
      </c>
      <c r="G38" s="11">
        <f t="shared" si="4"/>
        <v>6</v>
      </c>
      <c r="H38" s="59">
        <f t="shared" si="5"/>
        <v>1.8348623853210899E-2</v>
      </c>
      <c r="I38" s="58"/>
    </row>
    <row r="39" spans="2:9" ht="18" thickBot="1">
      <c r="B39" s="166" t="s">
        <v>3</v>
      </c>
      <c r="C39" s="166"/>
      <c r="D39" s="167"/>
      <c r="E39" s="78">
        <f>Сентябрь2015!F39</f>
        <v>478</v>
      </c>
      <c r="F39" s="78">
        <v>520</v>
      </c>
      <c r="G39" s="11">
        <f t="shared" si="4"/>
        <v>42</v>
      </c>
      <c r="H39" s="59">
        <f t="shared" si="5"/>
        <v>8.786610878661083E-2</v>
      </c>
      <c r="I39" s="58"/>
    </row>
    <row r="40" spans="2:9" s="70" customFormat="1" ht="18" thickBot="1">
      <c r="B40" s="60" t="s">
        <v>4</v>
      </c>
      <c r="C40" s="60"/>
      <c r="D40" s="61"/>
      <c r="E40" s="72">
        <f>Сентябрь2015!F40</f>
        <v>70195</v>
      </c>
      <c r="F40" s="72">
        <v>75906</v>
      </c>
      <c r="G40" s="72">
        <f t="shared" si="4"/>
        <v>5711</v>
      </c>
      <c r="H40" s="69">
        <f t="shared" si="5"/>
        <v>8.1359071158914498E-2</v>
      </c>
      <c r="I40" s="58"/>
    </row>
    <row r="41" spans="2:9" ht="15">
      <c r="B41" s="6"/>
      <c r="C41" s="6"/>
      <c r="D41" s="6"/>
      <c r="E41" s="42"/>
      <c r="F41" s="42"/>
      <c r="G41" s="43"/>
      <c r="H41" s="44"/>
    </row>
    <row r="42" spans="2:9" ht="15">
      <c r="B42" s="10"/>
      <c r="C42" s="2"/>
      <c r="D42" s="2"/>
      <c r="E42" s="2"/>
      <c r="F42" s="2"/>
      <c r="G42" s="2"/>
    </row>
    <row r="43" spans="2:9" ht="17.25">
      <c r="B43" s="19"/>
      <c r="C43" s="19"/>
      <c r="D43" s="19"/>
      <c r="E43" s="19"/>
      <c r="F43" s="19"/>
      <c r="G43" s="19"/>
      <c r="H43" s="19"/>
    </row>
    <row r="44" spans="2:9" ht="17.25">
      <c r="B44" s="20" t="s">
        <v>17</v>
      </c>
      <c r="C44" s="19"/>
      <c r="D44" s="19"/>
      <c r="E44" s="19"/>
      <c r="F44" s="19"/>
      <c r="G44" s="19"/>
      <c r="H44" s="19"/>
    </row>
    <row r="45" spans="2:9" ht="18" thickBot="1">
      <c r="B45" s="22"/>
      <c r="C45" s="22"/>
      <c r="D45" s="22"/>
      <c r="E45" s="22"/>
      <c r="F45" s="22"/>
      <c r="G45" s="22"/>
      <c r="H45" s="22"/>
    </row>
    <row r="47" spans="2:9">
      <c r="F47" s="5"/>
    </row>
    <row r="48" spans="2:9" ht="18" thickBot="1">
      <c r="B48" s="12" t="s">
        <v>46</v>
      </c>
      <c r="C48" s="23"/>
      <c r="D48" s="23"/>
      <c r="E48" s="23"/>
      <c r="F48" s="23"/>
      <c r="G48" s="23"/>
      <c r="H48" s="185" t="s">
        <v>13</v>
      </c>
      <c r="I48" s="185"/>
    </row>
    <row r="49" spans="2:9" ht="15.75" thickBot="1">
      <c r="B49" s="145" t="s">
        <v>18</v>
      </c>
      <c r="C49" s="145"/>
      <c r="D49" s="146"/>
      <c r="E49" s="73">
        <v>40543</v>
      </c>
      <c r="F49" s="73">
        <v>40908</v>
      </c>
      <c r="G49" s="73">
        <v>41274</v>
      </c>
      <c r="H49" s="73">
        <v>41639</v>
      </c>
      <c r="I49" s="73">
        <v>42004</v>
      </c>
    </row>
    <row r="50" spans="2:9" ht="17.25">
      <c r="B50" s="169" t="s">
        <v>0</v>
      </c>
      <c r="C50" s="169"/>
      <c r="D50" s="170"/>
      <c r="E50" s="80">
        <v>714295</v>
      </c>
      <c r="F50" s="80">
        <v>772175</v>
      </c>
      <c r="G50" s="80">
        <v>805549</v>
      </c>
      <c r="H50" s="80">
        <v>881844</v>
      </c>
      <c r="I50" s="80">
        <v>944559</v>
      </c>
    </row>
    <row r="51" spans="2:9" ht="17.25">
      <c r="B51" s="171" t="s">
        <v>1</v>
      </c>
      <c r="C51" s="171"/>
      <c r="D51" s="172"/>
      <c r="E51" s="81">
        <v>17170</v>
      </c>
      <c r="F51" s="81">
        <v>16850</v>
      </c>
      <c r="G51" s="81">
        <v>17821</v>
      </c>
      <c r="H51" s="81">
        <v>19539</v>
      </c>
      <c r="I51" s="81">
        <v>20178</v>
      </c>
    </row>
    <row r="52" spans="2:9" ht="17.25">
      <c r="B52" s="173" t="s">
        <v>2</v>
      </c>
      <c r="C52" s="173"/>
      <c r="D52" s="174"/>
      <c r="E52" s="83">
        <v>4295</v>
      </c>
      <c r="F52" s="83">
        <v>5058</v>
      </c>
      <c r="G52" s="83">
        <v>5876</v>
      </c>
      <c r="H52" s="83">
        <v>6957</v>
      </c>
      <c r="I52" s="83">
        <v>7486</v>
      </c>
    </row>
    <row r="53" spans="2:9" ht="18" thickBot="1">
      <c r="B53" s="158" t="s">
        <v>3</v>
      </c>
      <c r="C53" s="158"/>
      <c r="D53" s="159"/>
      <c r="E53" s="79">
        <v>5348</v>
      </c>
      <c r="F53" s="79">
        <v>5242</v>
      </c>
      <c r="G53" s="79">
        <v>5261</v>
      </c>
      <c r="H53" s="79">
        <v>5182</v>
      </c>
      <c r="I53" s="79">
        <v>5142</v>
      </c>
    </row>
    <row r="54" spans="2:9" s="71" customFormat="1" ht="18" thickBot="1">
      <c r="B54" s="147" t="s">
        <v>4</v>
      </c>
      <c r="C54" s="147"/>
      <c r="D54" s="148"/>
      <c r="E54" s="82">
        <v>741108</v>
      </c>
      <c r="F54" s="82">
        <v>799325</v>
      </c>
      <c r="G54" s="82">
        <v>834507</v>
      </c>
      <c r="H54" s="82">
        <v>913522</v>
      </c>
      <c r="I54" s="82">
        <v>977365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2" t="s">
        <v>47</v>
      </c>
      <c r="C82" s="23"/>
      <c r="D82" s="23"/>
      <c r="E82" s="23"/>
      <c r="F82" s="23"/>
      <c r="G82" s="23"/>
      <c r="H82" s="123" t="s">
        <v>12</v>
      </c>
      <c r="I82"/>
      <c r="J82"/>
      <c r="K82"/>
    </row>
    <row r="83" spans="2:11" ht="15.75" thickBot="1">
      <c r="B83" s="32" t="s">
        <v>18</v>
      </c>
      <c r="C83" s="73">
        <f>EDATE(D83,-1)</f>
        <v>42154</v>
      </c>
      <c r="D83" s="73">
        <f>EDATE(E83,-1)</f>
        <v>42185</v>
      </c>
      <c r="E83" s="73">
        <f>EDATE(F83,-1)</f>
        <v>42215</v>
      </c>
      <c r="F83" s="73">
        <f>EDATE(G83,-1)</f>
        <v>42246</v>
      </c>
      <c r="G83" s="73">
        <f>EDATE(H83,-1)</f>
        <v>42277</v>
      </c>
      <c r="H83" s="73">
        <f>EDATE(E11,1)</f>
        <v>42307</v>
      </c>
      <c r="I83"/>
      <c r="J83"/>
    </row>
    <row r="84" spans="2:11" ht="16.5" customHeight="1">
      <c r="B84" s="25" t="s">
        <v>0</v>
      </c>
      <c r="C84" s="80">
        <v>975467</v>
      </c>
      <c r="D84" s="80">
        <v>980206</v>
      </c>
      <c r="E84" s="80">
        <v>984614</v>
      </c>
      <c r="F84" s="80">
        <v>991257</v>
      </c>
      <c r="G84" s="80">
        <v>993268</v>
      </c>
      <c r="H84" s="80">
        <v>996118</v>
      </c>
    </row>
    <row r="85" spans="2:11" ht="16.5" customHeight="1">
      <c r="B85" s="26" t="s">
        <v>1</v>
      </c>
      <c r="C85" s="81">
        <v>20771</v>
      </c>
      <c r="D85" s="81">
        <v>20872</v>
      </c>
      <c r="E85" s="81">
        <v>20904</v>
      </c>
      <c r="F85" s="81">
        <v>20981</v>
      </c>
      <c r="G85" s="81">
        <v>21072</v>
      </c>
      <c r="H85" s="81">
        <v>20973</v>
      </c>
    </row>
    <row r="86" spans="2:11" ht="16.5" customHeight="1">
      <c r="B86" s="27" t="s">
        <v>2</v>
      </c>
      <c r="C86" s="83">
        <v>8400</v>
      </c>
      <c r="D86" s="83">
        <v>8385</v>
      </c>
      <c r="E86" s="83">
        <v>8823</v>
      </c>
      <c r="F86" s="83">
        <v>8602</v>
      </c>
      <c r="G86" s="83">
        <v>8775</v>
      </c>
      <c r="H86" s="83">
        <v>8894</v>
      </c>
    </row>
    <row r="87" spans="2:11" ht="16.5" customHeight="1" thickBot="1">
      <c r="B87" s="28" t="s">
        <v>3</v>
      </c>
      <c r="C87" s="79">
        <v>4915</v>
      </c>
      <c r="D87" s="79">
        <v>4856</v>
      </c>
      <c r="E87" s="79">
        <v>4715</v>
      </c>
      <c r="F87" s="79">
        <v>4694</v>
      </c>
      <c r="G87" s="79">
        <v>4323</v>
      </c>
      <c r="H87" s="79">
        <v>4266</v>
      </c>
    </row>
    <row r="88" spans="2:11" s="71" customFormat="1" ht="18" thickBot="1">
      <c r="B88" s="120" t="s">
        <v>4</v>
      </c>
      <c r="C88" s="82">
        <v>1009553</v>
      </c>
      <c r="D88" s="82">
        <v>1014319</v>
      </c>
      <c r="E88" s="82">
        <v>1019056</v>
      </c>
      <c r="F88" s="82">
        <v>1025534</v>
      </c>
      <c r="G88" s="82">
        <v>1027438</v>
      </c>
      <c r="H88" s="82">
        <v>1030251</v>
      </c>
      <c r="I88" s="58"/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29"/>
      <c r="C123" s="29"/>
      <c r="D123" s="29"/>
      <c r="E123" s="29"/>
      <c r="F123" s="29"/>
      <c r="G123" s="29"/>
      <c r="H123" s="29"/>
    </row>
    <row r="124" spans="2:8" ht="17.25">
      <c r="B124" s="30" t="s">
        <v>25</v>
      </c>
      <c r="C124" s="92">
        <f>B3</f>
        <v>42308</v>
      </c>
      <c r="D124" s="29"/>
      <c r="E124" s="29"/>
      <c r="F124" s="29"/>
      <c r="G124" s="29"/>
      <c r="H124" s="29"/>
    </row>
    <row r="125" spans="2:8" ht="18" thickBot="1">
      <c r="B125" s="31"/>
      <c r="C125" s="31"/>
      <c r="D125" s="31"/>
      <c r="E125" s="31"/>
      <c r="F125" s="31"/>
      <c r="G125" s="31"/>
      <c r="H125" s="31"/>
    </row>
    <row r="127" spans="2:8" ht="18" thickBot="1">
      <c r="B127" s="62"/>
      <c r="C127" s="74"/>
      <c r="D127" s="36"/>
      <c r="E127" s="36"/>
      <c r="F127" s="36"/>
      <c r="G127" s="36"/>
      <c r="H127" s="37" t="s">
        <v>13</v>
      </c>
    </row>
    <row r="128" spans="2:8" ht="30.75" customHeight="1" thickBot="1">
      <c r="B128" s="146" t="s">
        <v>26</v>
      </c>
      <c r="C128" s="149"/>
      <c r="D128" s="149"/>
      <c r="E128" s="149"/>
      <c r="F128" s="149"/>
      <c r="G128" s="150" t="s">
        <v>5</v>
      </c>
      <c r="H128" s="151"/>
    </row>
    <row r="129" spans="2:10" ht="18" customHeight="1" thickBot="1">
      <c r="B129" s="133" t="s">
        <v>22</v>
      </c>
      <c r="C129" s="152"/>
      <c r="D129" s="152"/>
      <c r="E129" s="152"/>
      <c r="F129" s="152"/>
      <c r="G129" s="153">
        <v>398</v>
      </c>
      <c r="H129" s="154"/>
    </row>
    <row r="132" spans="2:10" ht="17.25">
      <c r="B132" s="33"/>
      <c r="C132" s="33"/>
      <c r="D132" s="33"/>
      <c r="E132" s="33"/>
      <c r="F132" s="33"/>
      <c r="G132" s="33"/>
      <c r="H132" s="33"/>
    </row>
    <row r="133" spans="2:10" ht="17.25">
      <c r="B133" s="34" t="s">
        <v>21</v>
      </c>
      <c r="C133" s="33"/>
      <c r="D133" s="33"/>
      <c r="E133" s="34"/>
      <c r="F133" s="97">
        <f>C6</f>
        <v>42308</v>
      </c>
      <c r="G133" s="33"/>
      <c r="H133" s="33"/>
    </row>
    <row r="134" spans="2:10" ht="18" thickBot="1">
      <c r="B134" s="35"/>
      <c r="C134" s="35"/>
      <c r="D134" s="35"/>
      <c r="E134" s="35"/>
      <c r="F134" s="35"/>
      <c r="G134" s="35"/>
      <c r="H134" s="35"/>
    </row>
    <row r="136" spans="2:10" ht="17.25">
      <c r="B136" s="87" t="s">
        <v>27</v>
      </c>
      <c r="C136" s="38"/>
      <c r="D136" s="38"/>
      <c r="E136" s="38"/>
      <c r="F136" s="38"/>
      <c r="G136" s="38"/>
      <c r="H136" s="39" t="s">
        <v>13</v>
      </c>
    </row>
    <row r="137" spans="2:10" ht="18" thickBot="1">
      <c r="B137" s="88" t="s">
        <v>28</v>
      </c>
      <c r="C137" s="38"/>
      <c r="D137" s="38"/>
      <c r="E137" s="38"/>
      <c r="F137" s="38"/>
      <c r="G137" s="38"/>
      <c r="H137" s="39"/>
    </row>
    <row r="138" spans="2:10" ht="15.75" customHeight="1" thickBot="1">
      <c r="B138" s="155" t="s">
        <v>19</v>
      </c>
      <c r="C138" s="155"/>
      <c r="D138" s="155"/>
      <c r="E138" s="155"/>
      <c r="F138" s="156"/>
      <c r="G138" s="157" t="s">
        <v>6</v>
      </c>
      <c r="H138" s="144"/>
      <c r="I138"/>
    </row>
    <row r="139" spans="2:10" ht="17.25" customHeight="1">
      <c r="B139" s="140" t="s">
        <v>52</v>
      </c>
      <c r="C139" s="140" t="s">
        <v>52</v>
      </c>
      <c r="D139" s="140" t="s">
        <v>52</v>
      </c>
      <c r="E139" s="140" t="s">
        <v>52</v>
      </c>
      <c r="F139" s="141" t="s">
        <v>52</v>
      </c>
      <c r="G139" s="142">
        <v>225299</v>
      </c>
      <c r="H139" s="143">
        <v>225299</v>
      </c>
      <c r="I139" s="47"/>
      <c r="J139" s="50"/>
    </row>
    <row r="140" spans="2:10" ht="13.5" customHeight="1">
      <c r="B140" s="136" t="s">
        <v>32</v>
      </c>
      <c r="C140" s="136" t="s">
        <v>32</v>
      </c>
      <c r="D140" s="136" t="s">
        <v>32</v>
      </c>
      <c r="E140" s="136" t="s">
        <v>32</v>
      </c>
      <c r="F140" s="137" t="s">
        <v>32</v>
      </c>
      <c r="G140" s="138">
        <v>179754</v>
      </c>
      <c r="H140" s="139">
        <v>179754</v>
      </c>
      <c r="I140" s="47"/>
      <c r="J140" s="50"/>
    </row>
    <row r="141" spans="2:10" ht="17.25" customHeight="1">
      <c r="B141" s="136" t="s">
        <v>53</v>
      </c>
      <c r="C141" s="136" t="s">
        <v>53</v>
      </c>
      <c r="D141" s="136" t="s">
        <v>53</v>
      </c>
      <c r="E141" s="136" t="s">
        <v>53</v>
      </c>
      <c r="F141" s="137" t="s">
        <v>53</v>
      </c>
      <c r="G141" s="138">
        <v>136190</v>
      </c>
      <c r="H141" s="139">
        <v>136190</v>
      </c>
      <c r="I141" s="47"/>
      <c r="J141" s="50"/>
    </row>
    <row r="142" spans="2:10" ht="17.25" customHeight="1">
      <c r="B142" s="136" t="s">
        <v>34</v>
      </c>
      <c r="C142" s="136" t="s">
        <v>34</v>
      </c>
      <c r="D142" s="136" t="s">
        <v>34</v>
      </c>
      <c r="E142" s="136" t="s">
        <v>34</v>
      </c>
      <c r="F142" s="137" t="s">
        <v>34</v>
      </c>
      <c r="G142" s="138">
        <v>136124</v>
      </c>
      <c r="H142" s="139">
        <v>136124</v>
      </c>
      <c r="I142" s="47"/>
      <c r="J142" s="50"/>
    </row>
    <row r="143" spans="2:10" ht="17.25" customHeight="1">
      <c r="B143" s="136" t="s">
        <v>50</v>
      </c>
      <c r="C143" s="136" t="s">
        <v>50</v>
      </c>
      <c r="D143" s="136" t="s">
        <v>50</v>
      </c>
      <c r="E143" s="136" t="s">
        <v>50</v>
      </c>
      <c r="F143" s="137" t="s">
        <v>50</v>
      </c>
      <c r="G143" s="138">
        <v>68268</v>
      </c>
      <c r="H143" s="139">
        <v>68268</v>
      </c>
      <c r="I143" s="47"/>
      <c r="J143" s="50"/>
    </row>
    <row r="144" spans="2:10" ht="13.5" customHeight="1">
      <c r="B144" s="136" t="s">
        <v>54</v>
      </c>
      <c r="C144" s="136" t="s">
        <v>54</v>
      </c>
      <c r="D144" s="136" t="s">
        <v>54</v>
      </c>
      <c r="E144" s="136" t="s">
        <v>54</v>
      </c>
      <c r="F144" s="137" t="s">
        <v>54</v>
      </c>
      <c r="G144" s="138">
        <v>59876</v>
      </c>
      <c r="H144" s="139">
        <v>59876</v>
      </c>
      <c r="I144" s="51"/>
      <c r="J144" s="50"/>
    </row>
    <row r="145" spans="2:13" ht="17.25" customHeight="1">
      <c r="B145" s="136" t="s">
        <v>36</v>
      </c>
      <c r="C145" s="136" t="s">
        <v>36</v>
      </c>
      <c r="D145" s="136" t="s">
        <v>36</v>
      </c>
      <c r="E145" s="136" t="s">
        <v>36</v>
      </c>
      <c r="F145" s="137" t="s">
        <v>36</v>
      </c>
      <c r="G145" s="138">
        <v>47587</v>
      </c>
      <c r="H145" s="139">
        <v>47587</v>
      </c>
      <c r="I145" s="47"/>
      <c r="J145" s="50"/>
    </row>
    <row r="146" spans="2:13" ht="17.25" customHeight="1">
      <c r="B146" s="136" t="s">
        <v>59</v>
      </c>
      <c r="C146" s="136" t="s">
        <v>59</v>
      </c>
      <c r="D146" s="136" t="s">
        <v>59</v>
      </c>
      <c r="E146" s="136" t="s">
        <v>59</v>
      </c>
      <c r="F146" s="137" t="s">
        <v>59</v>
      </c>
      <c r="G146" s="138">
        <v>31729</v>
      </c>
      <c r="H146" s="139">
        <v>31729</v>
      </c>
      <c r="I146" s="47"/>
      <c r="J146" s="50"/>
    </row>
    <row r="147" spans="2:13" ht="17.25" customHeight="1">
      <c r="B147" s="136" t="s">
        <v>38</v>
      </c>
      <c r="C147" s="136" t="s">
        <v>38</v>
      </c>
      <c r="D147" s="136" t="s">
        <v>38</v>
      </c>
      <c r="E147" s="136" t="s">
        <v>38</v>
      </c>
      <c r="F147" s="137" t="s">
        <v>38</v>
      </c>
      <c r="G147" s="138">
        <v>22236</v>
      </c>
      <c r="H147" s="139">
        <v>22236</v>
      </c>
      <c r="I147" s="47"/>
      <c r="J147" s="50"/>
      <c r="L147"/>
    </row>
    <row r="148" spans="2:13" ht="18" customHeight="1" thickBot="1">
      <c r="B148" s="132" t="s">
        <v>39</v>
      </c>
      <c r="C148" s="132" t="s">
        <v>39</v>
      </c>
      <c r="D148" s="132" t="s">
        <v>39</v>
      </c>
      <c r="E148" s="132" t="s">
        <v>39</v>
      </c>
      <c r="F148" s="133" t="s">
        <v>39</v>
      </c>
      <c r="G148" s="134">
        <v>19824</v>
      </c>
      <c r="H148" s="135">
        <v>19824</v>
      </c>
      <c r="I148" s="47"/>
      <c r="J148" s="50"/>
      <c r="L148"/>
    </row>
    <row r="149" spans="2:13" ht="17.25">
      <c r="G149" s="41"/>
      <c r="H149" s="41"/>
      <c r="I149" s="52"/>
      <c r="J149" s="52"/>
    </row>
    <row r="150" spans="2:13" ht="17.25">
      <c r="B150" s="40"/>
      <c r="C150" s="40"/>
      <c r="D150" s="40"/>
      <c r="E150" s="40"/>
      <c r="F150" s="40"/>
      <c r="G150" s="41"/>
      <c r="H150" s="41"/>
      <c r="I150" s="52"/>
      <c r="J150" s="52"/>
    </row>
    <row r="151" spans="2:13" ht="17.25">
      <c r="B151" s="87" t="s">
        <v>7</v>
      </c>
      <c r="C151" s="38"/>
      <c r="D151" s="38"/>
      <c r="E151" s="38"/>
      <c r="F151" s="38"/>
      <c r="G151" s="38"/>
      <c r="H151" s="39" t="s">
        <v>12</v>
      </c>
      <c r="I151" s="52"/>
      <c r="J151" s="52"/>
    </row>
    <row r="152" spans="2:13" ht="18" thickBot="1">
      <c r="B152" s="88" t="s">
        <v>29</v>
      </c>
      <c r="C152" s="38"/>
      <c r="D152" s="38"/>
      <c r="E152" s="38"/>
      <c r="F152" s="38"/>
      <c r="G152" s="38"/>
      <c r="H152" s="39"/>
      <c r="I152" s="52"/>
      <c r="J152" s="52"/>
    </row>
    <row r="153" spans="2:13" ht="15.75" thickBot="1">
      <c r="B153" s="145" t="s">
        <v>19</v>
      </c>
      <c r="C153" s="145"/>
      <c r="D153" s="145"/>
      <c r="E153" s="145"/>
      <c r="F153" s="146"/>
      <c r="G153" s="144" t="s">
        <v>6</v>
      </c>
      <c r="H153" s="144"/>
      <c r="I153" s="52"/>
      <c r="J153" s="52"/>
      <c r="K153"/>
      <c r="L153"/>
      <c r="M153"/>
    </row>
    <row r="154" spans="2:13" ht="17.25" customHeight="1">
      <c r="B154" s="140" t="s">
        <v>32</v>
      </c>
      <c r="C154" s="140" t="s">
        <v>32</v>
      </c>
      <c r="D154" s="140" t="s">
        <v>32</v>
      </c>
      <c r="E154" s="140" t="s">
        <v>32</v>
      </c>
      <c r="F154" s="141" t="s">
        <v>32</v>
      </c>
      <c r="G154" s="142">
        <v>14186</v>
      </c>
      <c r="H154" s="143">
        <v>14186</v>
      </c>
      <c r="I154" s="53"/>
      <c r="J154" s="50"/>
      <c r="K154" s="49"/>
      <c r="L154"/>
      <c r="M154"/>
    </row>
    <row r="155" spans="2:13" ht="17.25" customHeight="1">
      <c r="B155" s="136" t="s">
        <v>52</v>
      </c>
      <c r="C155" s="136" t="s">
        <v>52</v>
      </c>
      <c r="D155" s="136" t="s">
        <v>52</v>
      </c>
      <c r="E155" s="136" t="s">
        <v>52</v>
      </c>
      <c r="F155" s="137" t="s">
        <v>52</v>
      </c>
      <c r="G155" s="138">
        <v>11412</v>
      </c>
      <c r="H155" s="139">
        <v>11412</v>
      </c>
      <c r="I155" s="53"/>
      <c r="J155" s="50"/>
      <c r="K155" s="49"/>
      <c r="L155"/>
      <c r="M155"/>
    </row>
    <row r="156" spans="2:13" ht="17.25" customHeight="1">
      <c r="B156" s="136" t="s">
        <v>53</v>
      </c>
      <c r="C156" s="136" t="s">
        <v>53</v>
      </c>
      <c r="D156" s="136" t="s">
        <v>53</v>
      </c>
      <c r="E156" s="136" t="s">
        <v>53</v>
      </c>
      <c r="F156" s="137" t="s">
        <v>53</v>
      </c>
      <c r="G156" s="138">
        <v>10784</v>
      </c>
      <c r="H156" s="139">
        <v>10784</v>
      </c>
      <c r="I156" s="53"/>
      <c r="J156" s="50"/>
      <c r="K156" s="49"/>
      <c r="L156"/>
      <c r="M156"/>
    </row>
    <row r="157" spans="2:13" ht="17.25">
      <c r="B157" s="136" t="s">
        <v>34</v>
      </c>
      <c r="C157" s="136" t="s">
        <v>34</v>
      </c>
      <c r="D157" s="136" t="s">
        <v>34</v>
      </c>
      <c r="E157" s="136" t="s">
        <v>34</v>
      </c>
      <c r="F157" s="137" t="s">
        <v>34</v>
      </c>
      <c r="G157" s="138">
        <v>10707</v>
      </c>
      <c r="H157" s="139">
        <v>10707</v>
      </c>
      <c r="I157" s="53"/>
      <c r="J157" s="50"/>
      <c r="K157" s="49"/>
      <c r="L157"/>
      <c r="M157"/>
    </row>
    <row r="158" spans="2:13" ht="17.25" customHeight="1">
      <c r="B158" s="136" t="s">
        <v>50</v>
      </c>
      <c r="C158" s="136" t="s">
        <v>50</v>
      </c>
      <c r="D158" s="136" t="s">
        <v>50</v>
      </c>
      <c r="E158" s="136" t="s">
        <v>50</v>
      </c>
      <c r="F158" s="137" t="s">
        <v>50</v>
      </c>
      <c r="G158" s="138">
        <v>6946</v>
      </c>
      <c r="H158" s="139">
        <v>6946</v>
      </c>
      <c r="I158" s="53"/>
      <c r="J158" s="50"/>
      <c r="K158" s="49"/>
      <c r="L158"/>
      <c r="M158"/>
    </row>
    <row r="159" spans="2:13" ht="17.25" customHeight="1">
      <c r="B159" s="136" t="s">
        <v>54</v>
      </c>
      <c r="C159" s="136" t="s">
        <v>54</v>
      </c>
      <c r="D159" s="136" t="s">
        <v>54</v>
      </c>
      <c r="E159" s="136" t="s">
        <v>54</v>
      </c>
      <c r="F159" s="137" t="s">
        <v>54</v>
      </c>
      <c r="G159" s="138">
        <v>4335</v>
      </c>
      <c r="H159" s="139">
        <v>4335</v>
      </c>
      <c r="I159" s="54"/>
      <c r="J159" s="50"/>
      <c r="K159" s="49"/>
      <c r="L159"/>
      <c r="M159"/>
    </row>
    <row r="160" spans="2:13" ht="17.25" customHeight="1">
      <c r="B160" s="136" t="s">
        <v>36</v>
      </c>
      <c r="C160" s="136" t="s">
        <v>36</v>
      </c>
      <c r="D160" s="136" t="s">
        <v>36</v>
      </c>
      <c r="E160" s="136" t="s">
        <v>36</v>
      </c>
      <c r="F160" s="137" t="s">
        <v>36</v>
      </c>
      <c r="G160" s="138">
        <v>3073</v>
      </c>
      <c r="H160" s="139">
        <v>3073</v>
      </c>
      <c r="I160" s="53"/>
      <c r="J160" s="50"/>
      <c r="K160" s="49"/>
      <c r="L160"/>
      <c r="M160"/>
    </row>
    <row r="161" spans="2:13" ht="17.25" customHeight="1">
      <c r="B161" s="136" t="s">
        <v>55</v>
      </c>
      <c r="C161" s="136" t="s">
        <v>55</v>
      </c>
      <c r="D161" s="136" t="s">
        <v>55</v>
      </c>
      <c r="E161" s="136" t="s">
        <v>55</v>
      </c>
      <c r="F161" s="137" t="s">
        <v>55</v>
      </c>
      <c r="G161" s="138">
        <v>2167</v>
      </c>
      <c r="H161" s="139">
        <v>2167</v>
      </c>
      <c r="I161" s="53"/>
      <c r="J161" s="50"/>
      <c r="K161" s="49"/>
      <c r="L161"/>
      <c r="M161"/>
    </row>
    <row r="162" spans="2:13" ht="17.25" customHeight="1">
      <c r="B162" s="136" t="s">
        <v>38</v>
      </c>
      <c r="C162" s="136" t="s">
        <v>38</v>
      </c>
      <c r="D162" s="136" t="s">
        <v>38</v>
      </c>
      <c r="E162" s="136" t="s">
        <v>38</v>
      </c>
      <c r="F162" s="137" t="s">
        <v>38</v>
      </c>
      <c r="G162" s="138">
        <v>1432</v>
      </c>
      <c r="H162" s="139">
        <v>1432</v>
      </c>
      <c r="I162" s="53"/>
      <c r="J162" s="50"/>
      <c r="K162" s="49"/>
      <c r="L162"/>
      <c r="M162"/>
    </row>
    <row r="163" spans="2:13" ht="18" customHeight="1" thickBot="1">
      <c r="B163" s="132" t="s">
        <v>59</v>
      </c>
      <c r="C163" s="132" t="s">
        <v>59</v>
      </c>
      <c r="D163" s="132" t="s">
        <v>59</v>
      </c>
      <c r="E163" s="132" t="s">
        <v>59</v>
      </c>
      <c r="F163" s="133" t="s">
        <v>59</v>
      </c>
      <c r="G163" s="134">
        <v>1287</v>
      </c>
      <c r="H163" s="135">
        <v>1287</v>
      </c>
      <c r="I163" s="53"/>
      <c r="J163" s="50"/>
      <c r="K163" s="49"/>
      <c r="L163"/>
      <c r="M163"/>
    </row>
    <row r="164" spans="2:13" ht="17.25">
      <c r="B164" s="40"/>
      <c r="C164" s="40"/>
      <c r="D164" s="40"/>
      <c r="E164" s="40"/>
      <c r="F164" s="40"/>
      <c r="G164" s="93"/>
      <c r="H164" s="93"/>
      <c r="I164" s="52"/>
      <c r="J164" s="52"/>
      <c r="L164"/>
      <c r="M164"/>
    </row>
    <row r="165" spans="2:13" ht="17.25">
      <c r="G165" s="41"/>
      <c r="H165" s="41"/>
      <c r="I165" s="2"/>
      <c r="J165" s="2"/>
    </row>
    <row r="166" spans="2:13" ht="17.25">
      <c r="B166" s="87" t="s">
        <v>8</v>
      </c>
      <c r="C166" s="38"/>
      <c r="D166" s="38"/>
      <c r="E166" s="38"/>
      <c r="F166" s="38"/>
      <c r="G166" s="38"/>
      <c r="H166" s="39" t="s">
        <v>14</v>
      </c>
      <c r="I166" s="2"/>
      <c r="J166" s="52"/>
      <c r="K166"/>
    </row>
    <row r="167" spans="2:13" ht="18" thickBot="1">
      <c r="B167" s="88" t="s">
        <v>30</v>
      </c>
      <c r="C167" s="38"/>
      <c r="D167" s="38"/>
      <c r="E167" s="38"/>
      <c r="F167" s="38"/>
      <c r="G167" s="38"/>
      <c r="H167" s="39"/>
      <c r="I167" s="2"/>
      <c r="J167" s="52"/>
      <c r="K167"/>
    </row>
    <row r="168" spans="2:13" ht="15" customHeight="1" thickBot="1">
      <c r="B168" s="121" t="s">
        <v>19</v>
      </c>
      <c r="C168" s="121"/>
      <c r="D168" s="121"/>
      <c r="E168" s="121"/>
      <c r="F168" s="122"/>
      <c r="G168" s="144" t="s">
        <v>9</v>
      </c>
      <c r="H168" s="144"/>
      <c r="I168" s="2"/>
      <c r="J168" s="2"/>
    </row>
    <row r="169" spans="2:13" ht="17.25" customHeight="1">
      <c r="B169" s="140" t="s">
        <v>49</v>
      </c>
      <c r="C169" s="140" t="s">
        <v>49</v>
      </c>
      <c r="D169" s="140" t="s">
        <v>49</v>
      </c>
      <c r="E169" s="140" t="s">
        <v>49</v>
      </c>
      <c r="F169" s="141" t="s">
        <v>49</v>
      </c>
      <c r="G169" s="142">
        <v>1706860735992.9199</v>
      </c>
      <c r="H169" s="143">
        <v>1706860735992.9199</v>
      </c>
      <c r="I169" s="55"/>
      <c r="J169" s="56"/>
    </row>
    <row r="170" spans="2:13" ht="17.25" customHeight="1">
      <c r="B170" s="136" t="s">
        <v>50</v>
      </c>
      <c r="C170" s="136" t="s">
        <v>34</v>
      </c>
      <c r="D170" s="136" t="s">
        <v>34</v>
      </c>
      <c r="E170" s="136" t="s">
        <v>34</v>
      </c>
      <c r="F170" s="137" t="s">
        <v>34</v>
      </c>
      <c r="G170" s="138">
        <v>1473522522350.27</v>
      </c>
      <c r="H170" s="139">
        <v>1473522522350.27</v>
      </c>
      <c r="I170" s="55"/>
      <c r="J170" s="56"/>
    </row>
    <row r="171" spans="2:13" ht="17.25" customHeight="1">
      <c r="B171" s="136" t="s">
        <v>34</v>
      </c>
      <c r="C171" s="136" t="s">
        <v>50</v>
      </c>
      <c r="D171" s="136" t="s">
        <v>50</v>
      </c>
      <c r="E171" s="136" t="s">
        <v>50</v>
      </c>
      <c r="F171" s="137" t="s">
        <v>50</v>
      </c>
      <c r="G171" s="138">
        <v>1377060863589.22</v>
      </c>
      <c r="H171" s="139">
        <v>1377060863589.22</v>
      </c>
      <c r="I171" s="55"/>
      <c r="J171" s="56"/>
    </row>
    <row r="172" spans="2:13" ht="17.25" customHeight="1">
      <c r="B172" s="136" t="s">
        <v>32</v>
      </c>
      <c r="C172" s="136" t="s">
        <v>32</v>
      </c>
      <c r="D172" s="136" t="s">
        <v>32</v>
      </c>
      <c r="E172" s="136" t="s">
        <v>32</v>
      </c>
      <c r="F172" s="137" t="s">
        <v>32</v>
      </c>
      <c r="G172" s="138">
        <v>568095456327.87</v>
      </c>
      <c r="H172" s="139">
        <v>568095456327.87</v>
      </c>
      <c r="I172" s="55"/>
      <c r="J172" s="56"/>
    </row>
    <row r="173" spans="2:13" ht="17.25" customHeight="1">
      <c r="B173" s="136" t="s">
        <v>42</v>
      </c>
      <c r="C173" s="136" t="s">
        <v>57</v>
      </c>
      <c r="D173" s="136" t="s">
        <v>57</v>
      </c>
      <c r="E173" s="136" t="s">
        <v>57</v>
      </c>
      <c r="F173" s="137" t="s">
        <v>57</v>
      </c>
      <c r="G173" s="138">
        <v>449912174451.47998</v>
      </c>
      <c r="H173" s="139">
        <v>449912174451.47998</v>
      </c>
      <c r="I173" s="57"/>
      <c r="J173" s="50"/>
    </row>
    <row r="174" spans="2:13" ht="17.25" customHeight="1">
      <c r="B174" s="136" t="s">
        <v>57</v>
      </c>
      <c r="C174" s="136" t="s">
        <v>42</v>
      </c>
      <c r="D174" s="136" t="s">
        <v>42</v>
      </c>
      <c r="E174" s="136" t="s">
        <v>42</v>
      </c>
      <c r="F174" s="137" t="s">
        <v>42</v>
      </c>
      <c r="G174" s="138">
        <v>376927728018.56</v>
      </c>
      <c r="H174" s="139">
        <v>376927728018.56</v>
      </c>
      <c r="I174" s="55"/>
      <c r="J174" s="56"/>
    </row>
    <row r="175" spans="2:13" ht="17.25" customHeight="1">
      <c r="B175" s="136" t="s">
        <v>43</v>
      </c>
      <c r="C175" s="136" t="s">
        <v>60</v>
      </c>
      <c r="D175" s="136" t="s">
        <v>60</v>
      </c>
      <c r="E175" s="136" t="s">
        <v>60</v>
      </c>
      <c r="F175" s="137" t="s">
        <v>60</v>
      </c>
      <c r="G175" s="138">
        <v>301095645471.25</v>
      </c>
      <c r="H175" s="139">
        <v>301095645471.25</v>
      </c>
      <c r="I175" s="55"/>
      <c r="J175" s="56"/>
    </row>
    <row r="176" spans="2:13" ht="17.25" customHeight="1">
      <c r="B176" s="136" t="s">
        <v>53</v>
      </c>
      <c r="C176" s="136" t="s">
        <v>53</v>
      </c>
      <c r="D176" s="136" t="s">
        <v>53</v>
      </c>
      <c r="E176" s="136" t="s">
        <v>53</v>
      </c>
      <c r="F176" s="137" t="s">
        <v>53</v>
      </c>
      <c r="G176" s="138">
        <v>294257595478.77002</v>
      </c>
      <c r="H176" s="139">
        <v>294257595478.77002</v>
      </c>
      <c r="I176" s="55"/>
      <c r="J176" s="56"/>
    </row>
    <row r="177" spans="2:10" ht="17.25" customHeight="1">
      <c r="B177" s="136" t="s">
        <v>62</v>
      </c>
      <c r="C177" s="136" t="s">
        <v>43</v>
      </c>
      <c r="D177" s="136" t="s">
        <v>43</v>
      </c>
      <c r="E177" s="136" t="s">
        <v>43</v>
      </c>
      <c r="F177" s="137" t="s">
        <v>43</v>
      </c>
      <c r="G177" s="138">
        <v>223741175282.04999</v>
      </c>
      <c r="H177" s="139">
        <v>223741175282.04999</v>
      </c>
      <c r="I177" s="55"/>
      <c r="J177" s="56"/>
    </row>
    <row r="178" spans="2:10" ht="18" customHeight="1" thickBot="1">
      <c r="B178" s="132" t="s">
        <v>61</v>
      </c>
      <c r="C178" s="132" t="s">
        <v>61</v>
      </c>
      <c r="D178" s="132" t="s">
        <v>61</v>
      </c>
      <c r="E178" s="132" t="s">
        <v>61</v>
      </c>
      <c r="F178" s="133" t="s">
        <v>61</v>
      </c>
      <c r="G178" s="134">
        <v>216014292438.64001</v>
      </c>
      <c r="H178" s="135">
        <v>216014292438.64001</v>
      </c>
      <c r="I178" s="55"/>
      <c r="J178" s="56"/>
    </row>
    <row r="179" spans="2:10" ht="17.25">
      <c r="G179" s="41"/>
      <c r="H179" s="41"/>
      <c r="J179" s="48"/>
    </row>
    <row r="180" spans="2:10">
      <c r="B180" s="58"/>
      <c r="J180" s="48"/>
    </row>
  </sheetData>
  <dataConsolidate link="1"/>
  <mergeCells count="100">
    <mergeCell ref="B178:F178"/>
    <mergeCell ref="G178:H178"/>
    <mergeCell ref="B175:F175"/>
    <mergeCell ref="G175:H175"/>
    <mergeCell ref="B176:F176"/>
    <mergeCell ref="G176:H176"/>
    <mergeCell ref="B177:F177"/>
    <mergeCell ref="G177:H177"/>
    <mergeCell ref="B172:F172"/>
    <mergeCell ref="G172:H172"/>
    <mergeCell ref="B173:F173"/>
    <mergeCell ref="G173:H173"/>
    <mergeCell ref="B174:F174"/>
    <mergeCell ref="G174:H174"/>
    <mergeCell ref="B171:F171"/>
    <mergeCell ref="G171:H171"/>
    <mergeCell ref="B161:F161"/>
    <mergeCell ref="G161:H161"/>
    <mergeCell ref="B162:F162"/>
    <mergeCell ref="G162:H162"/>
    <mergeCell ref="B163:F163"/>
    <mergeCell ref="G163:H163"/>
    <mergeCell ref="G168:H168"/>
    <mergeCell ref="B169:F169"/>
    <mergeCell ref="G169:H169"/>
    <mergeCell ref="B170:F170"/>
    <mergeCell ref="G170:H170"/>
    <mergeCell ref="B158:F158"/>
    <mergeCell ref="G158:H158"/>
    <mergeCell ref="B159:F159"/>
    <mergeCell ref="G159:H159"/>
    <mergeCell ref="B160:F160"/>
    <mergeCell ref="G160:H160"/>
    <mergeCell ref="B155:F155"/>
    <mergeCell ref="G155:H155"/>
    <mergeCell ref="B156:F156"/>
    <mergeCell ref="G156:H156"/>
    <mergeCell ref="B157:F157"/>
    <mergeCell ref="G157:H157"/>
    <mergeCell ref="B148:F148"/>
    <mergeCell ref="G148:H148"/>
    <mergeCell ref="B153:F153"/>
    <mergeCell ref="G153:H153"/>
    <mergeCell ref="B154:F154"/>
    <mergeCell ref="G154:H154"/>
    <mergeCell ref="B145:F145"/>
    <mergeCell ref="G145:H145"/>
    <mergeCell ref="B146:F146"/>
    <mergeCell ref="G146:H146"/>
    <mergeCell ref="B147:F147"/>
    <mergeCell ref="G147:H147"/>
    <mergeCell ref="B142:F142"/>
    <mergeCell ref="G142:H142"/>
    <mergeCell ref="B143:F143"/>
    <mergeCell ref="G143:H143"/>
    <mergeCell ref="B144:F144"/>
    <mergeCell ref="G144:H144"/>
    <mergeCell ref="B139:F139"/>
    <mergeCell ref="G139:H139"/>
    <mergeCell ref="B140:F140"/>
    <mergeCell ref="G140:H140"/>
    <mergeCell ref="B141:F141"/>
    <mergeCell ref="G141:H141"/>
    <mergeCell ref="B138:F138"/>
    <mergeCell ref="G138:H138"/>
    <mergeCell ref="H48:I48"/>
    <mergeCell ref="B49:D49"/>
    <mergeCell ref="B50:D50"/>
    <mergeCell ref="B51:D51"/>
    <mergeCell ref="B52:D52"/>
    <mergeCell ref="B53:D53"/>
    <mergeCell ref="B54:D54"/>
    <mergeCell ref="B128:F128"/>
    <mergeCell ref="G128:H128"/>
    <mergeCell ref="B129:F129"/>
    <mergeCell ref="G129:H129"/>
    <mergeCell ref="B39:D39"/>
    <mergeCell ref="B24:D24"/>
    <mergeCell ref="B25:D25"/>
    <mergeCell ref="B26:D26"/>
    <mergeCell ref="B27:D27"/>
    <mergeCell ref="B28:D28"/>
    <mergeCell ref="B33:D33"/>
    <mergeCell ref="B34:D34"/>
    <mergeCell ref="B35:D35"/>
    <mergeCell ref="B36:D36"/>
    <mergeCell ref="B37:D37"/>
    <mergeCell ref="B38:D38"/>
    <mergeCell ref="B23:D23"/>
    <mergeCell ref="B2:H2"/>
    <mergeCell ref="B3:H3"/>
    <mergeCell ref="I3:N3"/>
    <mergeCell ref="B11:D11"/>
    <mergeCell ref="B12:D12"/>
    <mergeCell ref="B13:D13"/>
    <mergeCell ref="B14:D14"/>
    <mergeCell ref="B15:D15"/>
    <mergeCell ref="B16:D16"/>
    <mergeCell ref="B17:D17"/>
    <mergeCell ref="B22:D22"/>
  </mergeCells>
  <pageMargins left="0.70866141732283472" right="0.70866141732283472" top="0.15748031496062992" bottom="0.15748031496062992" header="0.31496062992125984" footer="0.11811023622047245"/>
  <pageSetup paperSize="9" scale="47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49" max="16383" man="1"/>
    <brk id="192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47457">
          <objectPr defaultSize="0" autoPict="0" dde="1">
            <anchor moveWithCells="1">
              <from>
                <xdr:col>0</xdr:col>
                <xdr:colOff>123825</xdr:colOff>
                <xdr:row>72</xdr:row>
                <xdr:rowOff>123825</xdr:rowOff>
              </from>
              <to>
                <xdr:col>1</xdr:col>
                <xdr:colOff>257175</xdr:colOff>
                <xdr:row>74</xdr:row>
                <xdr:rowOff>0</xdr:rowOff>
              </to>
            </anchor>
          </objectPr>
        </oleObject>
      </mc:Choice>
      <mc:Fallback>
        <oleObject link="[1]!'!Январь2012!R1C2:R10C9'" oleUpdate="OLEUPDATE_ALWAYS" shapeId="147457"/>
      </mc:Fallback>
    </mc:AlternateContent>
  </oleObjec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06">
    <pageSetUpPr fitToPage="1"/>
  </sheetPr>
  <dimension ref="B2:N180"/>
  <sheetViews>
    <sheetView workbookViewId="0"/>
  </sheetViews>
  <sheetFormatPr defaultRowHeight="13.5"/>
  <cols>
    <col min="1" max="1" width="3.42578125" style="75" customWidth="1"/>
    <col min="2" max="2" width="46.7109375" style="75" customWidth="1"/>
    <col min="3" max="4" width="18.42578125" style="75" customWidth="1"/>
    <col min="5" max="9" width="25.5703125" style="75" customWidth="1"/>
    <col min="10" max="10" width="10.5703125" style="75" customWidth="1"/>
    <col min="11" max="11" width="14.85546875" style="75" bestFit="1" customWidth="1"/>
    <col min="12" max="12" width="9.140625" style="75"/>
    <col min="13" max="13" width="23.42578125" style="75" customWidth="1"/>
    <col min="14" max="16384" width="9.140625" style="75"/>
  </cols>
  <sheetData>
    <row r="2" spans="2:14" s="1" customFormat="1" ht="20.25">
      <c r="B2" s="183" t="s">
        <v>15</v>
      </c>
      <c r="C2" s="183"/>
      <c r="D2" s="183"/>
      <c r="E2" s="183"/>
      <c r="F2" s="183"/>
      <c r="G2" s="183"/>
      <c r="H2" s="183"/>
    </row>
    <row r="3" spans="2:14" s="1" customFormat="1" ht="21" thickBot="1">
      <c r="B3" s="184">
        <v>42338</v>
      </c>
      <c r="C3" s="184"/>
      <c r="D3" s="184"/>
      <c r="E3" s="184"/>
      <c r="F3" s="184"/>
      <c r="G3" s="184"/>
      <c r="H3" s="184"/>
      <c r="I3" s="184"/>
      <c r="J3" s="184"/>
      <c r="K3" s="184"/>
      <c r="L3" s="184"/>
      <c r="M3" s="184"/>
      <c r="N3" s="184"/>
    </row>
    <row r="4" spans="2:14" s="1" customFormat="1" ht="18" thickTop="1"/>
    <row r="5" spans="2:14" s="1" customFormat="1" ht="17.25">
      <c r="B5" s="17"/>
      <c r="C5" s="17"/>
      <c r="D5" s="17"/>
      <c r="E5" s="17"/>
      <c r="F5" s="17"/>
      <c r="G5" s="17"/>
      <c r="H5" s="17"/>
    </row>
    <row r="6" spans="2:14" s="1" customFormat="1" ht="17.25">
      <c r="B6" s="18" t="s">
        <v>20</v>
      </c>
      <c r="C6" s="68">
        <f>B3</f>
        <v>42338</v>
      </c>
      <c r="D6" s="17"/>
      <c r="E6" s="17"/>
      <c r="F6" s="17"/>
      <c r="G6" s="17"/>
      <c r="H6" s="17"/>
    </row>
    <row r="7" spans="2:14" s="1" customFormat="1" ht="18" thickBot="1">
      <c r="B7" s="21"/>
      <c r="C7" s="21"/>
      <c r="D7" s="21"/>
      <c r="E7" s="21"/>
      <c r="F7" s="21"/>
      <c r="G7" s="21"/>
      <c r="H7" s="21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3" t="s">
        <v>44</v>
      </c>
      <c r="C10" s="14"/>
      <c r="D10" s="14"/>
      <c r="E10" s="14"/>
      <c r="F10" s="14"/>
      <c r="G10" s="14"/>
      <c r="H10" s="15" t="s">
        <v>13</v>
      </c>
    </row>
    <row r="11" spans="2:14" s="46" customFormat="1" ht="15.75" thickBot="1">
      <c r="B11" s="179" t="s">
        <v>18</v>
      </c>
      <c r="C11" s="179"/>
      <c r="D11" s="180"/>
      <c r="E11" s="73">
        <f>EDATE(B3,-1)</f>
        <v>42307</v>
      </c>
      <c r="F11" s="73">
        <f>B3</f>
        <v>42338</v>
      </c>
      <c r="G11" s="45" t="s">
        <v>10</v>
      </c>
      <c r="H11" s="45" t="s">
        <v>11</v>
      </c>
      <c r="J11" s="77"/>
    </row>
    <row r="12" spans="2:14" s="76" customFormat="1" ht="17.25">
      <c r="B12" s="181" t="s">
        <v>0</v>
      </c>
      <c r="C12" s="181"/>
      <c r="D12" s="182"/>
      <c r="E12" s="78">
        <f>Октябрь2015!F12</f>
        <v>1259135</v>
      </c>
      <c r="F12" s="84">
        <v>1276149</v>
      </c>
      <c r="G12" s="11">
        <f>F12-E12</f>
        <v>17014</v>
      </c>
      <c r="H12" s="59">
        <f t="shared" ref="H12:H18" si="0">F12/E12-1</f>
        <v>1.3512451008033333E-2</v>
      </c>
      <c r="I12" s="85"/>
      <c r="J12" s="86"/>
    </row>
    <row r="13" spans="2:14" s="76" customFormat="1" ht="17.25">
      <c r="B13" s="177" t="s">
        <v>1</v>
      </c>
      <c r="C13" s="177"/>
      <c r="D13" s="178"/>
      <c r="E13" s="78">
        <f>Октябрь2015!F13</f>
        <v>35600</v>
      </c>
      <c r="F13" s="84">
        <v>35516</v>
      </c>
      <c r="G13" s="11">
        <f t="shared" ref="G13:G18" si="1">F13-E13</f>
        <v>-84</v>
      </c>
      <c r="H13" s="59">
        <f t="shared" si="0"/>
        <v>-2.3595505617977075E-3</v>
      </c>
      <c r="I13" s="85"/>
      <c r="J13" s="86"/>
    </row>
    <row r="14" spans="2:14" s="76" customFormat="1" ht="17.25">
      <c r="B14" s="177" t="s">
        <v>2</v>
      </c>
      <c r="C14" s="177"/>
      <c r="D14" s="178"/>
      <c r="E14" s="78">
        <f>Октябрь2015!F14</f>
        <v>13582</v>
      </c>
      <c r="F14" s="84">
        <v>13356</v>
      </c>
      <c r="G14" s="11">
        <f t="shared" si="1"/>
        <v>-226</v>
      </c>
      <c r="H14" s="59">
        <f t="shared" si="0"/>
        <v>-1.6639670151671337E-2</v>
      </c>
      <c r="I14" s="85"/>
      <c r="J14" s="86"/>
    </row>
    <row r="15" spans="2:14" s="76" customFormat="1" ht="17.25">
      <c r="B15" s="162" t="s">
        <v>23</v>
      </c>
      <c r="C15" s="162"/>
      <c r="D15" s="163"/>
      <c r="E15" s="78">
        <f>Октябрь2015!F15</f>
        <v>4575</v>
      </c>
      <c r="F15" s="84">
        <v>4459</v>
      </c>
      <c r="G15" s="11">
        <f t="shared" si="1"/>
        <v>-116</v>
      </c>
      <c r="H15" s="59">
        <f t="shared" si="0"/>
        <v>-2.5355191256830611E-2</v>
      </c>
      <c r="I15" s="85"/>
      <c r="J15" s="86"/>
    </row>
    <row r="16" spans="2:14" s="76" customFormat="1" ht="17.25">
      <c r="B16" s="164" t="s">
        <v>24</v>
      </c>
      <c r="C16" s="164"/>
      <c r="D16" s="165"/>
      <c r="E16" s="78">
        <f>Октябрь2015!F16</f>
        <v>9007</v>
      </c>
      <c r="F16" s="84">
        <v>8897</v>
      </c>
      <c r="G16" s="11">
        <f t="shared" si="1"/>
        <v>-110</v>
      </c>
      <c r="H16" s="59">
        <f t="shared" si="0"/>
        <v>-1.2212723437326489E-2</v>
      </c>
      <c r="I16" s="85"/>
      <c r="J16" s="86"/>
    </row>
    <row r="17" spans="2:10" s="76" customFormat="1" ht="18" customHeight="1" thickBot="1">
      <c r="B17" s="175" t="s">
        <v>3</v>
      </c>
      <c r="C17" s="175"/>
      <c r="D17" s="176"/>
      <c r="E17" s="78">
        <f>Октябрь2015!F17</f>
        <v>15113</v>
      </c>
      <c r="F17" s="84">
        <v>15217</v>
      </c>
      <c r="G17" s="11">
        <f t="shared" si="1"/>
        <v>104</v>
      </c>
      <c r="H17" s="59">
        <f t="shared" si="0"/>
        <v>6.8814927545821636E-3</v>
      </c>
      <c r="I17" s="85"/>
      <c r="J17" s="86"/>
    </row>
    <row r="18" spans="2:10" s="70" customFormat="1" ht="18" thickBot="1">
      <c r="B18" s="60" t="s">
        <v>4</v>
      </c>
      <c r="C18" s="60"/>
      <c r="D18" s="61"/>
      <c r="E18" s="72">
        <f>Октябрь2015!F18</f>
        <v>1323430</v>
      </c>
      <c r="F18" s="72">
        <v>1340238</v>
      </c>
      <c r="G18" s="72">
        <f t="shared" si="1"/>
        <v>16808</v>
      </c>
      <c r="H18" s="69">
        <f t="shared" si="0"/>
        <v>1.2700331713804358E-2</v>
      </c>
      <c r="I18" s="85"/>
      <c r="J18" s="86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3" t="s">
        <v>45</v>
      </c>
      <c r="C21" s="14"/>
      <c r="D21" s="14"/>
      <c r="E21" s="14"/>
      <c r="F21" s="14"/>
      <c r="G21" s="14"/>
      <c r="H21" s="15" t="s">
        <v>12</v>
      </c>
    </row>
    <row r="22" spans="2:10" s="76" customFormat="1" ht="15.75" thickBot="1">
      <c r="B22" s="179" t="s">
        <v>18</v>
      </c>
      <c r="C22" s="179"/>
      <c r="D22" s="180"/>
      <c r="E22" s="73">
        <f>E11</f>
        <v>42307</v>
      </c>
      <c r="F22" s="73">
        <f>F11</f>
        <v>42338</v>
      </c>
      <c r="G22" s="45" t="s">
        <v>10</v>
      </c>
      <c r="H22" s="45" t="s">
        <v>11</v>
      </c>
      <c r="J22" s="77"/>
    </row>
    <row r="23" spans="2:10" s="76" customFormat="1" ht="17.25">
      <c r="B23" s="181" t="s">
        <v>0</v>
      </c>
      <c r="C23" s="181"/>
      <c r="D23" s="182"/>
      <c r="E23" s="78">
        <f>Октябрь2015!F23</f>
        <v>996118</v>
      </c>
      <c r="F23" s="84">
        <v>1001556</v>
      </c>
      <c r="G23" s="11">
        <f>F23-E23</f>
        <v>5438</v>
      </c>
      <c r="H23" s="59">
        <f>F23/E23-1</f>
        <v>5.459192585617334E-3</v>
      </c>
      <c r="I23" s="86"/>
    </row>
    <row r="24" spans="2:10" s="76" customFormat="1" ht="17.25">
      <c r="B24" s="177" t="s">
        <v>1</v>
      </c>
      <c r="C24" s="177"/>
      <c r="D24" s="178"/>
      <c r="E24" s="78">
        <f>Октябрь2015!F24</f>
        <v>20973</v>
      </c>
      <c r="F24" s="84">
        <v>21007</v>
      </c>
      <c r="G24" s="11">
        <f t="shared" ref="G24:G29" si="2">F24-E24</f>
        <v>34</v>
      </c>
      <c r="H24" s="59">
        <f t="shared" ref="H24:H29" si="3">F24/E24-1</f>
        <v>1.6211319315309058E-3</v>
      </c>
      <c r="I24" s="86"/>
    </row>
    <row r="25" spans="2:10" s="76" customFormat="1" ht="17.25">
      <c r="B25" s="177" t="s">
        <v>2</v>
      </c>
      <c r="C25" s="177"/>
      <c r="D25" s="178"/>
      <c r="E25" s="78">
        <f>Октябрь2015!F25</f>
        <v>8894</v>
      </c>
      <c r="F25" s="84">
        <v>8699</v>
      </c>
      <c r="G25" s="11">
        <f t="shared" si="2"/>
        <v>-195</v>
      </c>
      <c r="H25" s="59">
        <f t="shared" si="3"/>
        <v>-2.1924893186417771E-2</v>
      </c>
      <c r="I25" s="86"/>
    </row>
    <row r="26" spans="2:10" s="76" customFormat="1" ht="17.25">
      <c r="B26" s="162" t="s">
        <v>23</v>
      </c>
      <c r="C26" s="162"/>
      <c r="D26" s="163"/>
      <c r="E26" s="78">
        <f>Октябрь2015!F26</f>
        <v>4335</v>
      </c>
      <c r="F26" s="84">
        <v>4231</v>
      </c>
      <c r="G26" s="11">
        <f t="shared" si="2"/>
        <v>-104</v>
      </c>
      <c r="H26" s="59">
        <f t="shared" si="3"/>
        <v>-2.3990772779700076E-2</v>
      </c>
      <c r="I26" s="86"/>
    </row>
    <row r="27" spans="2:10" s="76" customFormat="1" ht="17.25">
      <c r="B27" s="164" t="s">
        <v>24</v>
      </c>
      <c r="C27" s="164"/>
      <c r="D27" s="165"/>
      <c r="E27" s="78">
        <f>Октябрь2015!F27</f>
        <v>4559</v>
      </c>
      <c r="F27" s="84">
        <v>4468</v>
      </c>
      <c r="G27" s="11">
        <f t="shared" si="2"/>
        <v>-91</v>
      </c>
      <c r="H27" s="59">
        <f t="shared" si="3"/>
        <v>-1.9960517657381049E-2</v>
      </c>
      <c r="I27" s="86"/>
    </row>
    <row r="28" spans="2:10" s="76" customFormat="1" ht="18" thickBot="1">
      <c r="B28" s="175" t="s">
        <v>3</v>
      </c>
      <c r="C28" s="175"/>
      <c r="D28" s="176"/>
      <c r="E28" s="78">
        <f>Октябрь2015!F28</f>
        <v>4266</v>
      </c>
      <c r="F28" s="84">
        <v>4148</v>
      </c>
      <c r="G28" s="11">
        <f t="shared" si="2"/>
        <v>-118</v>
      </c>
      <c r="H28" s="59">
        <f t="shared" si="3"/>
        <v>-2.766057196436944E-2</v>
      </c>
      <c r="I28" s="86"/>
    </row>
    <row r="29" spans="2:10" s="70" customFormat="1" ht="18" thickBot="1">
      <c r="B29" s="60" t="s">
        <v>4</v>
      </c>
      <c r="C29" s="60"/>
      <c r="D29" s="61"/>
      <c r="E29" s="72">
        <f>Октябрь2015!F29</f>
        <v>1030251</v>
      </c>
      <c r="F29" s="72">
        <v>1035410</v>
      </c>
      <c r="G29" s="72">
        <f t="shared" si="2"/>
        <v>5159</v>
      </c>
      <c r="H29" s="69">
        <f t="shared" si="3"/>
        <v>5.0075175855204268E-3</v>
      </c>
      <c r="I29" s="86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3" t="s">
        <v>16</v>
      </c>
      <c r="C32" s="14"/>
      <c r="D32" s="14"/>
      <c r="E32" s="14"/>
      <c r="F32" s="14"/>
      <c r="G32" s="14"/>
      <c r="H32" s="15" t="s">
        <v>14</v>
      </c>
    </row>
    <row r="33" spans="2:9" ht="15.75" thickBot="1">
      <c r="B33" s="145" t="s">
        <v>18</v>
      </c>
      <c r="C33" s="145"/>
      <c r="D33" s="146"/>
      <c r="E33" s="73">
        <f>E11</f>
        <v>42307</v>
      </c>
      <c r="F33" s="73">
        <f>F11</f>
        <v>42338</v>
      </c>
      <c r="G33" s="16" t="s">
        <v>10</v>
      </c>
      <c r="H33" s="16" t="s">
        <v>11</v>
      </c>
    </row>
    <row r="34" spans="2:9" ht="17.25">
      <c r="B34" s="160" t="s">
        <v>0</v>
      </c>
      <c r="C34" s="160"/>
      <c r="D34" s="161"/>
      <c r="E34" s="78">
        <f>Октябрь2015!F34</f>
        <v>73607</v>
      </c>
      <c r="F34" s="78">
        <v>75190</v>
      </c>
      <c r="G34" s="11">
        <f t="shared" ref="G34:G40" si="4">F34-E34</f>
        <v>1583</v>
      </c>
      <c r="H34" s="59">
        <f t="shared" ref="H34:H40" si="5">F34/E34-1</f>
        <v>2.1506106756150833E-2</v>
      </c>
      <c r="I34" s="58"/>
    </row>
    <row r="35" spans="2:9" ht="17.25">
      <c r="B35" s="136" t="s">
        <v>1</v>
      </c>
      <c r="C35" s="136"/>
      <c r="D35" s="137"/>
      <c r="E35" s="78">
        <f>Октябрь2015!F35</f>
        <v>1135</v>
      </c>
      <c r="F35" s="78">
        <v>1109</v>
      </c>
      <c r="G35" s="11">
        <f t="shared" si="4"/>
        <v>-26</v>
      </c>
      <c r="H35" s="59">
        <f t="shared" si="5"/>
        <v>-2.2907488986784186E-2</v>
      </c>
      <c r="I35" s="58"/>
    </row>
    <row r="36" spans="2:9" ht="17.25">
      <c r="B36" s="136" t="s">
        <v>2</v>
      </c>
      <c r="C36" s="136"/>
      <c r="D36" s="137"/>
      <c r="E36" s="78">
        <f>Октябрь2015!F36</f>
        <v>644</v>
      </c>
      <c r="F36" s="78">
        <v>649</v>
      </c>
      <c r="G36" s="11">
        <f t="shared" si="4"/>
        <v>5</v>
      </c>
      <c r="H36" s="59">
        <f t="shared" si="5"/>
        <v>7.763975155279601E-3</v>
      </c>
      <c r="I36" s="58"/>
    </row>
    <row r="37" spans="2:9" ht="17.25">
      <c r="B37" s="162" t="s">
        <v>23</v>
      </c>
      <c r="C37" s="162"/>
      <c r="D37" s="163"/>
      <c r="E37" s="78">
        <f>Октябрь2015!F37</f>
        <v>311</v>
      </c>
      <c r="F37" s="78">
        <v>304</v>
      </c>
      <c r="G37" s="11">
        <f t="shared" si="4"/>
        <v>-7</v>
      </c>
      <c r="H37" s="59">
        <f t="shared" si="5"/>
        <v>-2.2508038585209E-2</v>
      </c>
      <c r="I37" s="58"/>
    </row>
    <row r="38" spans="2:9" ht="17.25">
      <c r="B38" s="164" t="s">
        <v>24</v>
      </c>
      <c r="C38" s="164"/>
      <c r="D38" s="165"/>
      <c r="E38" s="78">
        <f>Октябрь2015!F38</f>
        <v>333</v>
      </c>
      <c r="F38" s="78">
        <v>345</v>
      </c>
      <c r="G38" s="11">
        <f t="shared" si="4"/>
        <v>12</v>
      </c>
      <c r="H38" s="59">
        <f t="shared" si="5"/>
        <v>3.6036036036036112E-2</v>
      </c>
      <c r="I38" s="58"/>
    </row>
    <row r="39" spans="2:9" ht="18" thickBot="1">
      <c r="B39" s="166" t="s">
        <v>3</v>
      </c>
      <c r="C39" s="166"/>
      <c r="D39" s="167"/>
      <c r="E39" s="78">
        <f>Октябрь2015!F39</f>
        <v>520</v>
      </c>
      <c r="F39" s="78">
        <v>469</v>
      </c>
      <c r="G39" s="11">
        <f t="shared" si="4"/>
        <v>-51</v>
      </c>
      <c r="H39" s="59">
        <f t="shared" si="5"/>
        <v>-9.8076923076923062E-2</v>
      </c>
      <c r="I39" s="58"/>
    </row>
    <row r="40" spans="2:9" s="70" customFormat="1" ht="18" thickBot="1">
      <c r="B40" s="60" t="s">
        <v>4</v>
      </c>
      <c r="C40" s="60"/>
      <c r="D40" s="61"/>
      <c r="E40" s="72">
        <f>Октябрь2015!F40</f>
        <v>75906</v>
      </c>
      <c r="F40" s="72">
        <v>77417</v>
      </c>
      <c r="G40" s="72">
        <f t="shared" si="4"/>
        <v>1511</v>
      </c>
      <c r="H40" s="69">
        <f t="shared" si="5"/>
        <v>1.9906199773404021E-2</v>
      </c>
      <c r="I40" s="58"/>
    </row>
    <row r="41" spans="2:9" ht="15">
      <c r="B41" s="6"/>
      <c r="C41" s="6"/>
      <c r="D41" s="6"/>
      <c r="E41" s="42"/>
      <c r="F41" s="42"/>
      <c r="G41" s="43"/>
      <c r="H41" s="44"/>
    </row>
    <row r="42" spans="2:9" ht="15">
      <c r="B42" s="10"/>
      <c r="C42" s="2"/>
      <c r="D42" s="2"/>
      <c r="E42" s="2"/>
      <c r="F42" s="2"/>
      <c r="G42" s="2"/>
    </row>
    <row r="43" spans="2:9" ht="17.25">
      <c r="B43" s="19"/>
      <c r="C43" s="19"/>
      <c r="D43" s="19"/>
      <c r="E43" s="19"/>
      <c r="F43" s="19"/>
      <c r="G43" s="19"/>
      <c r="H43" s="19"/>
    </row>
    <row r="44" spans="2:9" ht="17.25">
      <c r="B44" s="20" t="s">
        <v>17</v>
      </c>
      <c r="C44" s="19"/>
      <c r="D44" s="19"/>
      <c r="E44" s="19"/>
      <c r="F44" s="19"/>
      <c r="G44" s="19"/>
      <c r="H44" s="19"/>
    </row>
    <row r="45" spans="2:9" ht="18" thickBot="1">
      <c r="B45" s="22"/>
      <c r="C45" s="22"/>
      <c r="D45" s="22"/>
      <c r="E45" s="22"/>
      <c r="F45" s="22"/>
      <c r="G45" s="22"/>
      <c r="H45" s="22"/>
    </row>
    <row r="47" spans="2:9">
      <c r="F47" s="5"/>
    </row>
    <row r="48" spans="2:9" ht="18" thickBot="1">
      <c r="B48" s="12" t="s">
        <v>46</v>
      </c>
      <c r="C48" s="23"/>
      <c r="D48" s="23"/>
      <c r="E48" s="23"/>
      <c r="F48" s="23"/>
      <c r="G48" s="23"/>
      <c r="H48" s="185" t="s">
        <v>13</v>
      </c>
      <c r="I48" s="185"/>
    </row>
    <row r="49" spans="2:9" ht="15.75" thickBot="1">
      <c r="B49" s="145" t="s">
        <v>18</v>
      </c>
      <c r="C49" s="145"/>
      <c r="D49" s="146"/>
      <c r="E49" s="73">
        <v>40543</v>
      </c>
      <c r="F49" s="73">
        <v>40908</v>
      </c>
      <c r="G49" s="73">
        <v>41274</v>
      </c>
      <c r="H49" s="73">
        <v>41639</v>
      </c>
      <c r="I49" s="73">
        <v>42004</v>
      </c>
    </row>
    <row r="50" spans="2:9" ht="17.25">
      <c r="B50" s="169" t="s">
        <v>0</v>
      </c>
      <c r="C50" s="169"/>
      <c r="D50" s="170"/>
      <c r="E50" s="80">
        <v>714295</v>
      </c>
      <c r="F50" s="80">
        <v>772175</v>
      </c>
      <c r="G50" s="80">
        <v>805549</v>
      </c>
      <c r="H50" s="80">
        <v>881844</v>
      </c>
      <c r="I50" s="80">
        <v>944559</v>
      </c>
    </row>
    <row r="51" spans="2:9" ht="17.25">
      <c r="B51" s="171" t="s">
        <v>1</v>
      </c>
      <c r="C51" s="171"/>
      <c r="D51" s="172"/>
      <c r="E51" s="81">
        <v>17170</v>
      </c>
      <c r="F51" s="81">
        <v>16850</v>
      </c>
      <c r="G51" s="81">
        <v>17821</v>
      </c>
      <c r="H51" s="81">
        <v>19539</v>
      </c>
      <c r="I51" s="81">
        <v>20178</v>
      </c>
    </row>
    <row r="52" spans="2:9" ht="17.25">
      <c r="B52" s="173" t="s">
        <v>2</v>
      </c>
      <c r="C52" s="173"/>
      <c r="D52" s="174"/>
      <c r="E52" s="83">
        <v>4295</v>
      </c>
      <c r="F52" s="83">
        <v>5058</v>
      </c>
      <c r="G52" s="83">
        <v>5876</v>
      </c>
      <c r="H52" s="83">
        <v>6957</v>
      </c>
      <c r="I52" s="83">
        <v>7486</v>
      </c>
    </row>
    <row r="53" spans="2:9" ht="18" thickBot="1">
      <c r="B53" s="158" t="s">
        <v>3</v>
      </c>
      <c r="C53" s="158"/>
      <c r="D53" s="159"/>
      <c r="E53" s="79">
        <v>5348</v>
      </c>
      <c r="F53" s="79">
        <v>5242</v>
      </c>
      <c r="G53" s="79">
        <v>5261</v>
      </c>
      <c r="H53" s="79">
        <v>5182</v>
      </c>
      <c r="I53" s="79">
        <v>5142</v>
      </c>
    </row>
    <row r="54" spans="2:9" s="71" customFormat="1" ht="18" thickBot="1">
      <c r="B54" s="147" t="s">
        <v>4</v>
      </c>
      <c r="C54" s="147"/>
      <c r="D54" s="148"/>
      <c r="E54" s="82">
        <v>741108</v>
      </c>
      <c r="F54" s="82">
        <v>799325</v>
      </c>
      <c r="G54" s="82">
        <v>834507</v>
      </c>
      <c r="H54" s="82">
        <v>913522</v>
      </c>
      <c r="I54" s="82">
        <v>977365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2" t="s">
        <v>47</v>
      </c>
      <c r="C82" s="23"/>
      <c r="D82" s="23"/>
      <c r="E82" s="23"/>
      <c r="F82" s="23"/>
      <c r="G82" s="23"/>
      <c r="H82" s="127" t="s">
        <v>12</v>
      </c>
      <c r="I82"/>
      <c r="J82"/>
      <c r="K82"/>
    </row>
    <row r="83" spans="2:11" ht="15.75" thickBot="1">
      <c r="B83" s="32" t="s">
        <v>18</v>
      </c>
      <c r="C83" s="73">
        <f>EDATE(D83,-1)</f>
        <v>42185</v>
      </c>
      <c r="D83" s="73">
        <f>EDATE(E83,-1)</f>
        <v>42215</v>
      </c>
      <c r="E83" s="73">
        <f>EDATE(F83,-1)</f>
        <v>42246</v>
      </c>
      <c r="F83" s="73">
        <f>EDATE(G83,-1)</f>
        <v>42277</v>
      </c>
      <c r="G83" s="73">
        <f>EDATE(H83,-1)</f>
        <v>42307</v>
      </c>
      <c r="H83" s="73">
        <f>EDATE(E11,1)</f>
        <v>42338</v>
      </c>
      <c r="I83"/>
      <c r="J83"/>
    </row>
    <row r="84" spans="2:11" ht="16.5" customHeight="1">
      <c r="B84" s="25" t="s">
        <v>0</v>
      </c>
      <c r="C84" s="80">
        <v>980206</v>
      </c>
      <c r="D84" s="80">
        <v>984614</v>
      </c>
      <c r="E84" s="80">
        <v>991257</v>
      </c>
      <c r="F84" s="80">
        <v>993268</v>
      </c>
      <c r="G84" s="80">
        <v>996118</v>
      </c>
      <c r="H84" s="80">
        <v>1001556</v>
      </c>
    </row>
    <row r="85" spans="2:11" ht="16.5" customHeight="1">
      <c r="B85" s="26" t="s">
        <v>1</v>
      </c>
      <c r="C85" s="81">
        <v>20872</v>
      </c>
      <c r="D85" s="81">
        <v>20904</v>
      </c>
      <c r="E85" s="81">
        <v>20981</v>
      </c>
      <c r="F85" s="81">
        <v>21072</v>
      </c>
      <c r="G85" s="81">
        <v>20973</v>
      </c>
      <c r="H85" s="81">
        <v>21007</v>
      </c>
    </row>
    <row r="86" spans="2:11" ht="16.5" customHeight="1">
      <c r="B86" s="27" t="s">
        <v>2</v>
      </c>
      <c r="C86" s="83">
        <v>8385</v>
      </c>
      <c r="D86" s="83">
        <v>8823</v>
      </c>
      <c r="E86" s="83">
        <v>8602</v>
      </c>
      <c r="F86" s="83">
        <v>8775</v>
      </c>
      <c r="G86" s="83">
        <v>8894</v>
      </c>
      <c r="H86" s="83">
        <v>8699</v>
      </c>
    </row>
    <row r="87" spans="2:11" ht="16.5" customHeight="1" thickBot="1">
      <c r="B87" s="28" t="s">
        <v>3</v>
      </c>
      <c r="C87" s="79">
        <v>4856</v>
      </c>
      <c r="D87" s="79">
        <v>4715</v>
      </c>
      <c r="E87" s="79">
        <v>4694</v>
      </c>
      <c r="F87" s="79">
        <v>4323</v>
      </c>
      <c r="G87" s="79">
        <v>4266</v>
      </c>
      <c r="H87" s="79">
        <v>4148</v>
      </c>
    </row>
    <row r="88" spans="2:11" s="71" customFormat="1" ht="18" thickBot="1">
      <c r="B88" s="124" t="s">
        <v>4</v>
      </c>
      <c r="C88" s="82">
        <v>1014319</v>
      </c>
      <c r="D88" s="82">
        <v>1019056</v>
      </c>
      <c r="E88" s="82">
        <v>1025534</v>
      </c>
      <c r="F88" s="82">
        <v>1027438</v>
      </c>
      <c r="G88" s="82">
        <v>1030251</v>
      </c>
      <c r="H88" s="82">
        <v>1035410</v>
      </c>
      <c r="I88" s="58"/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29"/>
      <c r="C123" s="29"/>
      <c r="D123" s="29"/>
      <c r="E123" s="29"/>
      <c r="F123" s="29"/>
      <c r="G123" s="29"/>
      <c r="H123" s="29"/>
    </row>
    <row r="124" spans="2:8" ht="17.25">
      <c r="B124" s="30" t="s">
        <v>25</v>
      </c>
      <c r="C124" s="92">
        <f>B3</f>
        <v>42338</v>
      </c>
      <c r="D124" s="29"/>
      <c r="E124" s="29"/>
      <c r="F124" s="29"/>
      <c r="G124" s="29"/>
      <c r="H124" s="29"/>
    </row>
    <row r="125" spans="2:8" ht="18" thickBot="1">
      <c r="B125" s="31"/>
      <c r="C125" s="31"/>
      <c r="D125" s="31"/>
      <c r="E125" s="31"/>
      <c r="F125" s="31"/>
      <c r="G125" s="31"/>
      <c r="H125" s="31"/>
    </row>
    <row r="127" spans="2:8" ht="18" thickBot="1">
      <c r="B127" s="62"/>
      <c r="C127" s="74"/>
      <c r="D127" s="36"/>
      <c r="E127" s="36"/>
      <c r="F127" s="36"/>
      <c r="G127" s="36"/>
      <c r="H127" s="37" t="s">
        <v>13</v>
      </c>
    </row>
    <row r="128" spans="2:8" ht="30.75" customHeight="1" thickBot="1">
      <c r="B128" s="146" t="s">
        <v>26</v>
      </c>
      <c r="C128" s="149"/>
      <c r="D128" s="149"/>
      <c r="E128" s="149"/>
      <c r="F128" s="149"/>
      <c r="G128" s="150" t="s">
        <v>5</v>
      </c>
      <c r="H128" s="151"/>
    </row>
    <row r="129" spans="2:10" ht="18" customHeight="1" thickBot="1">
      <c r="B129" s="133" t="s">
        <v>22</v>
      </c>
      <c r="C129" s="152"/>
      <c r="D129" s="152"/>
      <c r="E129" s="152"/>
      <c r="F129" s="152"/>
      <c r="G129" s="153">
        <v>387</v>
      </c>
      <c r="H129" s="154"/>
    </row>
    <row r="132" spans="2:10" ht="17.25">
      <c r="B132" s="33"/>
      <c r="C132" s="33"/>
      <c r="D132" s="33"/>
      <c r="E132" s="33"/>
      <c r="F132" s="33"/>
      <c r="G132" s="33"/>
      <c r="H132" s="33"/>
    </row>
    <row r="133" spans="2:10" ht="17.25">
      <c r="B133" s="34" t="s">
        <v>21</v>
      </c>
      <c r="C133" s="33"/>
      <c r="D133" s="33"/>
      <c r="E133" s="34"/>
      <c r="F133" s="97">
        <f>C6</f>
        <v>42338</v>
      </c>
      <c r="G133" s="33"/>
      <c r="H133" s="33"/>
    </row>
    <row r="134" spans="2:10" ht="18" thickBot="1">
      <c r="B134" s="35"/>
      <c r="C134" s="35"/>
      <c r="D134" s="35"/>
      <c r="E134" s="35"/>
      <c r="F134" s="35"/>
      <c r="G134" s="35"/>
      <c r="H134" s="35"/>
    </row>
    <row r="136" spans="2:10" ht="17.25">
      <c r="B136" s="87" t="s">
        <v>27</v>
      </c>
      <c r="C136" s="38"/>
      <c r="D136" s="38"/>
      <c r="E136" s="38"/>
      <c r="F136" s="38"/>
      <c r="G136" s="38"/>
      <c r="H136" s="39" t="s">
        <v>13</v>
      </c>
    </row>
    <row r="137" spans="2:10" ht="18" thickBot="1">
      <c r="B137" s="88" t="s">
        <v>28</v>
      </c>
      <c r="C137" s="38"/>
      <c r="D137" s="38"/>
      <c r="E137" s="38"/>
      <c r="F137" s="38"/>
      <c r="G137" s="38"/>
      <c r="H137" s="39"/>
    </row>
    <row r="138" spans="2:10" ht="15.75" customHeight="1" thickBot="1">
      <c r="B138" s="155" t="s">
        <v>19</v>
      </c>
      <c r="C138" s="155"/>
      <c r="D138" s="155"/>
      <c r="E138" s="155"/>
      <c r="F138" s="156"/>
      <c r="G138" s="157" t="s">
        <v>6</v>
      </c>
      <c r="H138" s="144"/>
      <c r="I138"/>
    </row>
    <row r="139" spans="2:10" ht="17.25" customHeight="1">
      <c r="B139" s="140" t="s">
        <v>52</v>
      </c>
      <c r="C139" s="140" t="s">
        <v>52</v>
      </c>
      <c r="D139" s="140" t="s">
        <v>52</v>
      </c>
      <c r="E139" s="140" t="s">
        <v>52</v>
      </c>
      <c r="F139" s="141" t="s">
        <v>52</v>
      </c>
      <c r="G139" s="142">
        <v>226612</v>
      </c>
      <c r="H139" s="143">
        <v>226612</v>
      </c>
      <c r="I139" s="47"/>
      <c r="J139" s="50"/>
    </row>
    <row r="140" spans="2:10" ht="13.5" customHeight="1">
      <c r="B140" s="136" t="s">
        <v>32</v>
      </c>
      <c r="C140" s="136" t="s">
        <v>32</v>
      </c>
      <c r="D140" s="136" t="s">
        <v>32</v>
      </c>
      <c r="E140" s="136" t="s">
        <v>32</v>
      </c>
      <c r="F140" s="137" t="s">
        <v>32</v>
      </c>
      <c r="G140" s="138">
        <v>178604</v>
      </c>
      <c r="H140" s="139">
        <v>178604</v>
      </c>
      <c r="I140" s="47"/>
      <c r="J140" s="50"/>
    </row>
    <row r="141" spans="2:10" ht="17.25" customHeight="1">
      <c r="B141" s="136" t="s">
        <v>34</v>
      </c>
      <c r="C141" s="136" t="s">
        <v>34</v>
      </c>
      <c r="D141" s="136" t="s">
        <v>34</v>
      </c>
      <c r="E141" s="136" t="s">
        <v>34</v>
      </c>
      <c r="F141" s="137" t="s">
        <v>34</v>
      </c>
      <c r="G141" s="138">
        <v>137947</v>
      </c>
      <c r="H141" s="139">
        <v>137947</v>
      </c>
      <c r="I141" s="47"/>
      <c r="J141" s="50"/>
    </row>
    <row r="142" spans="2:10" ht="17.25" customHeight="1">
      <c r="B142" s="136" t="s">
        <v>53</v>
      </c>
      <c r="C142" s="136" t="s">
        <v>53</v>
      </c>
      <c r="D142" s="136" t="s">
        <v>53</v>
      </c>
      <c r="E142" s="136" t="s">
        <v>53</v>
      </c>
      <c r="F142" s="137" t="s">
        <v>53</v>
      </c>
      <c r="G142" s="138">
        <v>137597</v>
      </c>
      <c r="H142" s="139">
        <v>137597</v>
      </c>
      <c r="I142" s="47"/>
      <c r="J142" s="50"/>
    </row>
    <row r="143" spans="2:10" ht="17.25" customHeight="1">
      <c r="B143" s="136" t="s">
        <v>50</v>
      </c>
      <c r="C143" s="136" t="s">
        <v>50</v>
      </c>
      <c r="D143" s="136" t="s">
        <v>50</v>
      </c>
      <c r="E143" s="136" t="s">
        <v>50</v>
      </c>
      <c r="F143" s="137" t="s">
        <v>50</v>
      </c>
      <c r="G143" s="138">
        <v>68991</v>
      </c>
      <c r="H143" s="139">
        <v>68991</v>
      </c>
      <c r="I143" s="47"/>
      <c r="J143" s="50"/>
    </row>
    <row r="144" spans="2:10" ht="13.5" customHeight="1">
      <c r="B144" s="136" t="s">
        <v>54</v>
      </c>
      <c r="C144" s="136" t="s">
        <v>54</v>
      </c>
      <c r="D144" s="136" t="s">
        <v>54</v>
      </c>
      <c r="E144" s="136" t="s">
        <v>54</v>
      </c>
      <c r="F144" s="137" t="s">
        <v>54</v>
      </c>
      <c r="G144" s="138">
        <v>60116</v>
      </c>
      <c r="H144" s="139">
        <v>60116</v>
      </c>
      <c r="I144" s="51"/>
      <c r="J144" s="50"/>
    </row>
    <row r="145" spans="2:13" ht="17.25" customHeight="1">
      <c r="B145" s="136" t="s">
        <v>36</v>
      </c>
      <c r="C145" s="136" t="s">
        <v>36</v>
      </c>
      <c r="D145" s="136" t="s">
        <v>36</v>
      </c>
      <c r="E145" s="136" t="s">
        <v>36</v>
      </c>
      <c r="F145" s="137" t="s">
        <v>36</v>
      </c>
      <c r="G145" s="138">
        <v>47742</v>
      </c>
      <c r="H145" s="139">
        <v>47742</v>
      </c>
      <c r="I145" s="47"/>
      <c r="J145" s="50"/>
    </row>
    <row r="146" spans="2:13" ht="17.25" customHeight="1">
      <c r="B146" s="136" t="s">
        <v>59</v>
      </c>
      <c r="C146" s="136" t="s">
        <v>59</v>
      </c>
      <c r="D146" s="136" t="s">
        <v>59</v>
      </c>
      <c r="E146" s="136" t="s">
        <v>59</v>
      </c>
      <c r="F146" s="137" t="s">
        <v>59</v>
      </c>
      <c r="G146" s="138">
        <v>31850</v>
      </c>
      <c r="H146" s="139">
        <v>31850</v>
      </c>
      <c r="I146" s="47"/>
      <c r="J146" s="50"/>
    </row>
    <row r="147" spans="2:13" ht="17.25" customHeight="1">
      <c r="B147" s="136" t="s">
        <v>38</v>
      </c>
      <c r="C147" s="136" t="s">
        <v>38</v>
      </c>
      <c r="D147" s="136" t="s">
        <v>38</v>
      </c>
      <c r="E147" s="136" t="s">
        <v>38</v>
      </c>
      <c r="F147" s="137" t="s">
        <v>38</v>
      </c>
      <c r="G147" s="138">
        <v>20742</v>
      </c>
      <c r="H147" s="139">
        <v>20742</v>
      </c>
      <c r="I147" s="47"/>
      <c r="J147" s="50"/>
      <c r="L147"/>
    </row>
    <row r="148" spans="2:13" ht="18" customHeight="1" thickBot="1">
      <c r="B148" s="132" t="s">
        <v>39</v>
      </c>
      <c r="C148" s="132" t="s">
        <v>39</v>
      </c>
      <c r="D148" s="132" t="s">
        <v>39</v>
      </c>
      <c r="E148" s="132" t="s">
        <v>39</v>
      </c>
      <c r="F148" s="133" t="s">
        <v>39</v>
      </c>
      <c r="G148" s="134">
        <v>19824</v>
      </c>
      <c r="H148" s="135">
        <v>19824</v>
      </c>
      <c r="I148" s="47"/>
      <c r="J148" s="50"/>
      <c r="L148"/>
    </row>
    <row r="149" spans="2:13" ht="17.25">
      <c r="G149" s="41"/>
      <c r="H149" s="41"/>
      <c r="I149" s="52"/>
      <c r="J149" s="52"/>
    </row>
    <row r="150" spans="2:13" ht="17.25">
      <c r="B150" s="40"/>
      <c r="C150" s="40"/>
      <c r="D150" s="40"/>
      <c r="E150" s="40"/>
      <c r="F150" s="40"/>
      <c r="G150" s="41"/>
      <c r="H150" s="41"/>
      <c r="I150" s="52"/>
      <c r="J150" s="52"/>
    </row>
    <row r="151" spans="2:13" ht="17.25">
      <c r="B151" s="87" t="s">
        <v>7</v>
      </c>
      <c r="C151" s="38"/>
      <c r="D151" s="38"/>
      <c r="E151" s="38"/>
      <c r="F151" s="38"/>
      <c r="G151" s="38"/>
      <c r="H151" s="39" t="s">
        <v>12</v>
      </c>
      <c r="I151" s="52"/>
      <c r="J151" s="52"/>
    </row>
    <row r="152" spans="2:13" ht="18" thickBot="1">
      <c r="B152" s="88" t="s">
        <v>29</v>
      </c>
      <c r="C152" s="38"/>
      <c r="D152" s="38"/>
      <c r="E152" s="38"/>
      <c r="F152" s="38"/>
      <c r="G152" s="38"/>
      <c r="H152" s="39"/>
      <c r="I152" s="52"/>
      <c r="J152" s="52"/>
    </row>
    <row r="153" spans="2:13" ht="15.75" thickBot="1">
      <c r="B153" s="145" t="s">
        <v>19</v>
      </c>
      <c r="C153" s="145"/>
      <c r="D153" s="145"/>
      <c r="E153" s="145"/>
      <c r="F153" s="146"/>
      <c r="G153" s="144" t="s">
        <v>6</v>
      </c>
      <c r="H153" s="144"/>
      <c r="I153" s="52"/>
      <c r="J153" s="52"/>
      <c r="K153"/>
      <c r="L153"/>
      <c r="M153"/>
    </row>
    <row r="154" spans="2:13" ht="17.25" customHeight="1">
      <c r="B154" s="140" t="s">
        <v>32</v>
      </c>
      <c r="C154" s="140" t="s">
        <v>32</v>
      </c>
      <c r="D154" s="140" t="s">
        <v>32</v>
      </c>
      <c r="E154" s="140" t="s">
        <v>32</v>
      </c>
      <c r="F154" s="141" t="s">
        <v>32</v>
      </c>
      <c r="G154" s="142">
        <v>15356</v>
      </c>
      <c r="H154" s="143">
        <v>15356</v>
      </c>
      <c r="I154" s="53"/>
      <c r="J154" s="50"/>
      <c r="K154" s="49"/>
      <c r="L154"/>
      <c r="M154"/>
    </row>
    <row r="155" spans="2:13" ht="17.25" customHeight="1">
      <c r="B155" s="136" t="s">
        <v>52</v>
      </c>
      <c r="C155" s="136" t="s">
        <v>52</v>
      </c>
      <c r="D155" s="136" t="s">
        <v>52</v>
      </c>
      <c r="E155" s="136" t="s">
        <v>52</v>
      </c>
      <c r="F155" s="137" t="s">
        <v>52</v>
      </c>
      <c r="G155" s="138">
        <v>11509</v>
      </c>
      <c r="H155" s="139">
        <v>11509</v>
      </c>
      <c r="I155" s="53"/>
      <c r="J155" s="50"/>
      <c r="K155" s="49"/>
      <c r="L155"/>
      <c r="M155"/>
    </row>
    <row r="156" spans="2:13" ht="17.25" customHeight="1">
      <c r="B156" s="136" t="s">
        <v>34</v>
      </c>
      <c r="C156" s="136" t="s">
        <v>34</v>
      </c>
      <c r="D156" s="136" t="s">
        <v>34</v>
      </c>
      <c r="E156" s="136" t="s">
        <v>34</v>
      </c>
      <c r="F156" s="137" t="s">
        <v>34</v>
      </c>
      <c r="G156" s="138">
        <v>10912</v>
      </c>
      <c r="H156" s="139">
        <v>10912</v>
      </c>
      <c r="I156" s="53"/>
      <c r="J156" s="50"/>
      <c r="K156" s="49"/>
      <c r="L156"/>
      <c r="M156"/>
    </row>
    <row r="157" spans="2:13" ht="17.25">
      <c r="B157" s="136" t="s">
        <v>53</v>
      </c>
      <c r="C157" s="136" t="s">
        <v>53</v>
      </c>
      <c r="D157" s="136" t="s">
        <v>53</v>
      </c>
      <c r="E157" s="136" t="s">
        <v>53</v>
      </c>
      <c r="F157" s="137" t="s">
        <v>53</v>
      </c>
      <c r="G157" s="138">
        <v>10815</v>
      </c>
      <c r="H157" s="139">
        <v>10815</v>
      </c>
      <c r="I157" s="53"/>
      <c r="J157" s="50"/>
      <c r="K157" s="49"/>
      <c r="L157"/>
      <c r="M157"/>
    </row>
    <row r="158" spans="2:13" ht="17.25" customHeight="1">
      <c r="B158" s="136" t="s">
        <v>50</v>
      </c>
      <c r="C158" s="136" t="s">
        <v>50</v>
      </c>
      <c r="D158" s="136" t="s">
        <v>50</v>
      </c>
      <c r="E158" s="136" t="s">
        <v>50</v>
      </c>
      <c r="F158" s="137" t="s">
        <v>50</v>
      </c>
      <c r="G158" s="138">
        <v>7085</v>
      </c>
      <c r="H158" s="139">
        <v>7085</v>
      </c>
      <c r="I158" s="53"/>
      <c r="J158" s="50"/>
      <c r="K158" s="49"/>
      <c r="L158"/>
      <c r="M158"/>
    </row>
    <row r="159" spans="2:13" ht="17.25" customHeight="1">
      <c r="B159" s="136" t="s">
        <v>54</v>
      </c>
      <c r="C159" s="136" t="s">
        <v>54</v>
      </c>
      <c r="D159" s="136" t="s">
        <v>54</v>
      </c>
      <c r="E159" s="136" t="s">
        <v>54</v>
      </c>
      <c r="F159" s="137" t="s">
        <v>54</v>
      </c>
      <c r="G159" s="138">
        <v>4278</v>
      </c>
      <c r="H159" s="139">
        <v>4278</v>
      </c>
      <c r="I159" s="54"/>
      <c r="J159" s="50"/>
      <c r="K159" s="49"/>
      <c r="L159"/>
      <c r="M159"/>
    </row>
    <row r="160" spans="2:13" ht="17.25" customHeight="1">
      <c r="B160" s="136" t="s">
        <v>36</v>
      </c>
      <c r="C160" s="136" t="s">
        <v>36</v>
      </c>
      <c r="D160" s="136" t="s">
        <v>36</v>
      </c>
      <c r="E160" s="136" t="s">
        <v>36</v>
      </c>
      <c r="F160" s="137" t="s">
        <v>36</v>
      </c>
      <c r="G160" s="138">
        <v>3140</v>
      </c>
      <c r="H160" s="139">
        <v>3140</v>
      </c>
      <c r="I160" s="53"/>
      <c r="J160" s="50"/>
      <c r="K160" s="49"/>
      <c r="L160"/>
      <c r="M160"/>
    </row>
    <row r="161" spans="2:13" ht="17.25" customHeight="1">
      <c r="B161" s="136" t="s">
        <v>55</v>
      </c>
      <c r="C161" s="136" t="s">
        <v>55</v>
      </c>
      <c r="D161" s="136" t="s">
        <v>55</v>
      </c>
      <c r="E161" s="136" t="s">
        <v>55</v>
      </c>
      <c r="F161" s="137" t="s">
        <v>55</v>
      </c>
      <c r="G161" s="138">
        <v>2276</v>
      </c>
      <c r="H161" s="139">
        <v>2276</v>
      </c>
      <c r="I161" s="53"/>
      <c r="J161" s="50"/>
      <c r="K161" s="49"/>
      <c r="L161"/>
      <c r="M161"/>
    </row>
    <row r="162" spans="2:13" ht="17.25" customHeight="1">
      <c r="B162" s="136" t="s">
        <v>38</v>
      </c>
      <c r="C162" s="136" t="s">
        <v>38</v>
      </c>
      <c r="D162" s="136" t="s">
        <v>38</v>
      </c>
      <c r="E162" s="136" t="s">
        <v>38</v>
      </c>
      <c r="F162" s="137" t="s">
        <v>38</v>
      </c>
      <c r="G162" s="138">
        <v>1420</v>
      </c>
      <c r="H162" s="139">
        <v>1420</v>
      </c>
      <c r="I162" s="53"/>
      <c r="J162" s="50"/>
      <c r="K162" s="49"/>
      <c r="L162"/>
      <c r="M162"/>
    </row>
    <row r="163" spans="2:13" ht="18" customHeight="1" thickBot="1">
      <c r="B163" s="132" t="s">
        <v>59</v>
      </c>
      <c r="C163" s="132" t="s">
        <v>59</v>
      </c>
      <c r="D163" s="132" t="s">
        <v>59</v>
      </c>
      <c r="E163" s="132" t="s">
        <v>59</v>
      </c>
      <c r="F163" s="133" t="s">
        <v>59</v>
      </c>
      <c r="G163" s="134">
        <v>1289</v>
      </c>
      <c r="H163" s="135">
        <v>1289</v>
      </c>
      <c r="I163" s="53"/>
      <c r="J163" s="50"/>
      <c r="K163" s="49"/>
      <c r="L163"/>
      <c r="M163"/>
    </row>
    <row r="164" spans="2:13" ht="17.25">
      <c r="B164" s="40"/>
      <c r="C164" s="40"/>
      <c r="D164" s="40"/>
      <c r="E164" s="40"/>
      <c r="F164" s="40"/>
      <c r="G164" s="93"/>
      <c r="H164" s="93"/>
      <c r="I164" s="52"/>
      <c r="J164" s="52"/>
      <c r="L164"/>
      <c r="M164"/>
    </row>
    <row r="165" spans="2:13" ht="17.25">
      <c r="G165" s="41"/>
      <c r="H165" s="41"/>
      <c r="I165" s="2"/>
      <c r="J165" s="2"/>
    </row>
    <row r="166" spans="2:13" ht="17.25">
      <c r="B166" s="87" t="s">
        <v>8</v>
      </c>
      <c r="C166" s="38"/>
      <c r="D166" s="38"/>
      <c r="E166" s="38"/>
      <c r="F166" s="38"/>
      <c r="G166" s="38"/>
      <c r="H166" s="39" t="s">
        <v>14</v>
      </c>
      <c r="I166" s="2"/>
      <c r="J166" s="52"/>
      <c r="K166"/>
    </row>
    <row r="167" spans="2:13" ht="18" thickBot="1">
      <c r="B167" s="88" t="s">
        <v>30</v>
      </c>
      <c r="C167" s="38"/>
      <c r="D167" s="38"/>
      <c r="E167" s="38"/>
      <c r="F167" s="38"/>
      <c r="G167" s="38"/>
      <c r="H167" s="39"/>
      <c r="I167" s="2"/>
      <c r="J167" s="52"/>
      <c r="K167"/>
    </row>
    <row r="168" spans="2:13" ht="15" customHeight="1" thickBot="1">
      <c r="B168" s="125" t="s">
        <v>19</v>
      </c>
      <c r="C168" s="125"/>
      <c r="D168" s="125"/>
      <c r="E168" s="125"/>
      <c r="F168" s="126"/>
      <c r="G168" s="144" t="s">
        <v>9</v>
      </c>
      <c r="H168" s="144"/>
      <c r="I168" s="2"/>
      <c r="J168" s="2"/>
    </row>
    <row r="169" spans="2:13" ht="17.25" customHeight="1">
      <c r="B169" s="140" t="s">
        <v>34</v>
      </c>
      <c r="C169" s="140" t="s">
        <v>34</v>
      </c>
      <c r="D169" s="140" t="s">
        <v>34</v>
      </c>
      <c r="E169" s="140" t="s">
        <v>34</v>
      </c>
      <c r="F169" s="141" t="s">
        <v>34</v>
      </c>
      <c r="G169" s="142">
        <v>1302483483792.8301</v>
      </c>
      <c r="H169" s="143">
        <v>1302483483792.8301</v>
      </c>
      <c r="I169" s="55"/>
      <c r="J169" s="56"/>
    </row>
    <row r="170" spans="2:13" ht="17.25" customHeight="1">
      <c r="B170" s="136" t="s">
        <v>49</v>
      </c>
      <c r="C170" s="136" t="s">
        <v>49</v>
      </c>
      <c r="D170" s="136" t="s">
        <v>49</v>
      </c>
      <c r="E170" s="136" t="s">
        <v>49</v>
      </c>
      <c r="F170" s="137" t="s">
        <v>49</v>
      </c>
      <c r="G170" s="138">
        <v>1257092579053.1699</v>
      </c>
      <c r="H170" s="139">
        <v>1257092579053.1699</v>
      </c>
      <c r="I170" s="55"/>
      <c r="J170" s="56"/>
    </row>
    <row r="171" spans="2:13" ht="17.25" customHeight="1">
      <c r="B171" s="136" t="s">
        <v>50</v>
      </c>
      <c r="C171" s="136" t="s">
        <v>50</v>
      </c>
      <c r="D171" s="136" t="s">
        <v>50</v>
      </c>
      <c r="E171" s="136" t="s">
        <v>50</v>
      </c>
      <c r="F171" s="137" t="s">
        <v>50</v>
      </c>
      <c r="G171" s="138">
        <v>1165559244604.8899</v>
      </c>
      <c r="H171" s="139">
        <v>1165559244604.8899</v>
      </c>
      <c r="I171" s="55"/>
      <c r="J171" s="56"/>
    </row>
    <row r="172" spans="2:13" ht="17.25" customHeight="1">
      <c r="B172" s="136" t="s">
        <v>32</v>
      </c>
      <c r="C172" s="136" t="s">
        <v>32</v>
      </c>
      <c r="D172" s="136" t="s">
        <v>32</v>
      </c>
      <c r="E172" s="136" t="s">
        <v>32</v>
      </c>
      <c r="F172" s="137" t="s">
        <v>32</v>
      </c>
      <c r="G172" s="138">
        <v>681982714938.34998</v>
      </c>
      <c r="H172" s="139">
        <v>681982714938.34998</v>
      </c>
      <c r="I172" s="55"/>
      <c r="J172" s="56"/>
    </row>
    <row r="173" spans="2:13" ht="17.25" customHeight="1">
      <c r="B173" s="136" t="s">
        <v>57</v>
      </c>
      <c r="C173" s="136" t="s">
        <v>57</v>
      </c>
      <c r="D173" s="136" t="s">
        <v>57</v>
      </c>
      <c r="E173" s="136" t="s">
        <v>57</v>
      </c>
      <c r="F173" s="137" t="s">
        <v>57</v>
      </c>
      <c r="G173" s="138">
        <v>336527964979.69</v>
      </c>
      <c r="H173" s="139">
        <v>336527964979.69</v>
      </c>
      <c r="I173" s="57"/>
      <c r="J173" s="50"/>
    </row>
    <row r="174" spans="2:13" ht="17.25" customHeight="1">
      <c r="B174" s="136" t="s">
        <v>42</v>
      </c>
      <c r="C174" s="136" t="s">
        <v>42</v>
      </c>
      <c r="D174" s="136" t="s">
        <v>42</v>
      </c>
      <c r="E174" s="136" t="s">
        <v>42</v>
      </c>
      <c r="F174" s="137" t="s">
        <v>42</v>
      </c>
      <c r="G174" s="138">
        <v>284807698496.909</v>
      </c>
      <c r="H174" s="139">
        <v>284807698496.909</v>
      </c>
      <c r="I174" s="55"/>
      <c r="J174" s="56"/>
    </row>
    <row r="175" spans="2:13" ht="17.25" customHeight="1">
      <c r="B175" s="136" t="s">
        <v>53</v>
      </c>
      <c r="C175" s="136" t="s">
        <v>53</v>
      </c>
      <c r="D175" s="136" t="s">
        <v>53</v>
      </c>
      <c r="E175" s="136" t="s">
        <v>53</v>
      </c>
      <c r="F175" s="137" t="s">
        <v>53</v>
      </c>
      <c r="G175" s="138">
        <v>249095782057.64999</v>
      </c>
      <c r="H175" s="139">
        <v>249095782057.64999</v>
      </c>
      <c r="I175" s="55"/>
      <c r="J175" s="56"/>
    </row>
    <row r="176" spans="2:13" ht="17.25" customHeight="1">
      <c r="B176" s="136" t="s">
        <v>62</v>
      </c>
      <c r="C176" s="136" t="s">
        <v>62</v>
      </c>
      <c r="D176" s="136" t="s">
        <v>62</v>
      </c>
      <c r="E176" s="136" t="s">
        <v>62</v>
      </c>
      <c r="F176" s="137" t="s">
        <v>62</v>
      </c>
      <c r="G176" s="138">
        <v>211771968952.92999</v>
      </c>
      <c r="H176" s="139">
        <v>211771968952.92999</v>
      </c>
      <c r="I176" s="55"/>
      <c r="J176" s="56"/>
    </row>
    <row r="177" spans="2:10" ht="17.25" customHeight="1">
      <c r="B177" s="136" t="s">
        <v>43</v>
      </c>
      <c r="C177" s="136" t="s">
        <v>43</v>
      </c>
      <c r="D177" s="136" t="s">
        <v>43</v>
      </c>
      <c r="E177" s="136" t="s">
        <v>43</v>
      </c>
      <c r="F177" s="137" t="s">
        <v>43</v>
      </c>
      <c r="G177" s="138">
        <v>189369399438.39001</v>
      </c>
      <c r="H177" s="139">
        <v>189369399438.39001</v>
      </c>
      <c r="I177" s="55"/>
      <c r="J177" s="56"/>
    </row>
    <row r="178" spans="2:10" ht="18" customHeight="1" thickBot="1">
      <c r="B178" s="132" t="s">
        <v>54</v>
      </c>
      <c r="C178" s="132" t="s">
        <v>54</v>
      </c>
      <c r="D178" s="132" t="s">
        <v>54</v>
      </c>
      <c r="E178" s="132" t="s">
        <v>54</v>
      </c>
      <c r="F178" s="133" t="s">
        <v>54</v>
      </c>
      <c r="G178" s="134">
        <v>163169821760.25</v>
      </c>
      <c r="H178" s="135">
        <v>163169821760.25</v>
      </c>
      <c r="I178" s="55"/>
      <c r="J178" s="56"/>
    </row>
    <row r="179" spans="2:10" ht="17.25">
      <c r="G179" s="41"/>
      <c r="H179" s="41"/>
      <c r="J179" s="48"/>
    </row>
    <row r="180" spans="2:10">
      <c r="B180" s="58"/>
      <c r="J180" s="48"/>
    </row>
  </sheetData>
  <dataConsolidate link="1"/>
  <mergeCells count="100">
    <mergeCell ref="B23:D23"/>
    <mergeCell ref="B2:H2"/>
    <mergeCell ref="B3:H3"/>
    <mergeCell ref="I3:N3"/>
    <mergeCell ref="B11:D11"/>
    <mergeCell ref="B12:D12"/>
    <mergeCell ref="B13:D13"/>
    <mergeCell ref="B14:D14"/>
    <mergeCell ref="B15:D15"/>
    <mergeCell ref="B16:D16"/>
    <mergeCell ref="B17:D17"/>
    <mergeCell ref="B22:D22"/>
    <mergeCell ref="B39:D39"/>
    <mergeCell ref="B24:D24"/>
    <mergeCell ref="B25:D25"/>
    <mergeCell ref="B26:D26"/>
    <mergeCell ref="B27:D27"/>
    <mergeCell ref="B28:D28"/>
    <mergeCell ref="B33:D33"/>
    <mergeCell ref="B34:D34"/>
    <mergeCell ref="B35:D35"/>
    <mergeCell ref="B36:D36"/>
    <mergeCell ref="B37:D37"/>
    <mergeCell ref="B38:D38"/>
    <mergeCell ref="B138:F138"/>
    <mergeCell ref="G138:H138"/>
    <mergeCell ref="H48:I48"/>
    <mergeCell ref="B49:D49"/>
    <mergeCell ref="B50:D50"/>
    <mergeCell ref="B51:D51"/>
    <mergeCell ref="B52:D52"/>
    <mergeCell ref="B53:D53"/>
    <mergeCell ref="B54:D54"/>
    <mergeCell ref="B128:F128"/>
    <mergeCell ref="G128:H128"/>
    <mergeCell ref="B129:F129"/>
    <mergeCell ref="G129:H129"/>
    <mergeCell ref="B139:F139"/>
    <mergeCell ref="G139:H139"/>
    <mergeCell ref="B140:F140"/>
    <mergeCell ref="G140:H140"/>
    <mergeCell ref="B141:F141"/>
    <mergeCell ref="G141:H141"/>
    <mergeCell ref="B142:F142"/>
    <mergeCell ref="G142:H142"/>
    <mergeCell ref="B143:F143"/>
    <mergeCell ref="G143:H143"/>
    <mergeCell ref="B144:F144"/>
    <mergeCell ref="G144:H144"/>
    <mergeCell ref="B145:F145"/>
    <mergeCell ref="G145:H145"/>
    <mergeCell ref="B146:F146"/>
    <mergeCell ref="G146:H146"/>
    <mergeCell ref="B147:F147"/>
    <mergeCell ref="G147:H147"/>
    <mergeCell ref="B148:F148"/>
    <mergeCell ref="G148:H148"/>
    <mergeCell ref="B153:F153"/>
    <mergeCell ref="G153:H153"/>
    <mergeCell ref="B154:F154"/>
    <mergeCell ref="G154:H154"/>
    <mergeCell ref="B155:F155"/>
    <mergeCell ref="G155:H155"/>
    <mergeCell ref="B156:F156"/>
    <mergeCell ref="G156:H156"/>
    <mergeCell ref="B157:F157"/>
    <mergeCell ref="G157:H157"/>
    <mergeCell ref="B158:F158"/>
    <mergeCell ref="G158:H158"/>
    <mergeCell ref="B159:F159"/>
    <mergeCell ref="G159:H159"/>
    <mergeCell ref="B160:F160"/>
    <mergeCell ref="G160:H160"/>
    <mergeCell ref="B171:F171"/>
    <mergeCell ref="G171:H171"/>
    <mergeCell ref="B161:F161"/>
    <mergeCell ref="G161:H161"/>
    <mergeCell ref="B162:F162"/>
    <mergeCell ref="G162:H162"/>
    <mergeCell ref="B163:F163"/>
    <mergeCell ref="G163:H163"/>
    <mergeCell ref="G168:H168"/>
    <mergeCell ref="B169:F169"/>
    <mergeCell ref="G169:H169"/>
    <mergeCell ref="B170:F170"/>
    <mergeCell ref="G170:H170"/>
    <mergeCell ref="B172:F172"/>
    <mergeCell ref="G172:H172"/>
    <mergeCell ref="B173:F173"/>
    <mergeCell ref="G173:H173"/>
    <mergeCell ref="B174:F174"/>
    <mergeCell ref="G174:H174"/>
    <mergeCell ref="B178:F178"/>
    <mergeCell ref="G178:H178"/>
    <mergeCell ref="B175:F175"/>
    <mergeCell ref="G175:H175"/>
    <mergeCell ref="B176:F176"/>
    <mergeCell ref="G176:H176"/>
    <mergeCell ref="B177:F177"/>
    <mergeCell ref="G177:H177"/>
  </mergeCells>
  <pageMargins left="0.70866141732283472" right="0.70866141732283472" top="0.15748031496062992" bottom="0.15748031496062992" header="0.31496062992125984" footer="0.11811023622047245"/>
  <pageSetup paperSize="9" scale="47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49" max="16383" man="1"/>
    <brk id="192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48481">
          <objectPr defaultSize="0" autoPict="0" dde="1">
            <anchor moveWithCells="1">
              <from>
                <xdr:col>0</xdr:col>
                <xdr:colOff>123825</xdr:colOff>
                <xdr:row>72</xdr:row>
                <xdr:rowOff>123825</xdr:rowOff>
              </from>
              <to>
                <xdr:col>1</xdr:col>
                <xdr:colOff>257175</xdr:colOff>
                <xdr:row>74</xdr:row>
                <xdr:rowOff>0</xdr:rowOff>
              </to>
            </anchor>
          </objectPr>
        </oleObject>
      </mc:Choice>
      <mc:Fallback>
        <oleObject link="[1]!'!Январь2012!R1C2:R10C9'" oleUpdate="OLEUPDATE_ALWAYS" shapeId="148481"/>
      </mc:Fallback>
    </mc:AlternateContent>
  </oleObjec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07">
    <pageSetUpPr fitToPage="1"/>
  </sheetPr>
  <dimension ref="B2:N180"/>
  <sheetViews>
    <sheetView tabSelected="1" workbookViewId="0"/>
  </sheetViews>
  <sheetFormatPr defaultRowHeight="13.5"/>
  <cols>
    <col min="1" max="1" width="3.42578125" style="75" customWidth="1"/>
    <col min="2" max="2" width="46.7109375" style="75" customWidth="1"/>
    <col min="3" max="4" width="18.42578125" style="75" customWidth="1"/>
    <col min="5" max="9" width="25.5703125" style="75" customWidth="1"/>
    <col min="10" max="10" width="10.5703125" style="75" customWidth="1"/>
    <col min="11" max="11" width="14.85546875" style="75" bestFit="1" customWidth="1"/>
    <col min="12" max="12" width="9.140625" style="75"/>
    <col min="13" max="13" width="23.42578125" style="75" customWidth="1"/>
    <col min="14" max="16384" width="9.140625" style="75"/>
  </cols>
  <sheetData>
    <row r="2" spans="2:14" s="1" customFormat="1" ht="20.25">
      <c r="B2" s="183" t="s">
        <v>15</v>
      </c>
      <c r="C2" s="183"/>
      <c r="D2" s="183"/>
      <c r="E2" s="183"/>
      <c r="F2" s="183"/>
      <c r="G2" s="183"/>
      <c r="H2" s="183"/>
    </row>
    <row r="3" spans="2:14" s="1" customFormat="1" ht="21" thickBot="1">
      <c r="B3" s="184">
        <v>42369</v>
      </c>
      <c r="C3" s="184"/>
      <c r="D3" s="184"/>
      <c r="E3" s="184"/>
      <c r="F3" s="184"/>
      <c r="G3" s="184"/>
      <c r="H3" s="184"/>
      <c r="I3" s="184"/>
      <c r="J3" s="184"/>
      <c r="K3" s="184"/>
      <c r="L3" s="184"/>
      <c r="M3" s="184"/>
      <c r="N3" s="184"/>
    </row>
    <row r="4" spans="2:14" s="1" customFormat="1" ht="18" thickTop="1"/>
    <row r="5" spans="2:14" s="1" customFormat="1" ht="17.25">
      <c r="B5" s="17"/>
      <c r="C5" s="17"/>
      <c r="D5" s="17"/>
      <c r="E5" s="17"/>
      <c r="F5" s="17"/>
      <c r="G5" s="17"/>
      <c r="H5" s="17"/>
    </row>
    <row r="6" spans="2:14" s="1" customFormat="1" ht="17.25">
      <c r="B6" s="18" t="s">
        <v>20</v>
      </c>
      <c r="C6" s="68">
        <f>B3</f>
        <v>42369</v>
      </c>
      <c r="D6" s="17"/>
      <c r="E6" s="17"/>
      <c r="F6" s="17"/>
      <c r="G6" s="17"/>
      <c r="H6" s="17"/>
    </row>
    <row r="7" spans="2:14" s="1" customFormat="1" ht="18" thickBot="1">
      <c r="B7" s="21"/>
      <c r="C7" s="21"/>
      <c r="D7" s="21"/>
      <c r="E7" s="21"/>
      <c r="F7" s="21"/>
      <c r="G7" s="21"/>
      <c r="H7" s="21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3" t="s">
        <v>44</v>
      </c>
      <c r="C10" s="14"/>
      <c r="D10" s="14"/>
      <c r="E10" s="14"/>
      <c r="F10" s="14"/>
      <c r="G10" s="14"/>
      <c r="H10" s="15" t="s">
        <v>13</v>
      </c>
    </row>
    <row r="11" spans="2:14" s="46" customFormat="1" ht="15.75" thickBot="1">
      <c r="B11" s="179" t="s">
        <v>18</v>
      </c>
      <c r="C11" s="179"/>
      <c r="D11" s="180"/>
      <c r="E11" s="73">
        <f>EDATE(B3,-1)</f>
        <v>42338</v>
      </c>
      <c r="F11" s="73">
        <f>B3</f>
        <v>42369</v>
      </c>
      <c r="G11" s="45" t="s">
        <v>10</v>
      </c>
      <c r="H11" s="45" t="s">
        <v>11</v>
      </c>
      <c r="J11" s="77"/>
    </row>
    <row r="12" spans="2:14" s="76" customFormat="1" ht="17.25">
      <c r="B12" s="181" t="s">
        <v>0</v>
      </c>
      <c r="C12" s="181"/>
      <c r="D12" s="182"/>
      <c r="E12" s="78">
        <f>Ноябрь2015!F12</f>
        <v>1276149</v>
      </c>
      <c r="F12" s="84">
        <v>1296101</v>
      </c>
      <c r="G12" s="11">
        <f>F12-E12</f>
        <v>19952</v>
      </c>
      <c r="H12" s="59">
        <f t="shared" ref="H12:H18" si="0">F12/E12-1</f>
        <v>1.5634537973230334E-2</v>
      </c>
      <c r="I12" s="85"/>
      <c r="J12" s="86"/>
    </row>
    <row r="13" spans="2:14" s="76" customFormat="1" ht="17.25">
      <c r="B13" s="177" t="s">
        <v>1</v>
      </c>
      <c r="C13" s="177"/>
      <c r="D13" s="178"/>
      <c r="E13" s="78">
        <f>Ноябрь2015!F13</f>
        <v>35516</v>
      </c>
      <c r="F13" s="84">
        <v>34512</v>
      </c>
      <c r="G13" s="11">
        <f t="shared" ref="G13:G18" si="1">F13-E13</f>
        <v>-1004</v>
      </c>
      <c r="H13" s="59">
        <f t="shared" si="0"/>
        <v>-2.8268949205991656E-2</v>
      </c>
      <c r="I13" s="85"/>
      <c r="J13" s="86"/>
    </row>
    <row r="14" spans="2:14" s="76" customFormat="1" ht="17.25">
      <c r="B14" s="177" t="s">
        <v>2</v>
      </c>
      <c r="C14" s="177"/>
      <c r="D14" s="178"/>
      <c r="E14" s="78">
        <f>Ноябрь2015!F14</f>
        <v>13356</v>
      </c>
      <c r="F14" s="84">
        <v>13405</v>
      </c>
      <c r="G14" s="11">
        <f t="shared" si="1"/>
        <v>49</v>
      </c>
      <c r="H14" s="59">
        <f t="shared" si="0"/>
        <v>3.6687631027254586E-3</v>
      </c>
      <c r="I14" s="85"/>
      <c r="J14" s="86"/>
    </row>
    <row r="15" spans="2:14" s="76" customFormat="1" ht="17.25">
      <c r="B15" s="162" t="s">
        <v>23</v>
      </c>
      <c r="C15" s="162"/>
      <c r="D15" s="163"/>
      <c r="E15" s="78">
        <f>Ноябрь2015!F15</f>
        <v>4459</v>
      </c>
      <c r="F15" s="84">
        <v>4571</v>
      </c>
      <c r="G15" s="11">
        <f t="shared" si="1"/>
        <v>112</v>
      </c>
      <c r="H15" s="59">
        <f t="shared" si="0"/>
        <v>2.5117739403453632E-2</v>
      </c>
      <c r="I15" s="85"/>
      <c r="J15" s="86"/>
    </row>
    <row r="16" spans="2:14" s="76" customFormat="1" ht="17.25">
      <c r="B16" s="164" t="s">
        <v>24</v>
      </c>
      <c r="C16" s="164"/>
      <c r="D16" s="165"/>
      <c r="E16" s="78">
        <f>Ноябрь2015!F16</f>
        <v>8897</v>
      </c>
      <c r="F16" s="84">
        <v>8834</v>
      </c>
      <c r="G16" s="11">
        <f t="shared" si="1"/>
        <v>-63</v>
      </c>
      <c r="H16" s="59">
        <f t="shared" si="0"/>
        <v>-7.0810385523210062E-3</v>
      </c>
      <c r="I16" s="85"/>
      <c r="J16" s="86"/>
    </row>
    <row r="17" spans="2:10" s="76" customFormat="1" ht="18" customHeight="1" thickBot="1">
      <c r="B17" s="175" t="s">
        <v>3</v>
      </c>
      <c r="C17" s="175"/>
      <c r="D17" s="176"/>
      <c r="E17" s="78">
        <f>Ноябрь2015!F17</f>
        <v>15217</v>
      </c>
      <c r="F17" s="84">
        <v>16540</v>
      </c>
      <c r="G17" s="11">
        <f t="shared" si="1"/>
        <v>1323</v>
      </c>
      <c r="H17" s="59">
        <f t="shared" si="0"/>
        <v>8.6942235657488265E-2</v>
      </c>
      <c r="I17" s="85"/>
      <c r="J17" s="86"/>
    </row>
    <row r="18" spans="2:10" s="70" customFormat="1" ht="18" thickBot="1">
      <c r="B18" s="60" t="s">
        <v>4</v>
      </c>
      <c r="C18" s="60"/>
      <c r="D18" s="61"/>
      <c r="E18" s="72">
        <f>Ноябрь2015!F18</f>
        <v>1340238</v>
      </c>
      <c r="F18" s="72">
        <v>1360558</v>
      </c>
      <c r="G18" s="72">
        <f t="shared" si="1"/>
        <v>20320</v>
      </c>
      <c r="H18" s="69">
        <f t="shared" si="0"/>
        <v>1.516148624348812E-2</v>
      </c>
      <c r="I18" s="85"/>
      <c r="J18" s="86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3" t="s">
        <v>45</v>
      </c>
      <c r="C21" s="14"/>
      <c r="D21" s="14"/>
      <c r="E21" s="14"/>
      <c r="F21" s="14"/>
      <c r="G21" s="14"/>
      <c r="H21" s="15" t="s">
        <v>12</v>
      </c>
    </row>
    <row r="22" spans="2:10" s="76" customFormat="1" ht="15.75" thickBot="1">
      <c r="B22" s="179" t="s">
        <v>18</v>
      </c>
      <c r="C22" s="179"/>
      <c r="D22" s="180"/>
      <c r="E22" s="73">
        <f>E11</f>
        <v>42338</v>
      </c>
      <c r="F22" s="73">
        <f>F11</f>
        <v>42369</v>
      </c>
      <c r="G22" s="45" t="s">
        <v>10</v>
      </c>
      <c r="H22" s="45" t="s">
        <v>11</v>
      </c>
      <c r="J22" s="77"/>
    </row>
    <row r="23" spans="2:10" s="76" customFormat="1" ht="17.25">
      <c r="B23" s="181" t="s">
        <v>0</v>
      </c>
      <c r="C23" s="181"/>
      <c r="D23" s="182"/>
      <c r="E23" s="78">
        <f>Ноябрь2015!F23</f>
        <v>1001556</v>
      </c>
      <c r="F23" s="84">
        <v>1006751</v>
      </c>
      <c r="G23" s="11">
        <f>F23-E23</f>
        <v>5195</v>
      </c>
      <c r="H23" s="59">
        <f>F23/E23-1</f>
        <v>5.1869291382609095E-3</v>
      </c>
      <c r="I23" s="86"/>
    </row>
    <row r="24" spans="2:10" s="76" customFormat="1" ht="17.25">
      <c r="B24" s="177" t="s">
        <v>1</v>
      </c>
      <c r="C24" s="177"/>
      <c r="D24" s="178"/>
      <c r="E24" s="78">
        <f>Ноябрь2015!F24</f>
        <v>21007</v>
      </c>
      <c r="F24" s="84">
        <v>20753</v>
      </c>
      <c r="G24" s="11">
        <f t="shared" ref="G24:G29" si="2">F24-E24</f>
        <v>-254</v>
      </c>
      <c r="H24" s="59">
        <f t="shared" ref="H24:H29" si="3">F24/E24-1</f>
        <v>-1.2091207692673911E-2</v>
      </c>
      <c r="I24" s="86"/>
    </row>
    <row r="25" spans="2:10" s="76" customFormat="1" ht="17.25">
      <c r="B25" s="177" t="s">
        <v>2</v>
      </c>
      <c r="C25" s="177"/>
      <c r="D25" s="178"/>
      <c r="E25" s="78">
        <f>Ноябрь2015!F25</f>
        <v>8699</v>
      </c>
      <c r="F25" s="84">
        <v>8729</v>
      </c>
      <c r="G25" s="11">
        <f t="shared" si="2"/>
        <v>30</v>
      </c>
      <c r="H25" s="59">
        <f t="shared" si="3"/>
        <v>3.4486722611795084E-3</v>
      </c>
      <c r="I25" s="86"/>
    </row>
    <row r="26" spans="2:10" s="76" customFormat="1" ht="17.25">
      <c r="B26" s="162" t="s">
        <v>23</v>
      </c>
      <c r="C26" s="162"/>
      <c r="D26" s="163"/>
      <c r="E26" s="78">
        <f>Ноябрь2015!F26</f>
        <v>4231</v>
      </c>
      <c r="F26" s="84">
        <v>4315</v>
      </c>
      <c r="G26" s="11">
        <f t="shared" si="2"/>
        <v>84</v>
      </c>
      <c r="H26" s="59">
        <f t="shared" si="3"/>
        <v>1.985346253840703E-2</v>
      </c>
      <c r="I26" s="86"/>
    </row>
    <row r="27" spans="2:10" s="76" customFormat="1" ht="17.25">
      <c r="B27" s="164" t="s">
        <v>24</v>
      </c>
      <c r="C27" s="164"/>
      <c r="D27" s="165"/>
      <c r="E27" s="78">
        <f>Ноябрь2015!F27</f>
        <v>4468</v>
      </c>
      <c r="F27" s="84">
        <v>4414</v>
      </c>
      <c r="G27" s="11">
        <f t="shared" si="2"/>
        <v>-54</v>
      </c>
      <c r="H27" s="59">
        <f t="shared" si="3"/>
        <v>-1.2085944494180878E-2</v>
      </c>
      <c r="I27" s="86"/>
    </row>
    <row r="28" spans="2:10" s="76" customFormat="1" ht="18" thickBot="1">
      <c r="B28" s="175" t="s">
        <v>3</v>
      </c>
      <c r="C28" s="175"/>
      <c r="D28" s="176"/>
      <c r="E28" s="78">
        <f>Ноябрь2015!F28</f>
        <v>4148</v>
      </c>
      <c r="F28" s="84">
        <v>3836</v>
      </c>
      <c r="G28" s="11">
        <f t="shared" si="2"/>
        <v>-312</v>
      </c>
      <c r="H28" s="59">
        <f t="shared" si="3"/>
        <v>-7.5216972034715557E-2</v>
      </c>
      <c r="I28" s="86"/>
    </row>
    <row r="29" spans="2:10" s="70" customFormat="1" ht="18" thickBot="1">
      <c r="B29" s="60" t="s">
        <v>4</v>
      </c>
      <c r="C29" s="60"/>
      <c r="D29" s="61"/>
      <c r="E29" s="72">
        <f>Ноябрь2015!F29</f>
        <v>1035410</v>
      </c>
      <c r="F29" s="72">
        <v>1040069</v>
      </c>
      <c r="G29" s="72">
        <f t="shared" si="2"/>
        <v>4659</v>
      </c>
      <c r="H29" s="69">
        <f t="shared" si="3"/>
        <v>4.4996667986594296E-3</v>
      </c>
      <c r="I29" s="86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3" t="s">
        <v>16</v>
      </c>
      <c r="C32" s="14"/>
      <c r="D32" s="14"/>
      <c r="E32" s="14"/>
      <c r="F32" s="14"/>
      <c r="G32" s="14"/>
      <c r="H32" s="15" t="s">
        <v>14</v>
      </c>
    </row>
    <row r="33" spans="2:9" ht="15.75" thickBot="1">
      <c r="B33" s="145" t="s">
        <v>18</v>
      </c>
      <c r="C33" s="145"/>
      <c r="D33" s="146"/>
      <c r="E33" s="73">
        <f>E11</f>
        <v>42338</v>
      </c>
      <c r="F33" s="73">
        <f>F11</f>
        <v>42369</v>
      </c>
      <c r="G33" s="16" t="s">
        <v>10</v>
      </c>
      <c r="H33" s="16" t="s">
        <v>11</v>
      </c>
    </row>
    <row r="34" spans="2:9" ht="17.25">
      <c r="B34" s="160" t="s">
        <v>0</v>
      </c>
      <c r="C34" s="160"/>
      <c r="D34" s="161"/>
      <c r="E34" s="78">
        <f>Ноябрь2015!F34</f>
        <v>75190</v>
      </c>
      <c r="F34" s="78">
        <v>74911</v>
      </c>
      <c r="G34" s="11">
        <f t="shared" ref="G34:G40" si="4">F34-E34</f>
        <v>-279</v>
      </c>
      <c r="H34" s="59">
        <f t="shared" ref="H34:H40" si="5">F34/E34-1</f>
        <v>-3.71059981380506E-3</v>
      </c>
      <c r="I34" s="58"/>
    </row>
    <row r="35" spans="2:9" ht="17.25">
      <c r="B35" s="136" t="s">
        <v>1</v>
      </c>
      <c r="C35" s="136"/>
      <c r="D35" s="137"/>
      <c r="E35" s="78">
        <f>Ноябрь2015!F35</f>
        <v>1109</v>
      </c>
      <c r="F35" s="78">
        <v>1188</v>
      </c>
      <c r="G35" s="11">
        <f t="shared" si="4"/>
        <v>79</v>
      </c>
      <c r="H35" s="59">
        <f t="shared" si="5"/>
        <v>7.1235347159603224E-2</v>
      </c>
      <c r="I35" s="58"/>
    </row>
    <row r="36" spans="2:9" ht="17.25">
      <c r="B36" s="136" t="s">
        <v>2</v>
      </c>
      <c r="C36" s="136"/>
      <c r="D36" s="137"/>
      <c r="E36" s="78">
        <f>Ноябрь2015!F36</f>
        <v>649</v>
      </c>
      <c r="F36" s="78">
        <v>659</v>
      </c>
      <c r="G36" s="11">
        <f t="shared" si="4"/>
        <v>10</v>
      </c>
      <c r="H36" s="59">
        <f t="shared" si="5"/>
        <v>1.5408320493066174E-2</v>
      </c>
      <c r="I36" s="58"/>
    </row>
    <row r="37" spans="2:9" ht="17.25">
      <c r="B37" s="162" t="s">
        <v>23</v>
      </c>
      <c r="C37" s="162"/>
      <c r="D37" s="163"/>
      <c r="E37" s="78">
        <f>Ноябрь2015!F37</f>
        <v>304</v>
      </c>
      <c r="F37" s="78">
        <v>305</v>
      </c>
      <c r="G37" s="11">
        <f t="shared" si="4"/>
        <v>1</v>
      </c>
      <c r="H37" s="59">
        <f t="shared" si="5"/>
        <v>3.2894736842106198E-3</v>
      </c>
      <c r="I37" s="58"/>
    </row>
    <row r="38" spans="2:9" ht="17.25">
      <c r="B38" s="164" t="s">
        <v>24</v>
      </c>
      <c r="C38" s="164"/>
      <c r="D38" s="165"/>
      <c r="E38" s="78">
        <f>Ноябрь2015!F38</f>
        <v>345</v>
      </c>
      <c r="F38" s="78">
        <v>354</v>
      </c>
      <c r="G38" s="11">
        <f t="shared" si="4"/>
        <v>9</v>
      </c>
      <c r="H38" s="59">
        <f t="shared" si="5"/>
        <v>2.6086956521739202E-2</v>
      </c>
      <c r="I38" s="58"/>
    </row>
    <row r="39" spans="2:9" ht="18" thickBot="1">
      <c r="B39" s="166" t="s">
        <v>3</v>
      </c>
      <c r="C39" s="166"/>
      <c r="D39" s="167"/>
      <c r="E39" s="78">
        <f>Ноябрь2015!F39</f>
        <v>469</v>
      </c>
      <c r="F39" s="78">
        <v>474</v>
      </c>
      <c r="G39" s="11">
        <f t="shared" si="4"/>
        <v>5</v>
      </c>
      <c r="H39" s="59">
        <f t="shared" si="5"/>
        <v>1.0660980810234477E-2</v>
      </c>
      <c r="I39" s="58"/>
    </row>
    <row r="40" spans="2:9" s="70" customFormat="1" ht="18" thickBot="1">
      <c r="B40" s="60" t="s">
        <v>4</v>
      </c>
      <c r="C40" s="60"/>
      <c r="D40" s="61"/>
      <c r="E40" s="72">
        <f>Ноябрь2015!F40</f>
        <v>77417</v>
      </c>
      <c r="F40" s="72">
        <v>77232</v>
      </c>
      <c r="G40" s="72">
        <f t="shared" si="4"/>
        <v>-185</v>
      </c>
      <c r="H40" s="69">
        <f t="shared" si="5"/>
        <v>-2.3896560187038896E-3</v>
      </c>
      <c r="I40" s="58"/>
    </row>
    <row r="41" spans="2:9" ht="15">
      <c r="B41" s="6"/>
      <c r="C41" s="6"/>
      <c r="D41" s="6"/>
      <c r="E41" s="42"/>
      <c r="F41" s="42"/>
      <c r="G41" s="43"/>
      <c r="H41" s="44"/>
    </row>
    <row r="42" spans="2:9" ht="15">
      <c r="B42" s="10"/>
      <c r="C42" s="2"/>
      <c r="D42" s="2"/>
      <c r="E42" s="2"/>
      <c r="F42" s="2"/>
      <c r="G42" s="2"/>
    </row>
    <row r="43" spans="2:9" ht="17.25">
      <c r="B43" s="19"/>
      <c r="C43" s="19"/>
      <c r="D43" s="19"/>
      <c r="E43" s="19"/>
      <c r="F43" s="19"/>
      <c r="G43" s="19"/>
      <c r="H43" s="19"/>
    </row>
    <row r="44" spans="2:9" ht="17.25">
      <c r="B44" s="20" t="s">
        <v>17</v>
      </c>
      <c r="C44" s="19"/>
      <c r="D44" s="19"/>
      <c r="E44" s="19"/>
      <c r="F44" s="19"/>
      <c r="G44" s="19"/>
      <c r="H44" s="19"/>
    </row>
    <row r="45" spans="2:9" ht="18" thickBot="1">
      <c r="B45" s="22"/>
      <c r="C45" s="22"/>
      <c r="D45" s="22"/>
      <c r="E45" s="22"/>
      <c r="F45" s="22"/>
      <c r="G45" s="22"/>
      <c r="H45" s="22"/>
    </row>
    <row r="47" spans="2:9">
      <c r="F47" s="5"/>
    </row>
    <row r="48" spans="2:9" ht="18" thickBot="1">
      <c r="B48" s="12" t="s">
        <v>46</v>
      </c>
      <c r="C48" s="23"/>
      <c r="D48" s="23"/>
      <c r="E48" s="23"/>
      <c r="F48" s="23"/>
      <c r="G48" s="23"/>
      <c r="H48" s="185" t="s">
        <v>13</v>
      </c>
      <c r="I48" s="185"/>
    </row>
    <row r="49" spans="2:9" ht="15.75" thickBot="1">
      <c r="B49" s="145" t="s">
        <v>18</v>
      </c>
      <c r="C49" s="145"/>
      <c r="D49" s="146"/>
      <c r="E49" s="73">
        <v>40908</v>
      </c>
      <c r="F49" s="73">
        <v>41274</v>
      </c>
      <c r="G49" s="73">
        <v>41639</v>
      </c>
      <c r="H49" s="73">
        <v>42004</v>
      </c>
      <c r="I49" s="73">
        <v>42369</v>
      </c>
    </row>
    <row r="50" spans="2:9" ht="17.25">
      <c r="B50" s="169" t="s">
        <v>0</v>
      </c>
      <c r="C50" s="169"/>
      <c r="D50" s="170"/>
      <c r="E50" s="80">
        <v>772175</v>
      </c>
      <c r="F50" s="80">
        <v>805549</v>
      </c>
      <c r="G50" s="80">
        <v>881844</v>
      </c>
      <c r="H50" s="80">
        <v>944559</v>
      </c>
      <c r="I50" s="80">
        <v>1006751</v>
      </c>
    </row>
    <row r="51" spans="2:9" ht="17.25">
      <c r="B51" s="171" t="s">
        <v>1</v>
      </c>
      <c r="C51" s="171"/>
      <c r="D51" s="172"/>
      <c r="E51" s="81">
        <v>16850</v>
      </c>
      <c r="F51" s="81">
        <v>17821</v>
      </c>
      <c r="G51" s="81">
        <v>19539</v>
      </c>
      <c r="H51" s="81">
        <v>20178</v>
      </c>
      <c r="I51" s="81">
        <v>20753</v>
      </c>
    </row>
    <row r="52" spans="2:9" ht="17.25">
      <c r="B52" s="173" t="s">
        <v>2</v>
      </c>
      <c r="C52" s="173"/>
      <c r="D52" s="174"/>
      <c r="E52" s="83">
        <v>5058</v>
      </c>
      <c r="F52" s="83">
        <v>5876</v>
      </c>
      <c r="G52" s="83">
        <v>6957</v>
      </c>
      <c r="H52" s="83">
        <v>7486</v>
      </c>
      <c r="I52" s="83">
        <v>8729</v>
      </c>
    </row>
    <row r="53" spans="2:9" ht="18" thickBot="1">
      <c r="B53" s="158" t="s">
        <v>3</v>
      </c>
      <c r="C53" s="158"/>
      <c r="D53" s="159"/>
      <c r="E53" s="79">
        <v>5242</v>
      </c>
      <c r="F53" s="79">
        <v>5261</v>
      </c>
      <c r="G53" s="79">
        <v>5182</v>
      </c>
      <c r="H53" s="79">
        <v>5142</v>
      </c>
      <c r="I53" s="79">
        <v>3836</v>
      </c>
    </row>
    <row r="54" spans="2:9" s="71" customFormat="1" ht="18" thickBot="1">
      <c r="B54" s="147" t="s">
        <v>4</v>
      </c>
      <c r="C54" s="147"/>
      <c r="D54" s="148"/>
      <c r="E54" s="82">
        <v>799325</v>
      </c>
      <c r="F54" s="82">
        <v>834507</v>
      </c>
      <c r="G54" s="82">
        <v>913522</v>
      </c>
      <c r="H54" s="82">
        <v>977365</v>
      </c>
      <c r="I54" s="82">
        <v>1040069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2" t="s">
        <v>47</v>
      </c>
      <c r="C82" s="23"/>
      <c r="D82" s="23"/>
      <c r="E82" s="23"/>
      <c r="F82" s="23"/>
      <c r="G82" s="23"/>
      <c r="H82" s="131" t="s">
        <v>12</v>
      </c>
      <c r="I82"/>
      <c r="J82"/>
      <c r="K82"/>
    </row>
    <row r="83" spans="2:11" ht="15.75" thickBot="1">
      <c r="B83" s="32" t="s">
        <v>18</v>
      </c>
      <c r="C83" s="73">
        <f>EDATE(D83,-1)</f>
        <v>42215</v>
      </c>
      <c r="D83" s="73">
        <f>EDATE(E83,-1)</f>
        <v>42246</v>
      </c>
      <c r="E83" s="73">
        <f>EDATE(F83,-1)</f>
        <v>42277</v>
      </c>
      <c r="F83" s="73">
        <f>EDATE(G83,-1)</f>
        <v>42307</v>
      </c>
      <c r="G83" s="73">
        <f>EDATE(H83,-1)</f>
        <v>42338</v>
      </c>
      <c r="H83" s="73">
        <f>EDATE(E11,1)</f>
        <v>42368</v>
      </c>
      <c r="I83"/>
      <c r="J83"/>
    </row>
    <row r="84" spans="2:11" ht="16.5" customHeight="1">
      <c r="B84" s="25" t="s">
        <v>0</v>
      </c>
      <c r="C84" s="80">
        <v>984614</v>
      </c>
      <c r="D84" s="80">
        <v>991257</v>
      </c>
      <c r="E84" s="80">
        <v>993268</v>
      </c>
      <c r="F84" s="80">
        <v>996118</v>
      </c>
      <c r="G84" s="80">
        <v>1001556</v>
      </c>
      <c r="H84" s="80">
        <v>1006751</v>
      </c>
    </row>
    <row r="85" spans="2:11" ht="16.5" customHeight="1">
      <c r="B85" s="26" t="s">
        <v>1</v>
      </c>
      <c r="C85" s="81">
        <v>20904</v>
      </c>
      <c r="D85" s="81">
        <v>20981</v>
      </c>
      <c r="E85" s="81">
        <v>21072</v>
      </c>
      <c r="F85" s="81">
        <v>20973</v>
      </c>
      <c r="G85" s="81">
        <v>21007</v>
      </c>
      <c r="H85" s="81">
        <v>20753</v>
      </c>
    </row>
    <row r="86" spans="2:11" ht="16.5" customHeight="1">
      <c r="B86" s="27" t="s">
        <v>2</v>
      </c>
      <c r="C86" s="83">
        <v>8823</v>
      </c>
      <c r="D86" s="83">
        <v>8602</v>
      </c>
      <c r="E86" s="83">
        <v>8775</v>
      </c>
      <c r="F86" s="83">
        <v>8894</v>
      </c>
      <c r="G86" s="83">
        <v>8699</v>
      </c>
      <c r="H86" s="83">
        <v>8729</v>
      </c>
    </row>
    <row r="87" spans="2:11" ht="16.5" customHeight="1" thickBot="1">
      <c r="B87" s="28" t="s">
        <v>3</v>
      </c>
      <c r="C87" s="79">
        <v>4715</v>
      </c>
      <c r="D87" s="79">
        <v>4694</v>
      </c>
      <c r="E87" s="79">
        <v>4323</v>
      </c>
      <c r="F87" s="79">
        <v>4266</v>
      </c>
      <c r="G87" s="79">
        <v>4148</v>
      </c>
      <c r="H87" s="79">
        <v>3836</v>
      </c>
    </row>
    <row r="88" spans="2:11" s="71" customFormat="1" ht="18" thickBot="1">
      <c r="B88" s="128" t="s">
        <v>4</v>
      </c>
      <c r="C88" s="82">
        <v>1019056</v>
      </c>
      <c r="D88" s="82">
        <v>1025534</v>
      </c>
      <c r="E88" s="82">
        <v>1027438</v>
      </c>
      <c r="F88" s="82">
        <v>1030251</v>
      </c>
      <c r="G88" s="82">
        <v>1035410</v>
      </c>
      <c r="H88" s="82">
        <v>1040069</v>
      </c>
      <c r="I88" s="58"/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29"/>
      <c r="C123" s="29"/>
      <c r="D123" s="29"/>
      <c r="E123" s="29"/>
      <c r="F123" s="29"/>
      <c r="G123" s="29"/>
      <c r="H123" s="29"/>
    </row>
    <row r="124" spans="2:8" ht="17.25">
      <c r="B124" s="30" t="s">
        <v>25</v>
      </c>
      <c r="C124" s="92">
        <f>B3</f>
        <v>42369</v>
      </c>
      <c r="D124" s="29"/>
      <c r="E124" s="29"/>
      <c r="F124" s="29"/>
      <c r="G124" s="29"/>
      <c r="H124" s="29"/>
    </row>
    <row r="125" spans="2:8" ht="18" thickBot="1">
      <c r="B125" s="31"/>
      <c r="C125" s="31"/>
      <c r="D125" s="31"/>
      <c r="E125" s="31"/>
      <c r="F125" s="31"/>
      <c r="G125" s="31"/>
      <c r="H125" s="31"/>
    </row>
    <row r="127" spans="2:8" ht="18" thickBot="1">
      <c r="B127" s="62"/>
      <c r="C127" s="74"/>
      <c r="D127" s="36"/>
      <c r="E127" s="36"/>
      <c r="F127" s="36"/>
      <c r="G127" s="36"/>
      <c r="H127" s="37" t="s">
        <v>13</v>
      </c>
    </row>
    <row r="128" spans="2:8" ht="30.75" customHeight="1" thickBot="1">
      <c r="B128" s="146" t="s">
        <v>26</v>
      </c>
      <c r="C128" s="149"/>
      <c r="D128" s="149"/>
      <c r="E128" s="149"/>
      <c r="F128" s="149"/>
      <c r="G128" s="150" t="s">
        <v>5</v>
      </c>
      <c r="H128" s="151"/>
    </row>
    <row r="129" spans="2:10" ht="18" customHeight="1" thickBot="1">
      <c r="B129" s="133" t="s">
        <v>22</v>
      </c>
      <c r="C129" s="152"/>
      <c r="D129" s="152"/>
      <c r="E129" s="152"/>
      <c r="F129" s="152"/>
      <c r="G129" s="153">
        <v>387</v>
      </c>
      <c r="H129" s="154"/>
    </row>
    <row r="132" spans="2:10" ht="17.25">
      <c r="B132" s="33"/>
      <c r="C132" s="33"/>
      <c r="D132" s="33"/>
      <c r="E132" s="33"/>
      <c r="F132" s="33"/>
      <c r="G132" s="33"/>
      <c r="H132" s="33"/>
    </row>
    <row r="133" spans="2:10" ht="17.25">
      <c r="B133" s="34" t="s">
        <v>21</v>
      </c>
      <c r="C133" s="33"/>
      <c r="D133" s="33"/>
      <c r="E133" s="34"/>
      <c r="F133" s="97">
        <f>C6</f>
        <v>42369</v>
      </c>
      <c r="G133" s="33"/>
      <c r="H133" s="33"/>
    </row>
    <row r="134" spans="2:10" ht="18" thickBot="1">
      <c r="B134" s="35"/>
      <c r="C134" s="35"/>
      <c r="D134" s="35"/>
      <c r="E134" s="35"/>
      <c r="F134" s="35"/>
      <c r="G134" s="35"/>
      <c r="H134" s="35"/>
    </row>
    <row r="136" spans="2:10" ht="17.25">
      <c r="B136" s="87" t="s">
        <v>27</v>
      </c>
      <c r="C136" s="38"/>
      <c r="D136" s="38"/>
      <c r="E136" s="38"/>
      <c r="F136" s="38"/>
      <c r="G136" s="38"/>
      <c r="H136" s="39" t="s">
        <v>13</v>
      </c>
    </row>
    <row r="137" spans="2:10" ht="18" thickBot="1">
      <c r="B137" s="88" t="s">
        <v>28</v>
      </c>
      <c r="C137" s="38"/>
      <c r="D137" s="38"/>
      <c r="E137" s="38"/>
      <c r="F137" s="38"/>
      <c r="G137" s="38"/>
      <c r="H137" s="39"/>
    </row>
    <row r="138" spans="2:10" ht="15.75" customHeight="1" thickBot="1">
      <c r="B138" s="155" t="s">
        <v>19</v>
      </c>
      <c r="C138" s="155"/>
      <c r="D138" s="155"/>
      <c r="E138" s="155"/>
      <c r="F138" s="156"/>
      <c r="G138" s="157" t="s">
        <v>6</v>
      </c>
      <c r="H138" s="144"/>
      <c r="I138"/>
    </row>
    <row r="139" spans="2:10" ht="17.25" customHeight="1">
      <c r="B139" s="140" t="s">
        <v>52</v>
      </c>
      <c r="C139" s="140" t="s">
        <v>52</v>
      </c>
      <c r="D139" s="140" t="s">
        <v>52</v>
      </c>
      <c r="E139" s="140" t="s">
        <v>52</v>
      </c>
      <c r="F139" s="141" t="s">
        <v>52</v>
      </c>
      <c r="G139" s="142">
        <v>228128</v>
      </c>
      <c r="H139" s="143">
        <v>228128</v>
      </c>
      <c r="I139" s="47"/>
      <c r="J139" s="50"/>
    </row>
    <row r="140" spans="2:10" ht="13.5" customHeight="1">
      <c r="B140" s="136" t="s">
        <v>32</v>
      </c>
      <c r="C140" s="136" t="s">
        <v>32</v>
      </c>
      <c r="D140" s="136" t="s">
        <v>32</v>
      </c>
      <c r="E140" s="136" t="s">
        <v>32</v>
      </c>
      <c r="F140" s="137" t="s">
        <v>32</v>
      </c>
      <c r="G140" s="138">
        <v>180045</v>
      </c>
      <c r="H140" s="139">
        <v>180045</v>
      </c>
      <c r="I140" s="47"/>
      <c r="J140" s="50"/>
    </row>
    <row r="141" spans="2:10" ht="17.25" customHeight="1">
      <c r="B141" s="136" t="s">
        <v>34</v>
      </c>
      <c r="C141" s="136" t="s">
        <v>34</v>
      </c>
      <c r="D141" s="136" t="s">
        <v>34</v>
      </c>
      <c r="E141" s="136" t="s">
        <v>34</v>
      </c>
      <c r="F141" s="137" t="s">
        <v>34</v>
      </c>
      <c r="G141" s="138">
        <v>140772</v>
      </c>
      <c r="H141" s="139">
        <v>140772</v>
      </c>
      <c r="I141" s="47"/>
      <c r="J141" s="50"/>
    </row>
    <row r="142" spans="2:10" ht="17.25" customHeight="1">
      <c r="B142" s="136" t="s">
        <v>53</v>
      </c>
      <c r="C142" s="136" t="s">
        <v>53</v>
      </c>
      <c r="D142" s="136" t="s">
        <v>53</v>
      </c>
      <c r="E142" s="136" t="s">
        <v>53</v>
      </c>
      <c r="F142" s="137" t="s">
        <v>53</v>
      </c>
      <c r="G142" s="138">
        <v>139519</v>
      </c>
      <c r="H142" s="139">
        <v>139519</v>
      </c>
      <c r="I142" s="47"/>
      <c r="J142" s="50"/>
    </row>
    <row r="143" spans="2:10" ht="17.25" customHeight="1">
      <c r="B143" s="136" t="s">
        <v>50</v>
      </c>
      <c r="C143" s="136" t="s">
        <v>50</v>
      </c>
      <c r="D143" s="136" t="s">
        <v>50</v>
      </c>
      <c r="E143" s="136" t="s">
        <v>50</v>
      </c>
      <c r="F143" s="137" t="s">
        <v>50</v>
      </c>
      <c r="G143" s="138">
        <v>70924</v>
      </c>
      <c r="H143" s="139">
        <v>70924</v>
      </c>
      <c r="I143" s="47"/>
      <c r="J143" s="50"/>
    </row>
    <row r="144" spans="2:10" ht="13.5" customHeight="1">
      <c r="B144" s="136" t="s">
        <v>54</v>
      </c>
      <c r="C144" s="136" t="s">
        <v>54</v>
      </c>
      <c r="D144" s="136" t="s">
        <v>54</v>
      </c>
      <c r="E144" s="136" t="s">
        <v>54</v>
      </c>
      <c r="F144" s="137" t="s">
        <v>54</v>
      </c>
      <c r="G144" s="138">
        <v>60429</v>
      </c>
      <c r="H144" s="139">
        <v>60429</v>
      </c>
      <c r="I144" s="51"/>
      <c r="J144" s="50"/>
    </row>
    <row r="145" spans="2:13" ht="17.25" customHeight="1">
      <c r="B145" s="136" t="s">
        <v>36</v>
      </c>
      <c r="C145" s="136" t="s">
        <v>36</v>
      </c>
      <c r="D145" s="136" t="s">
        <v>36</v>
      </c>
      <c r="E145" s="136" t="s">
        <v>36</v>
      </c>
      <c r="F145" s="137" t="s">
        <v>36</v>
      </c>
      <c r="G145" s="138">
        <v>47957</v>
      </c>
      <c r="H145" s="139">
        <v>47957</v>
      </c>
      <c r="I145" s="47"/>
      <c r="J145" s="50"/>
    </row>
    <row r="146" spans="2:13" ht="17.25" customHeight="1">
      <c r="B146" s="136" t="s">
        <v>59</v>
      </c>
      <c r="C146" s="136" t="s">
        <v>59</v>
      </c>
      <c r="D146" s="136" t="s">
        <v>59</v>
      </c>
      <c r="E146" s="136" t="s">
        <v>59</v>
      </c>
      <c r="F146" s="137" t="s">
        <v>59</v>
      </c>
      <c r="G146" s="138">
        <v>35025</v>
      </c>
      <c r="H146" s="139">
        <v>35025</v>
      </c>
      <c r="I146" s="47"/>
      <c r="J146" s="50"/>
    </row>
    <row r="147" spans="2:13" ht="17.25" customHeight="1">
      <c r="B147" s="136" t="s">
        <v>38</v>
      </c>
      <c r="C147" s="136" t="s">
        <v>38</v>
      </c>
      <c r="D147" s="136" t="s">
        <v>38</v>
      </c>
      <c r="E147" s="136" t="s">
        <v>38</v>
      </c>
      <c r="F147" s="137" t="s">
        <v>38</v>
      </c>
      <c r="G147" s="138">
        <v>20839</v>
      </c>
      <c r="H147" s="139">
        <v>20839</v>
      </c>
      <c r="I147" s="47"/>
      <c r="J147" s="50"/>
      <c r="L147"/>
    </row>
    <row r="148" spans="2:13" ht="18" customHeight="1" thickBot="1">
      <c r="B148" s="132" t="s">
        <v>39</v>
      </c>
      <c r="C148" s="132" t="s">
        <v>39</v>
      </c>
      <c r="D148" s="132" t="s">
        <v>39</v>
      </c>
      <c r="E148" s="132" t="s">
        <v>39</v>
      </c>
      <c r="F148" s="133" t="s">
        <v>39</v>
      </c>
      <c r="G148" s="134">
        <v>19824</v>
      </c>
      <c r="H148" s="135">
        <v>19824</v>
      </c>
      <c r="I148" s="47"/>
      <c r="J148" s="50"/>
      <c r="L148"/>
    </row>
    <row r="149" spans="2:13" ht="17.25">
      <c r="G149" s="41"/>
      <c r="H149" s="41"/>
      <c r="I149" s="52"/>
      <c r="J149" s="52"/>
    </row>
    <row r="150" spans="2:13" ht="17.25">
      <c r="B150" s="40"/>
      <c r="C150" s="40"/>
      <c r="D150" s="40"/>
      <c r="E150" s="40"/>
      <c r="F150" s="40"/>
      <c r="G150" s="41"/>
      <c r="H150" s="41"/>
      <c r="I150" s="52"/>
      <c r="J150" s="52"/>
    </row>
    <row r="151" spans="2:13" ht="17.25">
      <c r="B151" s="87" t="s">
        <v>7</v>
      </c>
      <c r="C151" s="38"/>
      <c r="D151" s="38"/>
      <c r="E151" s="38"/>
      <c r="F151" s="38"/>
      <c r="G151" s="38"/>
      <c r="H151" s="39" t="s">
        <v>12</v>
      </c>
      <c r="I151" s="52"/>
      <c r="J151" s="52"/>
    </row>
    <row r="152" spans="2:13" ht="18" thickBot="1">
      <c r="B152" s="88" t="s">
        <v>29</v>
      </c>
      <c r="C152" s="38"/>
      <c r="D152" s="38"/>
      <c r="E152" s="38"/>
      <c r="F152" s="38"/>
      <c r="G152" s="38"/>
      <c r="H152" s="39"/>
      <c r="I152" s="52"/>
      <c r="J152" s="52"/>
    </row>
    <row r="153" spans="2:13" ht="15.75" thickBot="1">
      <c r="B153" s="145" t="s">
        <v>19</v>
      </c>
      <c r="C153" s="145"/>
      <c r="D153" s="145"/>
      <c r="E153" s="145"/>
      <c r="F153" s="146"/>
      <c r="G153" s="144" t="s">
        <v>6</v>
      </c>
      <c r="H153" s="144"/>
      <c r="I153" s="52"/>
      <c r="J153" s="52"/>
      <c r="K153"/>
      <c r="L153"/>
      <c r="M153"/>
    </row>
    <row r="154" spans="2:13" ht="17.25" customHeight="1">
      <c r="B154" s="140" t="s">
        <v>32</v>
      </c>
      <c r="C154" s="140" t="s">
        <v>32</v>
      </c>
      <c r="D154" s="140" t="s">
        <v>32</v>
      </c>
      <c r="E154" s="140" t="s">
        <v>32</v>
      </c>
      <c r="F154" s="141" t="s">
        <v>32</v>
      </c>
      <c r="G154" s="142">
        <v>14138</v>
      </c>
      <c r="H154" s="143">
        <v>14138</v>
      </c>
      <c r="I154" s="53"/>
      <c r="J154" s="50"/>
      <c r="K154" s="49"/>
      <c r="L154"/>
      <c r="M154"/>
    </row>
    <row r="155" spans="2:13" ht="17.25" customHeight="1">
      <c r="B155" s="136" t="s">
        <v>34</v>
      </c>
      <c r="C155" s="136" t="s">
        <v>34</v>
      </c>
      <c r="D155" s="136" t="s">
        <v>34</v>
      </c>
      <c r="E155" s="136" t="s">
        <v>34</v>
      </c>
      <c r="F155" s="137" t="s">
        <v>34</v>
      </c>
      <c r="G155" s="138">
        <v>11644</v>
      </c>
      <c r="H155" s="139">
        <v>11644</v>
      </c>
      <c r="I155" s="53"/>
      <c r="J155" s="50"/>
      <c r="K155" s="49"/>
      <c r="L155"/>
      <c r="M155"/>
    </row>
    <row r="156" spans="2:13" ht="17.25" customHeight="1">
      <c r="B156" s="136" t="s">
        <v>52</v>
      </c>
      <c r="C156" s="136" t="s">
        <v>52</v>
      </c>
      <c r="D156" s="136" t="s">
        <v>52</v>
      </c>
      <c r="E156" s="136" t="s">
        <v>52</v>
      </c>
      <c r="F156" s="137" t="s">
        <v>52</v>
      </c>
      <c r="G156" s="138">
        <v>11402</v>
      </c>
      <c r="H156" s="139">
        <v>11402</v>
      </c>
      <c r="I156" s="53"/>
      <c r="J156" s="50"/>
      <c r="K156" s="49"/>
      <c r="L156"/>
      <c r="M156"/>
    </row>
    <row r="157" spans="2:13" ht="17.25">
      <c r="B157" s="136" t="s">
        <v>53</v>
      </c>
      <c r="C157" s="136" t="s">
        <v>53</v>
      </c>
      <c r="D157" s="136" t="s">
        <v>53</v>
      </c>
      <c r="E157" s="136" t="s">
        <v>53</v>
      </c>
      <c r="F157" s="137" t="s">
        <v>53</v>
      </c>
      <c r="G157" s="138">
        <v>10484</v>
      </c>
      <c r="H157" s="139">
        <v>10484</v>
      </c>
      <c r="I157" s="53"/>
      <c r="J157" s="50"/>
      <c r="K157" s="49"/>
      <c r="L157"/>
      <c r="M157"/>
    </row>
    <row r="158" spans="2:13" ht="17.25" customHeight="1">
      <c r="B158" s="136" t="s">
        <v>50</v>
      </c>
      <c r="C158" s="136" t="s">
        <v>50</v>
      </c>
      <c r="D158" s="136" t="s">
        <v>50</v>
      </c>
      <c r="E158" s="136" t="s">
        <v>50</v>
      </c>
      <c r="F158" s="137" t="s">
        <v>50</v>
      </c>
      <c r="G158" s="138">
        <v>7698</v>
      </c>
      <c r="H158" s="139">
        <v>7698</v>
      </c>
      <c r="I158" s="53"/>
      <c r="J158" s="50"/>
      <c r="K158" s="49"/>
      <c r="L158"/>
      <c r="M158"/>
    </row>
    <row r="159" spans="2:13" ht="17.25" customHeight="1">
      <c r="B159" s="136" t="s">
        <v>54</v>
      </c>
      <c r="C159" s="136" t="s">
        <v>54</v>
      </c>
      <c r="D159" s="136" t="s">
        <v>54</v>
      </c>
      <c r="E159" s="136" t="s">
        <v>54</v>
      </c>
      <c r="F159" s="137" t="s">
        <v>54</v>
      </c>
      <c r="G159" s="138">
        <v>4198</v>
      </c>
      <c r="H159" s="139">
        <v>4198</v>
      </c>
      <c r="I159" s="54"/>
      <c r="J159" s="50"/>
      <c r="K159" s="49"/>
      <c r="L159"/>
      <c r="M159"/>
    </row>
    <row r="160" spans="2:13" ht="17.25" customHeight="1">
      <c r="B160" s="136" t="s">
        <v>36</v>
      </c>
      <c r="C160" s="136" t="s">
        <v>36</v>
      </c>
      <c r="D160" s="136" t="s">
        <v>36</v>
      </c>
      <c r="E160" s="136" t="s">
        <v>36</v>
      </c>
      <c r="F160" s="137" t="s">
        <v>36</v>
      </c>
      <c r="G160" s="138">
        <v>3109</v>
      </c>
      <c r="H160" s="139">
        <v>3109</v>
      </c>
      <c r="I160" s="53"/>
      <c r="J160" s="50"/>
      <c r="K160" s="49"/>
      <c r="L160"/>
      <c r="M160"/>
    </row>
    <row r="161" spans="2:13" ht="17.25" customHeight="1">
      <c r="B161" s="136" t="s">
        <v>55</v>
      </c>
      <c r="C161" s="136" t="s">
        <v>55</v>
      </c>
      <c r="D161" s="136" t="s">
        <v>55</v>
      </c>
      <c r="E161" s="136" t="s">
        <v>55</v>
      </c>
      <c r="F161" s="137" t="s">
        <v>55</v>
      </c>
      <c r="G161" s="138">
        <v>2307</v>
      </c>
      <c r="H161" s="139">
        <v>2307</v>
      </c>
      <c r="I161" s="53"/>
      <c r="J161" s="50"/>
      <c r="K161" s="49"/>
      <c r="L161"/>
      <c r="M161"/>
    </row>
    <row r="162" spans="2:13" ht="17.25" customHeight="1">
      <c r="B162" s="136" t="s">
        <v>38</v>
      </c>
      <c r="C162" s="136" t="s">
        <v>38</v>
      </c>
      <c r="D162" s="136" t="s">
        <v>38</v>
      </c>
      <c r="E162" s="136" t="s">
        <v>38</v>
      </c>
      <c r="F162" s="137" t="s">
        <v>38</v>
      </c>
      <c r="G162" s="138">
        <v>1419</v>
      </c>
      <c r="H162" s="139">
        <v>1419</v>
      </c>
      <c r="I162" s="53"/>
      <c r="J162" s="50"/>
      <c r="K162" s="49"/>
      <c r="L162"/>
      <c r="M162"/>
    </row>
    <row r="163" spans="2:13" ht="18" customHeight="1" thickBot="1">
      <c r="B163" s="132" t="s">
        <v>57</v>
      </c>
      <c r="C163" s="132" t="s">
        <v>57</v>
      </c>
      <c r="D163" s="132" t="s">
        <v>57</v>
      </c>
      <c r="E163" s="132" t="s">
        <v>57</v>
      </c>
      <c r="F163" s="133" t="s">
        <v>57</v>
      </c>
      <c r="G163" s="134">
        <v>1338</v>
      </c>
      <c r="H163" s="135">
        <v>1338</v>
      </c>
      <c r="I163" s="53"/>
      <c r="J163" s="50"/>
      <c r="K163" s="49"/>
      <c r="L163"/>
      <c r="M163"/>
    </row>
    <row r="164" spans="2:13" ht="17.25">
      <c r="B164" s="40"/>
      <c r="C164" s="40"/>
      <c r="D164" s="40"/>
      <c r="E164" s="40"/>
      <c r="F164" s="40"/>
      <c r="G164" s="93"/>
      <c r="H164" s="93"/>
      <c r="I164" s="52"/>
      <c r="J164" s="52"/>
      <c r="L164"/>
      <c r="M164"/>
    </row>
    <row r="165" spans="2:13" ht="17.25">
      <c r="G165" s="41"/>
      <c r="H165" s="41"/>
      <c r="I165" s="2"/>
      <c r="J165" s="2"/>
    </row>
    <row r="166" spans="2:13" ht="17.25">
      <c r="B166" s="87" t="s">
        <v>8</v>
      </c>
      <c r="C166" s="38"/>
      <c r="D166" s="38"/>
      <c r="E166" s="38"/>
      <c r="F166" s="38"/>
      <c r="G166" s="38"/>
      <c r="H166" s="39" t="s">
        <v>14</v>
      </c>
      <c r="I166" s="2"/>
      <c r="J166" s="52"/>
      <c r="K166"/>
    </row>
    <row r="167" spans="2:13" ht="18" thickBot="1">
      <c r="B167" s="88" t="s">
        <v>30</v>
      </c>
      <c r="C167" s="38"/>
      <c r="D167" s="38"/>
      <c r="E167" s="38"/>
      <c r="F167" s="38"/>
      <c r="G167" s="38"/>
      <c r="H167" s="39"/>
      <c r="I167" s="2"/>
      <c r="J167" s="52"/>
      <c r="K167"/>
    </row>
    <row r="168" spans="2:13" ht="15" customHeight="1" thickBot="1">
      <c r="B168" s="129" t="s">
        <v>19</v>
      </c>
      <c r="C168" s="129"/>
      <c r="D168" s="129"/>
      <c r="E168" s="129"/>
      <c r="F168" s="130"/>
      <c r="G168" s="144" t="s">
        <v>9</v>
      </c>
      <c r="H168" s="144"/>
      <c r="I168" s="2"/>
      <c r="J168" s="2"/>
    </row>
    <row r="169" spans="2:13" ht="17.25" customHeight="1">
      <c r="B169" s="140" t="s">
        <v>49</v>
      </c>
      <c r="C169" s="140" t="s">
        <v>49</v>
      </c>
      <c r="D169" s="140" t="s">
        <v>49</v>
      </c>
      <c r="E169" s="140" t="s">
        <v>49</v>
      </c>
      <c r="F169" s="141" t="s">
        <v>49</v>
      </c>
      <c r="G169" s="142">
        <v>1453218793571.8701</v>
      </c>
      <c r="H169" s="143">
        <v>1453218793571.8701</v>
      </c>
      <c r="I169" s="55"/>
      <c r="J169" s="56"/>
    </row>
    <row r="170" spans="2:13" ht="17.25" customHeight="1">
      <c r="B170" s="136" t="s">
        <v>34</v>
      </c>
      <c r="C170" s="136" t="s">
        <v>34</v>
      </c>
      <c r="D170" s="136" t="s">
        <v>34</v>
      </c>
      <c r="E170" s="136" t="s">
        <v>34</v>
      </c>
      <c r="F170" s="137" t="s">
        <v>34</v>
      </c>
      <c r="G170" s="138">
        <v>1233619003937.6499</v>
      </c>
      <c r="H170" s="139">
        <v>1233619003937.6499</v>
      </c>
      <c r="I170" s="55"/>
      <c r="J170" s="56"/>
    </row>
    <row r="171" spans="2:13" ht="17.25" customHeight="1">
      <c r="B171" s="136" t="s">
        <v>50</v>
      </c>
      <c r="C171" s="136" t="s">
        <v>50</v>
      </c>
      <c r="D171" s="136" t="s">
        <v>50</v>
      </c>
      <c r="E171" s="136" t="s">
        <v>50</v>
      </c>
      <c r="F171" s="137" t="s">
        <v>50</v>
      </c>
      <c r="G171" s="138">
        <v>1075261865757.3101</v>
      </c>
      <c r="H171" s="139">
        <v>1075261865757.3101</v>
      </c>
      <c r="I171" s="55"/>
      <c r="J171" s="56"/>
    </row>
    <row r="172" spans="2:13" ht="17.25" customHeight="1">
      <c r="B172" s="136" t="s">
        <v>32</v>
      </c>
      <c r="C172" s="136" t="s">
        <v>32</v>
      </c>
      <c r="D172" s="136" t="s">
        <v>32</v>
      </c>
      <c r="E172" s="136" t="s">
        <v>32</v>
      </c>
      <c r="F172" s="137" t="s">
        <v>32</v>
      </c>
      <c r="G172" s="138">
        <v>781927844353.90002</v>
      </c>
      <c r="H172" s="139">
        <v>781927844353.90002</v>
      </c>
      <c r="I172" s="55"/>
      <c r="J172" s="56"/>
    </row>
    <row r="173" spans="2:13" ht="17.25" customHeight="1">
      <c r="B173" s="136" t="s">
        <v>57</v>
      </c>
      <c r="C173" s="136" t="s">
        <v>57</v>
      </c>
      <c r="D173" s="136" t="s">
        <v>57</v>
      </c>
      <c r="E173" s="136" t="s">
        <v>57</v>
      </c>
      <c r="F173" s="137" t="s">
        <v>57</v>
      </c>
      <c r="G173" s="138">
        <v>370830272724.46002</v>
      </c>
      <c r="H173" s="139">
        <v>370830272724.46002</v>
      </c>
      <c r="I173" s="57"/>
      <c r="J173" s="50"/>
    </row>
    <row r="174" spans="2:13" ht="17.25" customHeight="1">
      <c r="B174" s="136" t="s">
        <v>43</v>
      </c>
      <c r="C174" s="136" t="s">
        <v>43</v>
      </c>
      <c r="D174" s="136" t="s">
        <v>43</v>
      </c>
      <c r="E174" s="136" t="s">
        <v>43</v>
      </c>
      <c r="F174" s="137" t="s">
        <v>43</v>
      </c>
      <c r="G174" s="138">
        <v>322893089051.33002</v>
      </c>
      <c r="H174" s="139">
        <v>322893089051.33002</v>
      </c>
      <c r="I174" s="55"/>
      <c r="J174" s="56"/>
    </row>
    <row r="175" spans="2:13" ht="17.25" customHeight="1">
      <c r="B175" s="136" t="s">
        <v>42</v>
      </c>
      <c r="C175" s="136" t="s">
        <v>42</v>
      </c>
      <c r="D175" s="136" t="s">
        <v>42</v>
      </c>
      <c r="E175" s="136" t="s">
        <v>42</v>
      </c>
      <c r="F175" s="137" t="s">
        <v>42</v>
      </c>
      <c r="G175" s="138">
        <v>307128506320.85999</v>
      </c>
      <c r="H175" s="139">
        <v>307128506320.85999</v>
      </c>
      <c r="I175" s="55"/>
      <c r="J175" s="56"/>
    </row>
    <row r="176" spans="2:13" ht="17.25" customHeight="1">
      <c r="B176" s="136" t="s">
        <v>53</v>
      </c>
      <c r="C176" s="136" t="s">
        <v>53</v>
      </c>
      <c r="D176" s="136" t="s">
        <v>53</v>
      </c>
      <c r="E176" s="136" t="s">
        <v>53</v>
      </c>
      <c r="F176" s="137" t="s">
        <v>53</v>
      </c>
      <c r="G176" s="138">
        <v>290002239451.28998</v>
      </c>
      <c r="H176" s="139">
        <v>290002239451.28998</v>
      </c>
      <c r="I176" s="55"/>
      <c r="J176" s="56"/>
    </row>
    <row r="177" spans="2:10" ht="17.25" customHeight="1">
      <c r="B177" s="136" t="s">
        <v>63</v>
      </c>
      <c r="C177" s="136" t="s">
        <v>63</v>
      </c>
      <c r="D177" s="136" t="s">
        <v>63</v>
      </c>
      <c r="E177" s="136" t="s">
        <v>63</v>
      </c>
      <c r="F177" s="137" t="s">
        <v>63</v>
      </c>
      <c r="G177" s="138">
        <v>250341063297.60001</v>
      </c>
      <c r="H177" s="139">
        <v>250341063297.60001</v>
      </c>
      <c r="I177" s="55"/>
      <c r="J177" s="56"/>
    </row>
    <row r="178" spans="2:10" ht="18" customHeight="1" thickBot="1">
      <c r="B178" s="132" t="s">
        <v>62</v>
      </c>
      <c r="C178" s="132" t="s">
        <v>62</v>
      </c>
      <c r="D178" s="132" t="s">
        <v>62</v>
      </c>
      <c r="E178" s="132" t="s">
        <v>62</v>
      </c>
      <c r="F178" s="133" t="s">
        <v>62</v>
      </c>
      <c r="G178" s="134">
        <v>220262341714.51999</v>
      </c>
      <c r="H178" s="135">
        <v>220262341714.51999</v>
      </c>
      <c r="I178" s="55"/>
      <c r="J178" s="56"/>
    </row>
    <row r="179" spans="2:10" ht="17.25">
      <c r="G179" s="41"/>
      <c r="H179" s="41"/>
      <c r="J179" s="48"/>
    </row>
    <row r="180" spans="2:10">
      <c r="B180" s="58"/>
      <c r="J180" s="48"/>
    </row>
  </sheetData>
  <dataConsolidate link="1"/>
  <mergeCells count="100">
    <mergeCell ref="B178:F178"/>
    <mergeCell ref="G178:H178"/>
    <mergeCell ref="B175:F175"/>
    <mergeCell ref="G175:H175"/>
    <mergeCell ref="B176:F176"/>
    <mergeCell ref="G176:H176"/>
    <mergeCell ref="B177:F177"/>
    <mergeCell ref="G177:H177"/>
    <mergeCell ref="B172:F172"/>
    <mergeCell ref="G172:H172"/>
    <mergeCell ref="B173:F173"/>
    <mergeCell ref="G173:H173"/>
    <mergeCell ref="B174:F174"/>
    <mergeCell ref="G174:H174"/>
    <mergeCell ref="B171:F171"/>
    <mergeCell ref="G171:H171"/>
    <mergeCell ref="B161:F161"/>
    <mergeCell ref="G161:H161"/>
    <mergeCell ref="B162:F162"/>
    <mergeCell ref="G162:H162"/>
    <mergeCell ref="B163:F163"/>
    <mergeCell ref="G163:H163"/>
    <mergeCell ref="G168:H168"/>
    <mergeCell ref="B169:F169"/>
    <mergeCell ref="G169:H169"/>
    <mergeCell ref="B170:F170"/>
    <mergeCell ref="G170:H170"/>
    <mergeCell ref="B158:F158"/>
    <mergeCell ref="G158:H158"/>
    <mergeCell ref="B159:F159"/>
    <mergeCell ref="G159:H159"/>
    <mergeCell ref="B160:F160"/>
    <mergeCell ref="G160:H160"/>
    <mergeCell ref="B155:F155"/>
    <mergeCell ref="G155:H155"/>
    <mergeCell ref="B156:F156"/>
    <mergeCell ref="G156:H156"/>
    <mergeCell ref="B157:F157"/>
    <mergeCell ref="G157:H157"/>
    <mergeCell ref="B148:F148"/>
    <mergeCell ref="G148:H148"/>
    <mergeCell ref="B153:F153"/>
    <mergeCell ref="G153:H153"/>
    <mergeCell ref="B154:F154"/>
    <mergeCell ref="G154:H154"/>
    <mergeCell ref="B145:F145"/>
    <mergeCell ref="G145:H145"/>
    <mergeCell ref="B146:F146"/>
    <mergeCell ref="G146:H146"/>
    <mergeCell ref="B147:F147"/>
    <mergeCell ref="G147:H147"/>
    <mergeCell ref="B142:F142"/>
    <mergeCell ref="G142:H142"/>
    <mergeCell ref="B143:F143"/>
    <mergeCell ref="G143:H143"/>
    <mergeCell ref="B144:F144"/>
    <mergeCell ref="G144:H144"/>
    <mergeCell ref="B139:F139"/>
    <mergeCell ref="G139:H139"/>
    <mergeCell ref="B140:F140"/>
    <mergeCell ref="G140:H140"/>
    <mergeCell ref="B141:F141"/>
    <mergeCell ref="G141:H141"/>
    <mergeCell ref="B138:F138"/>
    <mergeCell ref="G138:H138"/>
    <mergeCell ref="H48:I48"/>
    <mergeCell ref="B49:D49"/>
    <mergeCell ref="B50:D50"/>
    <mergeCell ref="B51:D51"/>
    <mergeCell ref="B52:D52"/>
    <mergeCell ref="B53:D53"/>
    <mergeCell ref="B54:D54"/>
    <mergeCell ref="B128:F128"/>
    <mergeCell ref="G128:H128"/>
    <mergeCell ref="B129:F129"/>
    <mergeCell ref="G129:H129"/>
    <mergeCell ref="B39:D39"/>
    <mergeCell ref="B24:D24"/>
    <mergeCell ref="B25:D25"/>
    <mergeCell ref="B26:D26"/>
    <mergeCell ref="B27:D27"/>
    <mergeCell ref="B28:D28"/>
    <mergeCell ref="B33:D33"/>
    <mergeCell ref="B34:D34"/>
    <mergeCell ref="B35:D35"/>
    <mergeCell ref="B36:D36"/>
    <mergeCell ref="B37:D37"/>
    <mergeCell ref="B38:D38"/>
    <mergeCell ref="B23:D23"/>
    <mergeCell ref="B2:H2"/>
    <mergeCell ref="B3:H3"/>
    <mergeCell ref="I3:N3"/>
    <mergeCell ref="B11:D11"/>
    <mergeCell ref="B12:D12"/>
    <mergeCell ref="B13:D13"/>
    <mergeCell ref="B14:D14"/>
    <mergeCell ref="B15:D15"/>
    <mergeCell ref="B16:D16"/>
    <mergeCell ref="B17:D17"/>
    <mergeCell ref="B22:D22"/>
  </mergeCells>
  <pageMargins left="0.70866141732283472" right="0.70866141732283472" top="0.15748031496062992" bottom="0.15748031496062992" header="0.31496062992125984" footer="0.11811023622047245"/>
  <pageSetup paperSize="9" scale="47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49" max="16383" man="1"/>
    <brk id="192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49505">
          <objectPr defaultSize="0" autoPict="0" dde="1">
            <anchor moveWithCells="1">
              <from>
                <xdr:col>0</xdr:col>
                <xdr:colOff>123825</xdr:colOff>
                <xdr:row>72</xdr:row>
                <xdr:rowOff>123825</xdr:rowOff>
              </from>
              <to>
                <xdr:col>1</xdr:col>
                <xdr:colOff>257175</xdr:colOff>
                <xdr:row>74</xdr:row>
                <xdr:rowOff>0</xdr:rowOff>
              </to>
            </anchor>
          </objectPr>
        </oleObject>
      </mc:Choice>
      <mc:Fallback>
        <oleObject link="[1]!'!Январь2012!R1C2:R10C9'" oleUpdate="OLEUPDATE_ALWAYS" shapeId="149505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Январь2015</vt:lpstr>
      <vt:lpstr>Февраль2015</vt:lpstr>
      <vt:lpstr>Март2015</vt:lpstr>
      <vt:lpstr>Апрель2015</vt:lpstr>
      <vt:lpstr>Май2015</vt:lpstr>
      <vt:lpstr>Июнь2015</vt:lpstr>
      <vt:lpstr>Июль2015</vt:lpstr>
      <vt:lpstr>Август2015</vt:lpstr>
      <vt:lpstr>Сентябрь2015</vt:lpstr>
      <vt:lpstr>Октябрь2015</vt:lpstr>
      <vt:lpstr>Ноябрь2015</vt:lpstr>
      <vt:lpstr>Декабрь2015</vt:lpstr>
    </vt:vector>
  </TitlesOfParts>
  <Company>MICEX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Zakharova_ia</dc:creator>
  <cp:lastModifiedBy>Захарова Ирина Алексеевна</cp:lastModifiedBy>
  <cp:lastPrinted>2015-01-14T09:04:21Z</cp:lastPrinted>
  <dcterms:created xsi:type="dcterms:W3CDTF">2007-06-25T14:16:27Z</dcterms:created>
  <dcterms:modified xsi:type="dcterms:W3CDTF">2017-05-03T09:34:12Z</dcterms:modified>
</cp:coreProperties>
</file>