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activeTab="11"/>
  </bookViews>
  <sheets>
    <sheet name="Январь2014" sheetId="261" r:id="rId1"/>
    <sheet name="Февраль2014" sheetId="262" r:id="rId2"/>
    <sheet name="Март2014" sheetId="263" r:id="rId3"/>
    <sheet name="Апрель2014" sheetId="264" r:id="rId4"/>
    <sheet name="Май2014" sheetId="265" r:id="rId5"/>
    <sheet name="Июнь2014" sheetId="266" r:id="rId6"/>
    <sheet name="Июль2014" sheetId="267" r:id="rId7"/>
    <sheet name="Август2014" sheetId="268" r:id="rId8"/>
    <sheet name="Сентябрь2014" sheetId="269" r:id="rId9"/>
    <sheet name="Октябрь2014" sheetId="270" r:id="rId10"/>
    <sheet name="Ноябрь2014" sheetId="271" r:id="rId11"/>
    <sheet name="Декабрь2014" sheetId="272" r:id="rId12"/>
  </sheets>
  <externalReferences>
    <externalReference r:id="rId13"/>
  </externalReferences>
  <calcPr calcId="145621" concurrentCalc="0"/>
</workbook>
</file>

<file path=xl/calcChain.xml><?xml version="1.0" encoding="utf-8"?>
<calcChain xmlns="http://schemas.openxmlformats.org/spreadsheetml/2006/main">
  <c r="E35" i="272" l="1"/>
  <c r="E36" i="272"/>
  <c r="E37" i="272"/>
  <c r="E38" i="272"/>
  <c r="E39" i="272"/>
  <c r="E40" i="272"/>
  <c r="E34" i="272"/>
  <c r="E24" i="272"/>
  <c r="E25" i="272"/>
  <c r="E26" i="272"/>
  <c r="E27" i="272"/>
  <c r="E28" i="272"/>
  <c r="E29" i="272"/>
  <c r="E23" i="272"/>
  <c r="E13" i="272"/>
  <c r="E14" i="272"/>
  <c r="E15" i="272"/>
  <c r="E16" i="272"/>
  <c r="E17" i="272"/>
  <c r="E18" i="272"/>
  <c r="E12" i="272"/>
  <c r="E35" i="271"/>
  <c r="E36" i="271"/>
  <c r="E37" i="271"/>
  <c r="E38" i="271"/>
  <c r="E39" i="271"/>
  <c r="E40" i="271"/>
  <c r="E34" i="271"/>
  <c r="E24" i="271"/>
  <c r="E25" i="271"/>
  <c r="E26" i="271"/>
  <c r="E27" i="271"/>
  <c r="E28" i="271"/>
  <c r="E29" i="271"/>
  <c r="E23" i="271"/>
  <c r="E13" i="271"/>
  <c r="E14" i="271"/>
  <c r="E15" i="271"/>
  <c r="E16" i="271"/>
  <c r="E17" i="271"/>
  <c r="E18" i="271"/>
  <c r="E12" i="271"/>
  <c r="E35" i="270"/>
  <c r="E36" i="270"/>
  <c r="E37" i="270"/>
  <c r="E38" i="270"/>
  <c r="E39" i="270"/>
  <c r="E40" i="270"/>
  <c r="E34" i="270"/>
  <c r="E24" i="270"/>
  <c r="E25" i="270"/>
  <c r="E26" i="270"/>
  <c r="E27" i="270"/>
  <c r="E28" i="270"/>
  <c r="E29" i="270"/>
  <c r="E23" i="270"/>
  <c r="E13" i="270"/>
  <c r="E14" i="270"/>
  <c r="E15" i="270"/>
  <c r="E16" i="270"/>
  <c r="E17" i="270"/>
  <c r="E18" i="270"/>
  <c r="E12" i="270"/>
  <c r="E35" i="269"/>
  <c r="E36" i="269"/>
  <c r="E37" i="269"/>
  <c r="E38" i="269"/>
  <c r="E39" i="269"/>
  <c r="E40" i="269"/>
  <c r="E34" i="269"/>
  <c r="E24" i="269"/>
  <c r="E25" i="269"/>
  <c r="E26" i="269"/>
  <c r="E27" i="269"/>
  <c r="E28" i="269"/>
  <c r="E29" i="269"/>
  <c r="E23" i="269"/>
  <c r="E13" i="269"/>
  <c r="E14" i="269"/>
  <c r="E15" i="269"/>
  <c r="E16" i="269"/>
  <c r="E17" i="269"/>
  <c r="E18" i="269"/>
  <c r="E12" i="269"/>
  <c r="E35" i="268"/>
  <c r="E36" i="268"/>
  <c r="E37" i="268"/>
  <c r="E38" i="268"/>
  <c r="E39" i="268"/>
  <c r="E40" i="268"/>
  <c r="E34" i="268"/>
  <c r="E24" i="268"/>
  <c r="E25" i="268"/>
  <c r="E26" i="268"/>
  <c r="E27" i="268"/>
  <c r="E28" i="268"/>
  <c r="E29" i="268"/>
  <c r="E23" i="268"/>
  <c r="E13" i="268"/>
  <c r="E14" i="268"/>
  <c r="E15" i="268"/>
  <c r="E16" i="268"/>
  <c r="E17" i="268"/>
  <c r="E18" i="268"/>
  <c r="E12" i="268"/>
  <c r="E35" i="267"/>
  <c r="E36" i="267"/>
  <c r="E37" i="267"/>
  <c r="E38" i="267"/>
  <c r="E39" i="267"/>
  <c r="E40" i="267"/>
  <c r="E34" i="267"/>
  <c r="E24" i="267"/>
  <c r="E25" i="267"/>
  <c r="E26" i="267"/>
  <c r="E27" i="267"/>
  <c r="E28" i="267"/>
  <c r="E29" i="267"/>
  <c r="E23" i="267"/>
  <c r="E13" i="267"/>
  <c r="E14" i="267"/>
  <c r="E15" i="267"/>
  <c r="E16" i="267"/>
  <c r="E17" i="267"/>
  <c r="E18" i="267"/>
  <c r="E12" i="267"/>
  <c r="E35" i="266"/>
  <c r="E36" i="266"/>
  <c r="E37" i="266"/>
  <c r="E38" i="266"/>
  <c r="E39" i="266"/>
  <c r="E40" i="266"/>
  <c r="E34" i="266"/>
  <c r="E24" i="266"/>
  <c r="E25" i="266"/>
  <c r="E26" i="266"/>
  <c r="E27" i="266"/>
  <c r="E28" i="266"/>
  <c r="E29" i="266"/>
  <c r="E23" i="266"/>
  <c r="E13" i="266"/>
  <c r="E14" i="266"/>
  <c r="E15" i="266"/>
  <c r="E16" i="266"/>
  <c r="E17" i="266"/>
  <c r="E18" i="266"/>
  <c r="E12" i="266"/>
  <c r="E35" i="265"/>
  <c r="E36" i="265"/>
  <c r="E37" i="265"/>
  <c r="E38" i="265"/>
  <c r="E39" i="265"/>
  <c r="E40" i="265"/>
  <c r="E34" i="265"/>
  <c r="E24" i="265"/>
  <c r="E25" i="265"/>
  <c r="E26" i="265"/>
  <c r="E27" i="265"/>
  <c r="E28" i="265"/>
  <c r="E29" i="265"/>
  <c r="E23" i="265"/>
  <c r="E13" i="265"/>
  <c r="E14" i="265"/>
  <c r="E15" i="265"/>
  <c r="E16" i="265"/>
  <c r="E17" i="265"/>
  <c r="E18" i="265"/>
  <c r="E12" i="265"/>
  <c r="E40" i="264"/>
  <c r="E35" i="264"/>
  <c r="E36" i="264"/>
  <c r="E37" i="264"/>
  <c r="E38" i="264"/>
  <c r="E39" i="264"/>
  <c r="E34" i="264"/>
  <c r="E24" i="264"/>
  <c r="E25" i="264"/>
  <c r="E26" i="264"/>
  <c r="E27" i="264"/>
  <c r="E28" i="264"/>
  <c r="E29" i="264"/>
  <c r="E23" i="264"/>
  <c r="E13" i="264"/>
  <c r="E14" i="264"/>
  <c r="E15" i="264"/>
  <c r="E16" i="264"/>
  <c r="E17" i="264"/>
  <c r="E18" i="264"/>
  <c r="E12" i="264"/>
  <c r="E29" i="263"/>
  <c r="E24" i="263"/>
  <c r="E25" i="263"/>
  <c r="E26" i="263"/>
  <c r="E27" i="263"/>
  <c r="E28" i="263"/>
  <c r="E23" i="263"/>
  <c r="E35" i="263"/>
  <c r="E36" i="263"/>
  <c r="E37" i="263"/>
  <c r="E38" i="263"/>
  <c r="E39" i="263"/>
  <c r="E40" i="263"/>
  <c r="E34" i="263"/>
  <c r="E13" i="263"/>
  <c r="E14" i="263"/>
  <c r="E15" i="263"/>
  <c r="E16" i="263"/>
  <c r="E17" i="263"/>
  <c r="E18" i="263"/>
  <c r="E12" i="263"/>
  <c r="E35" i="262"/>
  <c r="E36" i="262"/>
  <c r="E37" i="262"/>
  <c r="E38" i="262"/>
  <c r="E39" i="262"/>
  <c r="E40" i="262"/>
  <c r="E34" i="262"/>
  <c r="E24" i="262"/>
  <c r="E25" i="262"/>
  <c r="E26" i="262"/>
  <c r="E27" i="262"/>
  <c r="E28" i="262"/>
  <c r="E29" i="262"/>
  <c r="E23" i="262"/>
  <c r="E13" i="262"/>
  <c r="E14" i="262"/>
  <c r="E15" i="262"/>
  <c r="E16" i="262"/>
  <c r="E17" i="262"/>
  <c r="E18" i="262"/>
  <c r="E12" i="262"/>
  <c r="C124" i="272"/>
  <c r="F11" i="272"/>
  <c r="F33" i="272"/>
  <c r="E33" i="272"/>
  <c r="H83" i="272"/>
  <c r="G83" i="272"/>
  <c r="F83" i="272"/>
  <c r="E83" i="272"/>
  <c r="D83" i="272"/>
  <c r="C83" i="272"/>
  <c r="H40" i="272"/>
  <c r="G40" i="272"/>
  <c r="H39" i="272"/>
  <c r="G39" i="272"/>
  <c r="H38" i="272"/>
  <c r="G38" i="272"/>
  <c r="H37" i="272"/>
  <c r="G37" i="272"/>
  <c r="H36" i="272"/>
  <c r="G36" i="272"/>
  <c r="H35" i="272"/>
  <c r="G35" i="272"/>
  <c r="H34" i="272"/>
  <c r="G34" i="272"/>
  <c r="H29" i="272"/>
  <c r="G29" i="272"/>
  <c r="H28" i="272"/>
  <c r="G28" i="272"/>
  <c r="H27" i="272"/>
  <c r="G27" i="272"/>
  <c r="H26" i="272"/>
  <c r="G26" i="272"/>
  <c r="H25" i="272"/>
  <c r="G25" i="272"/>
  <c r="H24" i="272"/>
  <c r="G24" i="272"/>
  <c r="H23" i="272"/>
  <c r="G23" i="272"/>
  <c r="E22" i="272"/>
  <c r="H18" i="272"/>
  <c r="G18" i="272"/>
  <c r="H17" i="272"/>
  <c r="G17" i="272"/>
  <c r="H16" i="272"/>
  <c r="G16" i="272"/>
  <c r="H15" i="272"/>
  <c r="G15" i="272"/>
  <c r="H14" i="272"/>
  <c r="G14" i="272"/>
  <c r="H13" i="272"/>
  <c r="G13" i="272"/>
  <c r="H12" i="272"/>
  <c r="G12" i="272"/>
  <c r="F22" i="272"/>
  <c r="C6" i="272"/>
  <c r="F133" i="272"/>
  <c r="G12" i="271"/>
  <c r="E22" i="271"/>
  <c r="H83" i="271"/>
  <c r="G83" i="271"/>
  <c r="F83" i="271"/>
  <c r="E83" i="271"/>
  <c r="D83" i="271"/>
  <c r="C83" i="271"/>
  <c r="H40" i="271"/>
  <c r="G40" i="271"/>
  <c r="H39" i="271"/>
  <c r="G39" i="271"/>
  <c r="H38" i="271"/>
  <c r="G38" i="271"/>
  <c r="H37" i="271"/>
  <c r="G37" i="271"/>
  <c r="H36" i="271"/>
  <c r="G36" i="271"/>
  <c r="H35" i="271"/>
  <c r="G35" i="271"/>
  <c r="H34" i="271"/>
  <c r="G34" i="271"/>
  <c r="H29" i="271"/>
  <c r="G29" i="271"/>
  <c r="H28" i="271"/>
  <c r="G28" i="271"/>
  <c r="H27" i="271"/>
  <c r="G27" i="271"/>
  <c r="H26" i="271"/>
  <c r="G26" i="271"/>
  <c r="H25" i="271"/>
  <c r="G25" i="271"/>
  <c r="H24" i="271"/>
  <c r="G24" i="271"/>
  <c r="H23" i="271"/>
  <c r="G23" i="271"/>
  <c r="H18" i="271"/>
  <c r="G18" i="271"/>
  <c r="H17" i="271"/>
  <c r="G17" i="271"/>
  <c r="H16" i="271"/>
  <c r="G16" i="271"/>
  <c r="H15" i="271"/>
  <c r="G15" i="271"/>
  <c r="H14" i="271"/>
  <c r="G14" i="271"/>
  <c r="H13" i="271"/>
  <c r="G13" i="271"/>
  <c r="H12" i="271"/>
  <c r="F11" i="271"/>
  <c r="F22" i="271"/>
  <c r="C6" i="271"/>
  <c r="F133" i="271"/>
  <c r="F33" i="271"/>
  <c r="H83" i="270"/>
  <c r="G83" i="270"/>
  <c r="F83" i="270"/>
  <c r="E83" i="270"/>
  <c r="D83" i="270"/>
  <c r="C83" i="270"/>
  <c r="H40" i="270"/>
  <c r="G40" i="270"/>
  <c r="H39" i="270"/>
  <c r="G39" i="270"/>
  <c r="H38" i="270"/>
  <c r="G38" i="270"/>
  <c r="H37" i="270"/>
  <c r="G37" i="270"/>
  <c r="H36" i="270"/>
  <c r="G36" i="270"/>
  <c r="H35" i="270"/>
  <c r="G35" i="270"/>
  <c r="H34" i="270"/>
  <c r="G34" i="270"/>
  <c r="H29" i="270"/>
  <c r="G29" i="270"/>
  <c r="H28" i="270"/>
  <c r="G28" i="270"/>
  <c r="H27" i="270"/>
  <c r="G27" i="270"/>
  <c r="H26" i="270"/>
  <c r="G26" i="270"/>
  <c r="H25" i="270"/>
  <c r="G25" i="270"/>
  <c r="H24" i="270"/>
  <c r="G24" i="270"/>
  <c r="H23" i="270"/>
  <c r="G23" i="270"/>
  <c r="E22" i="270"/>
  <c r="H18" i="270"/>
  <c r="G18" i="270"/>
  <c r="H17" i="270"/>
  <c r="G17" i="270"/>
  <c r="H16" i="270"/>
  <c r="G16" i="270"/>
  <c r="H15" i="270"/>
  <c r="G15" i="270"/>
  <c r="H14" i="270"/>
  <c r="G14" i="270"/>
  <c r="H13" i="270"/>
  <c r="G13" i="270"/>
  <c r="H12" i="270"/>
  <c r="G12" i="270"/>
  <c r="F11" i="270"/>
  <c r="F22" i="270"/>
  <c r="C6" i="270"/>
  <c r="F133" i="270"/>
  <c r="E33" i="270"/>
  <c r="F33" i="270"/>
  <c r="H83" i="269"/>
  <c r="G83" i="269"/>
  <c r="F83" i="269"/>
  <c r="E83" i="269"/>
  <c r="D83" i="269"/>
  <c r="C83" i="269"/>
  <c r="H40" i="269"/>
  <c r="G40" i="269"/>
  <c r="H39" i="269"/>
  <c r="G39" i="269"/>
  <c r="H38" i="269"/>
  <c r="G38" i="269"/>
  <c r="H37" i="269"/>
  <c r="G37" i="269"/>
  <c r="H36" i="269"/>
  <c r="G36" i="269"/>
  <c r="H35" i="269"/>
  <c r="G35" i="269"/>
  <c r="H34" i="269"/>
  <c r="G34" i="269"/>
  <c r="H29" i="269"/>
  <c r="G29" i="269"/>
  <c r="H28" i="269"/>
  <c r="G28" i="269"/>
  <c r="H27" i="269"/>
  <c r="G27" i="269"/>
  <c r="H26" i="269"/>
  <c r="G26" i="269"/>
  <c r="H25" i="269"/>
  <c r="G25" i="269"/>
  <c r="H24" i="269"/>
  <c r="G24" i="269"/>
  <c r="H23" i="269"/>
  <c r="G23" i="269"/>
  <c r="E22" i="269"/>
  <c r="H18" i="269"/>
  <c r="G18" i="269"/>
  <c r="H17" i="269"/>
  <c r="G17" i="269"/>
  <c r="H16" i="269"/>
  <c r="G16" i="269"/>
  <c r="H15" i="269"/>
  <c r="G15" i="269"/>
  <c r="H14" i="269"/>
  <c r="G14" i="269"/>
  <c r="H13" i="269"/>
  <c r="G13" i="269"/>
  <c r="H12" i="269"/>
  <c r="G12" i="269"/>
  <c r="F11" i="269"/>
  <c r="F22" i="269"/>
  <c r="C6" i="269"/>
  <c r="E33" i="269"/>
  <c r="F33" i="269"/>
  <c r="F133" i="269"/>
  <c r="G12" i="268"/>
  <c r="H83" i="268"/>
  <c r="G83" i="268"/>
  <c r="F83" i="268"/>
  <c r="E83" i="268"/>
  <c r="D83" i="268"/>
  <c r="C83" i="268"/>
  <c r="F11" i="268"/>
  <c r="F22" i="268"/>
  <c r="H40" i="268"/>
  <c r="G40" i="268"/>
  <c r="H39" i="268"/>
  <c r="G39" i="268"/>
  <c r="H38" i="268"/>
  <c r="G38" i="268"/>
  <c r="H37" i="268"/>
  <c r="G37" i="268"/>
  <c r="H36" i="268"/>
  <c r="G36" i="268"/>
  <c r="H35" i="268"/>
  <c r="G35" i="268"/>
  <c r="H34" i="268"/>
  <c r="G34" i="268"/>
  <c r="H29" i="268"/>
  <c r="G29" i="268"/>
  <c r="H28" i="268"/>
  <c r="G28" i="268"/>
  <c r="H27" i="268"/>
  <c r="G27" i="268"/>
  <c r="H26" i="268"/>
  <c r="G26" i="268"/>
  <c r="H25" i="268"/>
  <c r="G25" i="268"/>
  <c r="H24" i="268"/>
  <c r="G24" i="268"/>
  <c r="H23" i="268"/>
  <c r="G23" i="268"/>
  <c r="E22" i="268"/>
  <c r="H18" i="268"/>
  <c r="G18" i="268"/>
  <c r="H17" i="268"/>
  <c r="G17" i="268"/>
  <c r="H16" i="268"/>
  <c r="G16" i="268"/>
  <c r="H15" i="268"/>
  <c r="G15" i="268"/>
  <c r="H14" i="268"/>
  <c r="G14" i="268"/>
  <c r="H13" i="268"/>
  <c r="G13" i="268"/>
  <c r="H12" i="268"/>
  <c r="C6" i="268"/>
  <c r="F133" i="268"/>
  <c r="E33" i="268"/>
  <c r="F33" i="268"/>
  <c r="H83" i="267"/>
  <c r="G83" i="267"/>
  <c r="F83" i="267"/>
  <c r="E83" i="267"/>
  <c r="D83" i="267"/>
  <c r="C83" i="267"/>
  <c r="H40" i="267"/>
  <c r="G40" i="267"/>
  <c r="H39" i="267"/>
  <c r="G39" i="267"/>
  <c r="H38" i="267"/>
  <c r="G38" i="267"/>
  <c r="H37" i="267"/>
  <c r="G37" i="267"/>
  <c r="H36" i="267"/>
  <c r="G36" i="267"/>
  <c r="H35" i="267"/>
  <c r="G35" i="267"/>
  <c r="H34" i="267"/>
  <c r="G34" i="267"/>
  <c r="H29" i="267"/>
  <c r="G29" i="267"/>
  <c r="H28" i="267"/>
  <c r="G28" i="267"/>
  <c r="H27" i="267"/>
  <c r="G27" i="267"/>
  <c r="H26" i="267"/>
  <c r="G26" i="267"/>
  <c r="H25" i="267"/>
  <c r="G25" i="267"/>
  <c r="H24" i="267"/>
  <c r="G24" i="267"/>
  <c r="H23" i="267"/>
  <c r="G23" i="267"/>
  <c r="E22" i="267"/>
  <c r="H18" i="267"/>
  <c r="G18" i="267"/>
  <c r="H17" i="267"/>
  <c r="G17" i="267"/>
  <c r="H16" i="267"/>
  <c r="G16" i="267"/>
  <c r="H15" i="267"/>
  <c r="G15" i="267"/>
  <c r="H14" i="267"/>
  <c r="G14" i="267"/>
  <c r="H13" i="267"/>
  <c r="G13" i="267"/>
  <c r="H12" i="267"/>
  <c r="G12" i="267"/>
  <c r="F11" i="267"/>
  <c r="F22" i="267"/>
  <c r="C6" i="267"/>
  <c r="F133" i="267"/>
  <c r="E33" i="267"/>
  <c r="F33" i="267"/>
  <c r="F11" i="266"/>
  <c r="F22" i="266"/>
  <c r="C6" i="266"/>
  <c r="F133" i="266"/>
  <c r="H83" i="266"/>
  <c r="G83" i="266"/>
  <c r="F83" i="266"/>
  <c r="E83" i="266"/>
  <c r="D83" i="266"/>
  <c r="C83" i="266"/>
  <c r="H40" i="266"/>
  <c r="G40" i="266"/>
  <c r="H39" i="266"/>
  <c r="G39" i="266"/>
  <c r="H38" i="266"/>
  <c r="G38" i="266"/>
  <c r="H37" i="266"/>
  <c r="G37" i="266"/>
  <c r="H36" i="266"/>
  <c r="G36" i="266"/>
  <c r="H35" i="266"/>
  <c r="G35" i="266"/>
  <c r="H34" i="266"/>
  <c r="G34" i="266"/>
  <c r="H29" i="266"/>
  <c r="G29" i="266"/>
  <c r="H28" i="266"/>
  <c r="G28" i="266"/>
  <c r="H27" i="266"/>
  <c r="G27" i="266"/>
  <c r="H26" i="266"/>
  <c r="G26" i="266"/>
  <c r="H25" i="266"/>
  <c r="G25" i="266"/>
  <c r="H24" i="266"/>
  <c r="G24" i="266"/>
  <c r="H23" i="266"/>
  <c r="G23" i="266"/>
  <c r="E22" i="266"/>
  <c r="H18" i="266"/>
  <c r="G18" i="266"/>
  <c r="H17" i="266"/>
  <c r="G17" i="266"/>
  <c r="H16" i="266"/>
  <c r="G16" i="266"/>
  <c r="H15" i="266"/>
  <c r="G15" i="266"/>
  <c r="H14" i="266"/>
  <c r="G14" i="266"/>
  <c r="H13" i="266"/>
  <c r="G13" i="266"/>
  <c r="H12" i="266"/>
  <c r="G12" i="266"/>
  <c r="E33" i="266"/>
  <c r="F33" i="266"/>
  <c r="F11" i="265"/>
  <c r="H83" i="265"/>
  <c r="G83" i="265"/>
  <c r="F83" i="265"/>
  <c r="E83" i="265"/>
  <c r="D83" i="265"/>
  <c r="C83" i="265"/>
  <c r="H40" i="265"/>
  <c r="G40" i="265"/>
  <c r="H39" i="265"/>
  <c r="G39" i="265"/>
  <c r="H38" i="265"/>
  <c r="G38" i="265"/>
  <c r="H37" i="265"/>
  <c r="G37" i="265"/>
  <c r="H36" i="265"/>
  <c r="G36" i="265"/>
  <c r="H35" i="265"/>
  <c r="G35" i="265"/>
  <c r="H34" i="265"/>
  <c r="G34" i="265"/>
  <c r="H29" i="265"/>
  <c r="G29" i="265"/>
  <c r="H28" i="265"/>
  <c r="G28" i="265"/>
  <c r="H27" i="265"/>
  <c r="G27" i="265"/>
  <c r="H26" i="265"/>
  <c r="G26" i="265"/>
  <c r="H25" i="265"/>
  <c r="G25" i="265"/>
  <c r="H24" i="265"/>
  <c r="G24" i="265"/>
  <c r="H23" i="265"/>
  <c r="G23" i="265"/>
  <c r="E22" i="265"/>
  <c r="H18" i="265"/>
  <c r="G18" i="265"/>
  <c r="H17" i="265"/>
  <c r="G17" i="265"/>
  <c r="H16" i="265"/>
  <c r="G16" i="265"/>
  <c r="H15" i="265"/>
  <c r="G15" i="265"/>
  <c r="H14" i="265"/>
  <c r="G14" i="265"/>
  <c r="H13" i="265"/>
  <c r="G13" i="265"/>
  <c r="H12" i="265"/>
  <c r="G12" i="265"/>
  <c r="F22" i="265"/>
  <c r="C6" i="265"/>
  <c r="F133" i="265"/>
  <c r="E33" i="265"/>
  <c r="F33" i="265"/>
  <c r="H83" i="264"/>
  <c r="G83" i="264"/>
  <c r="F83" i="264"/>
  <c r="E83" i="264"/>
  <c r="D83" i="264"/>
  <c r="C83" i="264"/>
  <c r="H40" i="264"/>
  <c r="G40" i="264"/>
  <c r="H39" i="264"/>
  <c r="G39" i="264"/>
  <c r="H38" i="264"/>
  <c r="G38" i="264"/>
  <c r="H37" i="264"/>
  <c r="G37" i="264"/>
  <c r="H36" i="264"/>
  <c r="G36" i="264"/>
  <c r="H35" i="264"/>
  <c r="G35" i="264"/>
  <c r="H34" i="264"/>
  <c r="G34" i="264"/>
  <c r="G29" i="264"/>
  <c r="H28" i="264"/>
  <c r="G28" i="264"/>
  <c r="H27" i="264"/>
  <c r="G27" i="264"/>
  <c r="H26" i="264"/>
  <c r="G26" i="264"/>
  <c r="H25" i="264"/>
  <c r="G25" i="264"/>
  <c r="H24" i="264"/>
  <c r="G24" i="264"/>
  <c r="H23" i="264"/>
  <c r="G23" i="264"/>
  <c r="E22" i="264"/>
  <c r="H18" i="264"/>
  <c r="G18" i="264"/>
  <c r="H17" i="264"/>
  <c r="G17" i="264"/>
  <c r="H16" i="264"/>
  <c r="G16" i="264"/>
  <c r="H15" i="264"/>
  <c r="G15" i="264"/>
  <c r="H14" i="264"/>
  <c r="G14" i="264"/>
  <c r="H13" i="264"/>
  <c r="G13" i="264"/>
  <c r="H12" i="264"/>
  <c r="G12" i="264"/>
  <c r="F11" i="264"/>
  <c r="F22" i="264"/>
  <c r="C6" i="264"/>
  <c r="F133" i="264"/>
  <c r="H29" i="264"/>
  <c r="E33" i="264"/>
  <c r="F33" i="264"/>
  <c r="C6" i="261"/>
  <c r="E29" i="261"/>
  <c r="G29" i="261"/>
  <c r="C6" i="263"/>
  <c r="F133" i="263"/>
  <c r="G18" i="263"/>
  <c r="H83" i="263"/>
  <c r="G83" i="263"/>
  <c r="F83" i="263"/>
  <c r="E83" i="263"/>
  <c r="D83" i="263"/>
  <c r="C83" i="263"/>
  <c r="F11" i="263"/>
  <c r="F22" i="263"/>
  <c r="H40" i="263"/>
  <c r="G40" i="263"/>
  <c r="H39" i="263"/>
  <c r="G39" i="263"/>
  <c r="H38" i="263"/>
  <c r="G38" i="263"/>
  <c r="H37" i="263"/>
  <c r="G37" i="263"/>
  <c r="H36" i="263"/>
  <c r="G36" i="263"/>
  <c r="H35" i="263"/>
  <c r="G35" i="263"/>
  <c r="H34" i="263"/>
  <c r="G34" i="263"/>
  <c r="H29" i="263"/>
  <c r="G29" i="263"/>
  <c r="H28" i="263"/>
  <c r="G28" i="263"/>
  <c r="H27" i="263"/>
  <c r="G27" i="263"/>
  <c r="H26" i="263"/>
  <c r="G26" i="263"/>
  <c r="H25" i="263"/>
  <c r="G25" i="263"/>
  <c r="H24" i="263"/>
  <c r="G24" i="263"/>
  <c r="H23" i="263"/>
  <c r="G23" i="263"/>
  <c r="E22" i="263"/>
  <c r="H18" i="263"/>
  <c r="H17" i="263"/>
  <c r="G17" i="263"/>
  <c r="H16" i="263"/>
  <c r="G16" i="263"/>
  <c r="H15" i="263"/>
  <c r="G15" i="263"/>
  <c r="H14" i="263"/>
  <c r="G14" i="263"/>
  <c r="H13" i="263"/>
  <c r="G13" i="263"/>
  <c r="H12" i="263"/>
  <c r="G12" i="263"/>
  <c r="E33" i="263"/>
  <c r="F33" i="263"/>
  <c r="H83" i="262"/>
  <c r="G83" i="262"/>
  <c r="F83" i="262"/>
  <c r="E83" i="262"/>
  <c r="D83" i="262"/>
  <c r="C83" i="262"/>
  <c r="H40" i="262"/>
  <c r="G40" i="262"/>
  <c r="H39" i="262"/>
  <c r="G39" i="262"/>
  <c r="H38" i="262"/>
  <c r="G38" i="262"/>
  <c r="H37" i="262"/>
  <c r="G37" i="262"/>
  <c r="H36" i="262"/>
  <c r="G36" i="262"/>
  <c r="H35" i="262"/>
  <c r="G35" i="262"/>
  <c r="H34" i="262"/>
  <c r="G34" i="262"/>
  <c r="H29" i="262"/>
  <c r="G29" i="262"/>
  <c r="H28" i="262"/>
  <c r="G28" i="262"/>
  <c r="H27" i="262"/>
  <c r="G27" i="262"/>
  <c r="H26" i="262"/>
  <c r="G26" i="262"/>
  <c r="H25" i="262"/>
  <c r="G25" i="262"/>
  <c r="H24" i="262"/>
  <c r="G24" i="262"/>
  <c r="H23" i="262"/>
  <c r="G23" i="262"/>
  <c r="E22" i="262"/>
  <c r="H18" i="262"/>
  <c r="G18" i="262"/>
  <c r="H17" i="262"/>
  <c r="G17" i="262"/>
  <c r="H16" i="262"/>
  <c r="G16" i="262"/>
  <c r="H15" i="262"/>
  <c r="G15" i="262"/>
  <c r="H14" i="262"/>
  <c r="G14" i="262"/>
  <c r="H13" i="262"/>
  <c r="G13" i="262"/>
  <c r="H12" i="262"/>
  <c r="G12" i="262"/>
  <c r="F11" i="262"/>
  <c r="F22" i="262"/>
  <c r="C6" i="262"/>
  <c r="F133" i="262"/>
  <c r="E33" i="262"/>
  <c r="F33" i="262"/>
  <c r="H83" i="261"/>
  <c r="G83" i="261"/>
  <c r="F83" i="261"/>
  <c r="E83" i="261"/>
  <c r="D83" i="261"/>
  <c r="C83" i="261"/>
  <c r="H40" i="261"/>
  <c r="G40" i="261"/>
  <c r="H39" i="261"/>
  <c r="G39" i="261"/>
  <c r="H38" i="261"/>
  <c r="G38" i="261"/>
  <c r="H37" i="261"/>
  <c r="G37" i="261"/>
  <c r="H36" i="261"/>
  <c r="G36" i="261"/>
  <c r="H35" i="261"/>
  <c r="G35" i="261"/>
  <c r="H34" i="261"/>
  <c r="G34" i="261"/>
  <c r="H29" i="261"/>
  <c r="H28" i="261"/>
  <c r="G28" i="261"/>
  <c r="H27" i="261"/>
  <c r="G27" i="261"/>
  <c r="H26" i="261"/>
  <c r="G26" i="261"/>
  <c r="H25" i="261"/>
  <c r="G25" i="261"/>
  <c r="H24" i="261"/>
  <c r="G24" i="261"/>
  <c r="H23" i="261"/>
  <c r="G23" i="261"/>
  <c r="E22" i="261"/>
  <c r="H18" i="261"/>
  <c r="G18" i="261"/>
  <c r="H17" i="261"/>
  <c r="G17" i="261"/>
  <c r="H16" i="261"/>
  <c r="G16" i="261"/>
  <c r="H15" i="261"/>
  <c r="G15" i="261"/>
  <c r="H14" i="261"/>
  <c r="G14" i="261"/>
  <c r="H13" i="261"/>
  <c r="G13" i="261"/>
  <c r="H12" i="261"/>
  <c r="G12" i="261"/>
  <c r="F22" i="261"/>
  <c r="F133" i="261"/>
  <c r="E33" i="261"/>
  <c r="F33" i="261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<sst xmlns="http://schemas.openxmlformats.org/spreadsheetml/2006/main" count="1637" uniqueCount="68">
  <si>
    <t>Физические лица</t>
  </si>
  <si>
    <t>Юридические лица</t>
  </si>
  <si>
    <t>Нерезиденты</t>
  </si>
  <si>
    <t>Клиенты, передавшие свои средства в ДУ</t>
  </si>
  <si>
    <t>Всего</t>
  </si>
  <si>
    <t>Абсолютные показатели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</si>
  <si>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</si>
  <si>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</si>
  <si>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</si>
  <si>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</si>
  <si>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</si>
  <si>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</si>
  <si>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</si>
  <si>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</si>
  <si>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</si>
  <si>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Клиенты Участников торгов Фондовой биржи ММВБ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</si>
  <si>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</si>
  <si>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</si>
  <si>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Группы клиентов</t>
  </si>
  <si>
    <t>Наименование Участника торгов</t>
  </si>
  <si>
    <t xml:space="preserve">Динамика количества клиентов за </t>
  </si>
  <si>
    <t xml:space="preserve">Списки ведущих операторов фондового рынка - клиенты Участников торгов за </t>
  </si>
  <si>
    <t>Количество Участников торгов, имеющих активных клиентов</t>
  </si>
  <si>
    <t xml:space="preserve">Нерезиденты - физические лица </t>
  </si>
  <si>
    <t xml:space="preserve">Нерезиденты - юридические лица </t>
  </si>
  <si>
    <t>Дополнительные показатели за</t>
  </si>
  <si>
    <t>Участники торгов</t>
  </si>
  <si>
    <t>Ведущие операторы рынка – число зарегистрированных клиентов</t>
  </si>
  <si>
    <t xml:space="preserve">(по общему количеству уникальных клиентов всех типов, зарегистрированных в системе торгов биржи, в том числе  в течение месяца) </t>
  </si>
  <si>
    <t>(по количеству уникальных клиентов, совершивших хотя бы одну сделку за месяц)</t>
  </si>
  <si>
    <t xml:space="preserve">(по стоимостному объему сделок, заключенных в интересах клиентов за месяц) </t>
  </si>
  <si>
    <t>ВТБ 24 (ЗАО)</t>
  </si>
  <si>
    <t>Сбербанк</t>
  </si>
  <si>
    <t>ЗАО "ФИНАМ"</t>
  </si>
  <si>
    <t>ФГ БКС</t>
  </si>
  <si>
    <t>ОАО "АЛЬФА-БАНК"</t>
  </si>
  <si>
    <t>ООО "АТОН"</t>
  </si>
  <si>
    <t xml:space="preserve">ФК "ОТКРЫТИЕ" </t>
  </si>
  <si>
    <t>ГК "АЛОР"</t>
  </si>
  <si>
    <t>КИТ Финанс (ООО)</t>
  </si>
  <si>
    <t>ООО "Инвестиционная палата"</t>
  </si>
  <si>
    <t>ГПБ (ОАО)</t>
  </si>
  <si>
    <t>ИК "Ренессанс Капитал"</t>
  </si>
  <si>
    <t>ОАО "Промсвязьбанк"</t>
  </si>
  <si>
    <t>ООО "РОНИН"</t>
  </si>
  <si>
    <t>ООО "ИК ВЕЛЕС Капитал"</t>
  </si>
  <si>
    <t>ООО "БК РЕГИОН"</t>
  </si>
  <si>
    <t>ООО "НЭТТРЭЙДЕР"</t>
  </si>
  <si>
    <t>ЗАО "БАНК КРЕДИТ СВИСС (МОСКВА)"</t>
  </si>
  <si>
    <t xml:space="preserve">Март 2014 </t>
  </si>
  <si>
    <t>Количество зарегистрированных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</si>
  <si>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</si>
  <si>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 (ежегодная статистика):</t>
  </si>
  <si>
    <t>Количество уникальных клиентов в Системе торгов (по состоянию на последний день месяца) (за последние 6 месяцев):</t>
  </si>
  <si>
    <t xml:space="preserve">Апрель 2014 </t>
  </si>
  <si>
    <t xml:space="preserve">Май 2014 </t>
  </si>
  <si>
    <t xml:space="preserve">ФГ "ОТКРЫТИЕ" </t>
  </si>
  <si>
    <t xml:space="preserve">Июнь 2014 </t>
  </si>
  <si>
    <t>ОАО Банк "Петрокоммерц"</t>
  </si>
  <si>
    <t xml:space="preserve">Июль 2014 </t>
  </si>
  <si>
    <t xml:space="preserve">Август 2014 </t>
  </si>
  <si>
    <t xml:space="preserve">ООО "Ренессанс Брокер" </t>
  </si>
  <si>
    <t>НБ "ТРАСТ" (ОАО)</t>
  </si>
  <si>
    <t xml:space="preserve">Сентябрь 2014 </t>
  </si>
  <si>
    <t>ОАО "УБРиР"</t>
  </si>
  <si>
    <t xml:space="preserve">Октябрь 2014 </t>
  </si>
  <si>
    <t>ФГ "ОТКРЫТИЕ"</t>
  </si>
  <si>
    <t xml:space="preserve">Ноябрь 2014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</si>
</sst>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&quot;р.&quot;_-;\-* #,##0.00&quot;р.&quot;_-;_-* &quot;-&quot;??&quot;р.&quot;_-;_-@_-"/>
    <numFmt numFmtId="165" formatCode="_(* #,##0.00_);_(* \(#,##0.00\);_(* &quot;-&quot;??_);_(@_)"/>
    <numFmt numFmtId="166" formatCode="_-* #,##0_р_._-;\-* #,##0_р_._-;_-* &quot;-&quot;??_р_._-;_-@_-"/>
    <numFmt numFmtId="167" formatCode="[$-419]mmmm\ yyyy;@"/>
  </numFmts>
  <fonts count="53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b/>
      <i/>
      <sz val="8"/>
      <name val="Tahoma"/>
      <family val="2"/>
      <charset val="204"/>
    </font>
    <font>
      <sz val="9"/>
      <color theme="1"/>
      <name val="Arial_Cyr"/>
      <charset val="204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76">
    <xf numFmtId="0" fontId="0" fillId="0" borderId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4" fillId="34" borderId="21" applyNumberFormat="0" applyAlignment="0" applyProtection="0"/>
    <xf numFmtId="0" fontId="35" fillId="35" borderId="22" applyNumberFormat="0" applyAlignment="0" applyProtection="0"/>
    <xf numFmtId="0" fontId="36" fillId="35" borderId="21" applyNumberFormat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6" applyNumberFormat="0" applyFill="0" applyAlignment="0" applyProtection="0"/>
    <xf numFmtId="0" fontId="41" fillId="36" borderId="27" applyNumberFormat="0" applyAlignment="0" applyProtection="0"/>
    <xf numFmtId="0" fontId="42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32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16" fillId="0" borderId="0"/>
    <xf numFmtId="0" fontId="44" fillId="38" borderId="0" applyNumberFormat="0" applyBorder="0" applyAlignment="0" applyProtection="0"/>
    <xf numFmtId="0" fontId="45" fillId="0" borderId="0" applyNumberFormat="0" applyFill="0" applyBorder="0" applyAlignment="0" applyProtection="0"/>
    <xf numFmtId="0" fontId="32" fillId="39" borderId="28" applyNumberFormat="0" applyFont="0" applyAlignment="0" applyProtection="0"/>
    <xf numFmtId="9" fontId="15" fillId="0" borderId="0" applyFont="0" applyFill="0" applyBorder="0" applyAlignment="0" applyProtection="0"/>
    <xf numFmtId="0" fontId="46" fillId="0" borderId="29" applyNumberFormat="0" applyFill="0" applyAlignment="0" applyProtection="0"/>
    <xf numFmtId="0" fontId="47" fillId="0" borderId="0" applyNumberFormat="0" applyFill="0" applyBorder="0" applyAlignment="0" applyProtection="0"/>
    <xf numFmtId="165" fontId="15" fillId="0" borderId="0" applyFont="0" applyFill="0" applyBorder="0" applyAlignment="0" applyProtection="0"/>
    <xf numFmtId="0" fontId="48" fillId="40" borderId="0" applyNumberFormat="0" applyBorder="0" applyAlignment="0" applyProtection="0"/>
    <xf numFmtId="0" fontId="14" fillId="0" borderId="0"/>
    <xf numFmtId="0" fontId="14" fillId="39" borderId="28" applyNumberFormat="0" applyFont="0" applyAlignment="0" applyProtection="0"/>
    <xf numFmtId="0" fontId="14" fillId="10" borderId="0" applyNumberFormat="0" applyBorder="0" applyAlignment="0" applyProtection="0"/>
    <xf numFmtId="0" fontId="14" fillId="16" borderId="0" applyNumberFormat="0" applyBorder="0" applyAlignment="0" applyProtection="0"/>
    <xf numFmtId="0" fontId="14" fillId="11" borderId="0" applyNumberFormat="0" applyBorder="0" applyAlignment="0" applyProtection="0"/>
    <xf numFmtId="0" fontId="14" fillId="17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20" borderId="0" applyNumberFormat="0" applyBorder="0" applyAlignment="0" applyProtection="0"/>
    <xf numFmtId="0" fontId="14" fillId="15" borderId="0" applyNumberFormat="0" applyBorder="0" applyAlignment="0" applyProtection="0"/>
    <xf numFmtId="0" fontId="14" fillId="21" borderId="0" applyNumberFormat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39" borderId="28" applyNumberFormat="0" applyFont="0" applyAlignment="0" applyProtection="0"/>
    <xf numFmtId="0" fontId="9" fillId="10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9" borderId="0" applyNumberFormat="0" applyBorder="0" applyAlignment="0" applyProtection="0"/>
    <xf numFmtId="0" fontId="9" fillId="14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39" borderId="28" applyNumberFormat="0" applyFont="0" applyAlignment="0" applyProtection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5" fillId="0" borderId="0"/>
    <xf numFmtId="0" fontId="5" fillId="39" borderId="28" applyNumberFormat="0" applyFont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3" fillId="0" borderId="0"/>
    <xf numFmtId="0" fontId="3" fillId="39" borderId="28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0" borderId="0"/>
    <xf numFmtId="0" fontId="2" fillId="39" borderId="28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49" fillId="0" borderId="0"/>
    <xf numFmtId="0" fontId="50" fillId="0" borderId="0"/>
    <xf numFmtId="164" fontId="15" fillId="0" borderId="0" applyFont="0" applyFill="0" applyBorder="0" applyAlignment="0" applyProtection="0"/>
    <xf numFmtId="0" fontId="1" fillId="0" borderId="0"/>
  </cellStyleXfs>
  <cellXfs count="200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3" fontId="23" fillId="0" borderId="0" xfId="0" applyNumberFormat="1" applyFont="1" applyBorder="1"/>
    <xf numFmtId="166" fontId="23" fillId="0" borderId="0" xfId="48" applyNumberFormat="1" applyFont="1" applyBorder="1"/>
    <xf numFmtId="0" fontId="24" fillId="0" borderId="0" xfId="0" applyFont="1" applyBorder="1" applyAlignment="1">
      <alignment horizontal="justify" vertical="center"/>
    </xf>
    <xf numFmtId="0" fontId="24" fillId="0" borderId="0" xfId="0" applyFont="1" applyBorder="1" applyAlignment="1">
      <alignment horizontal="center" vertical="center"/>
    </xf>
    <xf numFmtId="3" fontId="21" fillId="0" borderId="4" xfId="0" applyNumberFormat="1" applyFont="1" applyBorder="1" applyAlignment="1">
      <alignment vertical="center"/>
    </xf>
    <xf numFmtId="0" fontId="24" fillId="2" borderId="5" xfId="0" applyFont="1" applyFill="1" applyBorder="1" applyAlignment="1">
      <alignment vertical="center"/>
    </xf>
    <xf numFmtId="0" fontId="24" fillId="4" borderId="5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horizontal="right" vertical="center"/>
    </xf>
    <xf numFmtId="0" fontId="21" fillId="0" borderId="3" xfId="0" applyFont="1" applyBorder="1" applyAlignment="1">
      <alignment horizontal="right" vertical="center" wrapText="1"/>
    </xf>
    <xf numFmtId="0" fontId="20" fillId="4" borderId="0" xfId="0" applyFont="1" applyFill="1" applyAlignment="1">
      <alignment vertical="center"/>
    </xf>
    <xf numFmtId="0" fontId="20" fillId="4" borderId="0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horizontal="right" vertical="center"/>
    </xf>
    <xf numFmtId="0" fontId="17" fillId="6" borderId="8" xfId="0" applyFont="1" applyFill="1" applyBorder="1" applyAlignment="1">
      <alignment vertical="center"/>
    </xf>
    <xf numFmtId="0" fontId="17" fillId="7" borderId="9" xfId="0" applyFont="1" applyFill="1" applyBorder="1" applyAlignment="1">
      <alignment vertical="center"/>
    </xf>
    <xf numFmtId="0" fontId="18" fillId="8" borderId="10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 wrapText="1"/>
    </xf>
    <xf numFmtId="0" fontId="20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20" fillId="3" borderId="5" xfId="0" applyFont="1" applyFill="1" applyBorder="1" applyAlignment="1">
      <alignment vertical="center"/>
    </xf>
    <xf numFmtId="0" fontId="19" fillId="0" borderId="6" xfId="0" applyFont="1" applyBorder="1" applyAlignment="1">
      <alignment vertical="center" wrapText="1"/>
    </xf>
    <xf numFmtId="0" fontId="20" fillId="9" borderId="0" xfId="0" applyFont="1" applyFill="1" applyAlignment="1">
      <alignment vertical="center"/>
    </xf>
    <xf numFmtId="0" fontId="20" fillId="9" borderId="0" xfId="0" applyFont="1" applyFill="1" applyBorder="1" applyAlignment="1">
      <alignment vertical="center"/>
    </xf>
    <xf numFmtId="0" fontId="20" fillId="9" borderId="5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20" fillId="3" borderId="5" xfId="0" applyFont="1" applyFill="1" applyBorder="1" applyAlignment="1">
      <alignment horizontal="right" vertical="center"/>
    </xf>
    <xf numFmtId="0" fontId="21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horizontal="right" vertical="center"/>
    </xf>
    <xf numFmtId="0" fontId="25" fillId="0" borderId="0" xfId="0" applyFont="1" applyBorder="1" applyAlignment="1">
      <alignment horizontal="left" vertical="center" wrapText="1"/>
    </xf>
    <xf numFmtId="3" fontId="25" fillId="0" borderId="0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vertical="center" wrapText="1"/>
    </xf>
    <xf numFmtId="3" fontId="23" fillId="0" borderId="0" xfId="0" applyNumberFormat="1" applyFont="1" applyBorder="1" applyAlignment="1">
      <alignment vertical="center"/>
    </xf>
    <xf numFmtId="10" fontId="23" fillId="0" borderId="0" xfId="45" applyNumberFormat="1" applyFont="1" applyBorder="1" applyAlignment="1">
      <alignment vertical="center"/>
    </xf>
    <xf numFmtId="0" fontId="21" fillId="0" borderId="3" xfId="0" applyFont="1" applyFill="1" applyBorder="1" applyAlignment="1">
      <alignment horizontal="right" vertical="center" wrapText="1"/>
    </xf>
    <xf numFmtId="0" fontId="21" fillId="0" borderId="0" xfId="0" applyFont="1" applyFill="1" applyAlignment="1">
      <alignment vertical="center" wrapText="1"/>
    </xf>
    <xf numFmtId="0" fontId="28" fillId="0" borderId="0" xfId="38" applyFont="1" applyFill="1" applyBorder="1" applyAlignment="1"/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3" fontId="16" fillId="0" borderId="0" xfId="41" applyNumberFormat="1" applyBorder="1"/>
    <xf numFmtId="0" fontId="31" fillId="0" borderId="0" xfId="40" applyFont="1" applyFill="1" applyBorder="1" applyAlignment="1">
      <alignment horizontal="left"/>
    </xf>
    <xf numFmtId="0" fontId="0" fillId="0" borderId="0" xfId="0" applyBorder="1"/>
    <xf numFmtId="0" fontId="28" fillId="0" borderId="0" xfId="37" applyFont="1" applyFill="1" applyBorder="1" applyAlignment="1"/>
    <xf numFmtId="0" fontId="16" fillId="0" borderId="0" xfId="41" applyBorder="1"/>
    <xf numFmtId="0" fontId="28" fillId="0" borderId="0" xfId="39" applyFont="1" applyFill="1" applyBorder="1" applyAlignment="1"/>
    <xf numFmtId="3" fontId="28" fillId="0" borderId="0" xfId="39" applyNumberFormat="1" applyFont="1" applyFill="1" applyBorder="1" applyAlignment="1">
      <alignment horizontal="right"/>
    </xf>
    <xf numFmtId="3" fontId="28" fillId="0" borderId="0" xfId="39" applyNumberFormat="1" applyFont="1" applyFill="1" applyBorder="1" applyAlignment="1">
      <alignment horizontal="left"/>
    </xf>
    <xf numFmtId="3" fontId="21" fillId="0" borderId="0" xfId="0" applyNumberFormat="1" applyFont="1" applyAlignment="1">
      <alignment vertical="center"/>
    </xf>
    <xf numFmtId="10" fontId="21" fillId="0" borderId="4" xfId="45" applyNumberFormat="1" applyFont="1" applyBorder="1" applyAlignment="1">
      <alignment vertical="center"/>
    </xf>
    <xf numFmtId="0" fontId="24" fillId="0" borderId="3" xfId="0" applyFont="1" applyFill="1" applyBorder="1" applyAlignment="1">
      <alignment horizontal="right" vertical="center"/>
    </xf>
    <xf numFmtId="0" fontId="24" fillId="0" borderId="6" xfId="0" applyFont="1" applyFill="1" applyBorder="1" applyAlignment="1">
      <alignment horizontal="right" vertical="center"/>
    </xf>
    <xf numFmtId="14" fontId="24" fillId="3" borderId="5" xfId="0" applyNumberFormat="1" applyFont="1" applyFill="1" applyBorder="1" applyAlignment="1">
      <alignment vertical="center"/>
    </xf>
    <xf numFmtId="3" fontId="17" fillId="6" borderId="8" xfId="0" applyNumberFormat="1" applyFont="1" applyFill="1" applyBorder="1" applyAlignment="1">
      <alignment vertical="center"/>
    </xf>
    <xf numFmtId="3" fontId="17" fillId="7" borderId="9" xfId="0" applyNumberFormat="1" applyFont="1" applyFill="1" applyBorder="1" applyAlignment="1">
      <alignment vertical="center"/>
    </xf>
    <xf numFmtId="3" fontId="18" fillId="8" borderId="10" xfId="0" applyNumberFormat="1" applyFont="1" applyFill="1" applyBorder="1" applyAlignment="1">
      <alignment vertical="center"/>
    </xf>
    <xf numFmtId="3" fontId="17" fillId="5" borderId="11" xfId="0" applyNumberFormat="1" applyFont="1" applyFill="1" applyBorder="1" applyAlignment="1">
      <alignment vertical="center" wrapText="1"/>
    </xf>
    <xf numFmtId="3" fontId="24" fillId="0" borderId="6" xfId="0" applyNumberFormat="1" applyFont="1" applyBorder="1" applyAlignment="1">
      <alignment horizontal="right" vertical="center"/>
    </xf>
    <xf numFmtId="167" fontId="20" fillId="4" borderId="0" xfId="0" applyNumberFormat="1" applyFont="1" applyFill="1" applyAlignment="1">
      <alignment vertical="center"/>
    </xf>
    <xf numFmtId="10" fontId="24" fillId="0" borderId="3" xfId="45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3" fontId="24" fillId="0" borderId="3" xfId="0" applyNumberFormat="1" applyFont="1" applyFill="1" applyBorder="1" applyAlignment="1">
      <alignment horizontal="right" vertical="center"/>
    </xf>
    <xf numFmtId="167" fontId="24" fillId="0" borderId="3" xfId="0" applyNumberFormat="1" applyFont="1" applyBorder="1" applyAlignment="1">
      <alignment horizontal="right" vertical="center" wrapText="1"/>
    </xf>
    <xf numFmtId="167" fontId="20" fillId="9" borderId="0" xfId="0" applyNumberFormat="1" applyFont="1" applyFill="1" applyAlignment="1">
      <alignment vertical="center"/>
    </xf>
    <xf numFmtId="167" fontId="24" fillId="0" borderId="3" xfId="0" applyNumberFormat="1" applyFont="1" applyFill="1" applyBorder="1" applyAlignment="1">
      <alignment vertical="center" wrapText="1"/>
    </xf>
    <xf numFmtId="167" fontId="20" fillId="3" borderId="0" xfId="0" applyNumberFormat="1" applyFont="1" applyFill="1" applyBorder="1" applyAlignment="1">
      <alignment vertical="center"/>
    </xf>
    <xf numFmtId="167" fontId="24" fillId="3" borderId="5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Fill="1" applyAlignment="1">
      <alignment vertical="center"/>
    </xf>
    <xf numFmtId="1" fontId="0" fillId="0" borderId="0" xfId="0" applyNumberFormat="1"/>
    <xf numFmtId="3" fontId="25" fillId="0" borderId="4" xfId="0" applyNumberFormat="1" applyFont="1" applyBorder="1" applyAlignment="1">
      <alignment vertical="center" wrapText="1"/>
    </xf>
    <xf numFmtId="3" fontId="25" fillId="5" borderId="5" xfId="0" applyNumberFormat="1" applyFont="1" applyFill="1" applyBorder="1"/>
    <xf numFmtId="3" fontId="25" fillId="6" borderId="7" xfId="0" applyNumberFormat="1" applyFont="1" applyFill="1" applyBorder="1"/>
    <xf numFmtId="3" fontId="25" fillId="7" borderId="1" xfId="0" applyNumberFormat="1" applyFont="1" applyFill="1" applyBorder="1"/>
    <xf numFmtId="3" fontId="24" fillId="0" borderId="3" xfId="0" applyNumberFormat="1" applyFont="1" applyBorder="1" applyAlignment="1">
      <alignment horizontal="right"/>
    </xf>
    <xf numFmtId="3" fontId="26" fillId="8" borderId="1" xfId="0" applyNumberFormat="1" applyFont="1" applyFill="1" applyBorder="1"/>
    <xf numFmtId="3" fontId="25" fillId="0" borderId="4" xfId="0" applyNumberFormat="1" applyFont="1" applyFill="1" applyBorder="1" applyAlignment="1">
      <alignment vertical="center" wrapText="1"/>
    </xf>
    <xf numFmtId="4" fontId="21" fillId="0" borderId="0" xfId="0" applyNumberFormat="1" applyFont="1" applyFill="1" applyAlignment="1">
      <alignment vertical="center"/>
    </xf>
    <xf numFmtId="2" fontId="0" fillId="0" borderId="0" xfId="0" applyNumberFormat="1"/>
    <xf numFmtId="0" fontId="24" fillId="9" borderId="0" xfId="0" applyFont="1" applyFill="1" applyBorder="1" applyAlignment="1">
      <alignment vertical="center"/>
    </xf>
    <xf numFmtId="0" fontId="51" fillId="9" borderId="5" xfId="0" applyFont="1" applyFill="1" applyBorder="1" applyAlignment="1">
      <alignment vertical="center"/>
    </xf>
    <xf numFmtId="0" fontId="24" fillId="0" borderId="6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49" fontId="20" fillId="3" borderId="0" xfId="0" applyNumberFormat="1" applyFont="1" applyFill="1" applyBorder="1" applyAlignment="1">
      <alignment vertical="center"/>
    </xf>
    <xf numFmtId="3" fontId="0" fillId="0" borderId="0" xfId="0" applyNumberFormat="1"/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5" fillId="0" borderId="7" xfId="0" applyFont="1" applyBorder="1" applyAlignment="1">
      <alignment vertical="center" wrapText="1"/>
    </xf>
    <xf numFmtId="0" fontId="25" fillId="0" borderId="8" xfId="0" applyFont="1" applyBorder="1" applyAlignment="1">
      <alignment vertical="center" wrapText="1"/>
    </xf>
    <xf numFmtId="0" fontId="25" fillId="0" borderId="1" xfId="0" applyFont="1" applyBorder="1" applyAlignment="1">
      <alignment vertical="center" wrapText="1"/>
    </xf>
    <xf numFmtId="0" fontId="25" fillId="0" borderId="9" xfId="0" applyFont="1" applyBorder="1" applyAlignment="1">
      <alignment vertical="center" wrapText="1"/>
    </xf>
    <xf numFmtId="164" fontId="25" fillId="0" borderId="1" xfId="674" applyFont="1" applyBorder="1" applyAlignment="1">
      <alignment vertical="center" wrapText="1"/>
    </xf>
    <xf numFmtId="164" fontId="25" fillId="0" borderId="9" xfId="674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4" fillId="0" borderId="6" xfId="0" applyFont="1" applyBorder="1" applyAlignment="1">
      <alignment horizontal="right" vertical="center"/>
    </xf>
    <xf numFmtId="167" fontId="20" fillId="3" borderId="0" xfId="0" applyNumberFormat="1" applyFont="1" applyFill="1" applyAlignment="1">
      <alignment vertical="center"/>
    </xf>
    <xf numFmtId="3" fontId="52" fillId="0" borderId="0" xfId="0" applyNumberFormat="1" applyFont="1"/>
    <xf numFmtId="0" fontId="25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164" fontId="25" fillId="0" borderId="1" xfId="674" applyFont="1" applyBorder="1" applyAlignment="1">
      <alignment horizontal="left" vertical="center" wrapText="1"/>
    </xf>
    <xf numFmtId="164" fontId="25" fillId="0" borderId="9" xfId="674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17" xfId="0" applyFont="1" applyBorder="1" applyAlignment="1">
      <alignment horizontal="left" vertical="center" wrapText="1"/>
    </xf>
    <xf numFmtId="3" fontId="25" fillId="0" borderId="18" xfId="0" applyNumberFormat="1" applyFont="1" applyBorder="1" applyAlignment="1">
      <alignment horizontal="right" vertical="center" wrapText="1"/>
    </xf>
    <xf numFmtId="3" fontId="25" fillId="0" borderId="7" xfId="0" applyNumberFormat="1" applyFont="1" applyBorder="1" applyAlignment="1">
      <alignment horizontal="right" vertical="center" wrapText="1"/>
    </xf>
    <xf numFmtId="3" fontId="25" fillId="0" borderId="19" xfId="0" applyNumberFormat="1" applyFont="1" applyBorder="1" applyAlignment="1">
      <alignment horizontal="right" vertical="center" wrapText="1"/>
    </xf>
    <xf numFmtId="3" fontId="25" fillId="0" borderId="1" xfId="0" applyNumberFormat="1" applyFont="1" applyBorder="1" applyAlignment="1">
      <alignment horizontal="right" vertical="center" wrapText="1"/>
    </xf>
    <xf numFmtId="3" fontId="25" fillId="0" borderId="19" xfId="674" applyNumberFormat="1" applyFont="1" applyBorder="1" applyAlignment="1">
      <alignment horizontal="right" vertical="center" wrapText="1"/>
    </xf>
    <xf numFmtId="3" fontId="25" fillId="0" borderId="1" xfId="674" applyNumberFormat="1" applyFont="1" applyBorder="1" applyAlignment="1">
      <alignment horizontal="right" vertical="center" wrapText="1"/>
    </xf>
    <xf numFmtId="3" fontId="25" fillId="0" borderId="20" xfId="0" applyNumberFormat="1" applyFont="1" applyBorder="1" applyAlignment="1">
      <alignment horizontal="right" vertical="center" wrapText="1"/>
    </xf>
    <xf numFmtId="3" fontId="25" fillId="0" borderId="12" xfId="0" applyNumberFormat="1" applyFont="1" applyBorder="1" applyAlignment="1">
      <alignment horizontal="right" vertical="center" wrapText="1"/>
    </xf>
    <xf numFmtId="0" fontId="27" fillId="0" borderId="0" xfId="0" applyFont="1" applyAlignment="1">
      <alignment horizontal="center" vertical="center"/>
    </xf>
    <xf numFmtId="167" fontId="27" fillId="0" borderId="15" xfId="0" applyNumberFormat="1" applyFont="1" applyBorder="1" applyAlignment="1">
      <alignment horizontal="center" vertical="center"/>
    </xf>
    <xf numFmtId="0" fontId="24" fillId="0" borderId="3" xfId="0" applyFont="1" applyFill="1" applyBorder="1" applyAlignment="1">
      <alignment horizontal="left" vertical="center" wrapText="1"/>
    </xf>
    <xf numFmtId="0" fontId="24" fillId="0" borderId="6" xfId="0" applyFont="1" applyFill="1" applyBorder="1" applyAlignment="1">
      <alignment horizontal="left" vertical="center" wrapText="1"/>
    </xf>
    <xf numFmtId="0" fontId="25" fillId="0" borderId="4" xfId="0" applyFont="1" applyFill="1" applyBorder="1" applyAlignment="1">
      <alignment horizontal="left" vertical="center" wrapText="1"/>
    </xf>
    <xf numFmtId="0" fontId="25" fillId="0" borderId="10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25" fillId="0" borderId="9" xfId="0" applyFont="1" applyFill="1" applyBorder="1" applyAlignment="1">
      <alignment horizontal="left" vertical="center" wrapText="1"/>
    </xf>
    <xf numFmtId="3" fontId="25" fillId="0" borderId="18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3" fontId="25" fillId="0" borderId="19" xfId="0" applyNumberFormat="1" applyFont="1" applyBorder="1" applyAlignment="1">
      <alignment horizontal="right" vertical="center"/>
    </xf>
    <xf numFmtId="3" fontId="25" fillId="0" borderId="1" xfId="0" applyNumberFormat="1" applyFont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 wrapText="1" indent="1"/>
    </xf>
    <xf numFmtId="0" fontId="25" fillId="0" borderId="9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 indent="1"/>
    </xf>
    <xf numFmtId="0" fontId="25" fillId="0" borderId="16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/>
    </xf>
    <xf numFmtId="0" fontId="25" fillId="0" borderId="16" xfId="0" applyFont="1" applyFill="1" applyBorder="1" applyAlignment="1">
      <alignment horizontal="left" vertical="center" wrapText="1"/>
    </xf>
    <xf numFmtId="0" fontId="24" fillId="0" borderId="3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0" fillId="2" borderId="5" xfId="0" applyFont="1" applyFill="1" applyBorder="1" applyAlignment="1">
      <alignment horizontal="center" vertical="center"/>
    </xf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7" borderId="1" xfId="0" applyFont="1" applyFill="1" applyBorder="1" applyAlignment="1">
      <alignment horizontal="left" vertical="center"/>
    </xf>
    <xf numFmtId="0" fontId="25" fillId="7" borderId="9" xfId="0" applyFont="1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left" vertical="center"/>
    </xf>
    <xf numFmtId="0" fontId="25" fillId="5" borderId="5" xfId="0" applyFont="1" applyFill="1" applyBorder="1" applyAlignment="1">
      <alignment horizontal="left" vertical="center" wrapText="1"/>
    </xf>
    <xf numFmtId="0" fontId="25" fillId="5" borderId="11" xfId="0" applyFont="1" applyFill="1" applyBorder="1" applyAlignment="1">
      <alignment horizontal="left" vertical="center" wrapText="1"/>
    </xf>
    <xf numFmtId="0" fontId="25" fillId="0" borderId="4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 wrapText="1"/>
    </xf>
    <xf numFmtId="0" fontId="25" fillId="0" borderId="16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1" fontId="25" fillId="0" borderId="20" xfId="45" applyNumberFormat="1" applyFont="1" applyBorder="1" applyAlignment="1">
      <alignment horizontal="center" vertical="center"/>
    </xf>
    <xf numFmtId="1" fontId="25" fillId="0" borderId="17" xfId="45" applyNumberFormat="1" applyFont="1" applyBorder="1" applyAlignment="1">
      <alignment horizontal="center" vertical="center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14" fontId="24" fillId="0" borderId="3" xfId="0" applyNumberFormat="1" applyFont="1" applyFill="1" applyBorder="1" applyAlignment="1">
      <alignment horizontal="right" vertical="center" wrapText="1"/>
    </xf>
    <xf numFmtId="0" fontId="24" fillId="0" borderId="3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0" xfId="0" applyFont="1" applyBorder="1" applyAlignment="1">
      <alignment horizontal="left" vertical="center" wrapText="1"/>
    </xf>
    <xf numFmtId="14" fontId="24" fillId="0" borderId="30" xfId="0" applyNumberFormat="1" applyFont="1" applyBorder="1" applyAlignment="1">
      <alignment horizontal="center" vertical="center" wrapText="1"/>
    </xf>
    <xf numFmtId="14" fontId="24" fillId="0" borderId="13" xfId="0" applyNumberFormat="1" applyFont="1" applyBorder="1" applyAlignment="1">
      <alignment horizontal="center" vertical="center" wrapText="1"/>
    </xf>
    <xf numFmtId="3" fontId="25" fillId="0" borderId="20" xfId="0" applyNumberFormat="1" applyFont="1" applyBorder="1" applyAlignment="1">
      <alignment horizontal="right" vertical="center"/>
    </xf>
    <xf numFmtId="3" fontId="25" fillId="0" borderId="12" xfId="0" applyNumberFormat="1" applyFont="1" applyBorder="1" applyAlignment="1">
      <alignment horizontal="right" vertical="center"/>
    </xf>
    <xf numFmtId="1" fontId="25" fillId="0" borderId="12" xfId="45" applyNumberFormat="1" applyFont="1" applyBorder="1" applyAlignment="1">
      <alignment horizontal="center" vertical="center"/>
    </xf>
    <xf numFmtId="14" fontId="24" fillId="0" borderId="13" xfId="0" applyNumberFormat="1" applyFont="1" applyFill="1" applyBorder="1" applyAlignment="1">
      <alignment horizontal="right" vertical="center" wrapText="1"/>
    </xf>
  </cellXfs>
  <cellStyles count="676">
    <cellStyle name="20% - Акцент1" xfId="1" builtinId="30" customBuiltin="1"/>
    <cellStyle name="20% - Акцент1 10" xfId="646"/>
    <cellStyle name="20% - Акцент1 11" xfId="660"/>
    <cellStyle name="20% - Акцент1 2" xfId="52"/>
    <cellStyle name="20% - Акцент1 2 2" xfId="98"/>
    <cellStyle name="20% - Акцент1 2 2 2" xfId="190"/>
    <cellStyle name="20% - Акцент1 2 2 2 2" xfId="540"/>
    <cellStyle name="20% - Акцент1 2 2 3" xfId="448"/>
    <cellStyle name="20% - Акцент1 2 2 4" xfId="356"/>
    <cellStyle name="20% - Акцент1 2 3" xfId="144"/>
    <cellStyle name="20% - Акцент1 2 3 2" xfId="494"/>
    <cellStyle name="20% - Акцент1 2 4" xfId="236"/>
    <cellStyle name="20% - Акцент1 2 4 2" xfId="586"/>
    <cellStyle name="20% - Акцент1 2 5" xfId="402"/>
    <cellStyle name="20% - Акцент1 2 6" xfId="310"/>
    <cellStyle name="20% - Акцент1 3" xfId="70"/>
    <cellStyle name="20% - Акцент1 3 2" xfId="116"/>
    <cellStyle name="20% - Акцент1 3 2 2" xfId="208"/>
    <cellStyle name="20% - Акцент1 3 2 2 2" xfId="558"/>
    <cellStyle name="20% - Акцент1 3 2 3" xfId="466"/>
    <cellStyle name="20% - Акцент1 3 2 4" xfId="374"/>
    <cellStyle name="20% - Акцент1 3 3" xfId="162"/>
    <cellStyle name="20% - Акцент1 3 3 2" xfId="512"/>
    <cellStyle name="20% - Акцент1 3 4" xfId="254"/>
    <cellStyle name="20% - Акцент1 3 4 2" xfId="604"/>
    <cellStyle name="20% - Акцент1 3 5" xfId="420"/>
    <cellStyle name="20% - Акцент1 3 6" xfId="328"/>
    <cellStyle name="20% - Акцент1 4" xfId="82"/>
    <cellStyle name="20% - Акцент1 4 2" xfId="174"/>
    <cellStyle name="20% - Акцент1 4 2 2" xfId="524"/>
    <cellStyle name="20% - Акцент1 4 3" xfId="268"/>
    <cellStyle name="20% - Акцент1 4 3 2" xfId="618"/>
    <cellStyle name="20% - Акцент1 4 4" xfId="432"/>
    <cellStyle name="20% - Акцент1 4 5" xfId="340"/>
    <cellStyle name="20% - Акцент1 5" xfId="128"/>
    <cellStyle name="20% - Акцент1 5 2" xfId="478"/>
    <cellStyle name="20% - Акцент1 6" xfId="220"/>
    <cellStyle name="20% - Акцент1 6 2" xfId="570"/>
    <cellStyle name="20% - Акцент1 7" xfId="282"/>
    <cellStyle name="20% - Акцент1 7 2" xfId="632"/>
    <cellStyle name="20% - Акцент1 8" xfId="386"/>
    <cellStyle name="20% - Акцент1 9" xfId="294"/>
    <cellStyle name="20% - Акцент2" xfId="2" builtinId="34" customBuiltin="1"/>
    <cellStyle name="20% - Акцент2 10" xfId="648"/>
    <cellStyle name="20% - Акцент2 11" xfId="662"/>
    <cellStyle name="20% - Акцент2 2" xfId="54"/>
    <cellStyle name="20% - Акцент2 2 2" xfId="100"/>
    <cellStyle name="20% - Акцент2 2 2 2" xfId="192"/>
    <cellStyle name="20% - Акцент2 2 2 2 2" xfId="542"/>
    <cellStyle name="20% - Акцент2 2 2 3" xfId="450"/>
    <cellStyle name="20% - Акцент2 2 2 4" xfId="358"/>
    <cellStyle name="20% - Акцент2 2 3" xfId="146"/>
    <cellStyle name="20% - Акцент2 2 3 2" xfId="496"/>
    <cellStyle name="20% - Акцент2 2 4" xfId="238"/>
    <cellStyle name="20% - Акцент2 2 4 2" xfId="588"/>
    <cellStyle name="20% - Акцент2 2 5" xfId="404"/>
    <cellStyle name="20% - Акцент2 2 6" xfId="312"/>
    <cellStyle name="20% - Акцент2 3" xfId="72"/>
    <cellStyle name="20% - Акцент2 3 2" xfId="118"/>
    <cellStyle name="20% - Акцент2 3 2 2" xfId="210"/>
    <cellStyle name="20% - Акцент2 3 2 2 2" xfId="560"/>
    <cellStyle name="20% - Акцент2 3 2 3" xfId="468"/>
    <cellStyle name="20% - Акцент2 3 2 4" xfId="376"/>
    <cellStyle name="20% - Акцент2 3 3" xfId="164"/>
    <cellStyle name="20% - Акцент2 3 3 2" xfId="514"/>
    <cellStyle name="20% - Акцент2 3 4" xfId="256"/>
    <cellStyle name="20% - Акцент2 3 4 2" xfId="606"/>
    <cellStyle name="20% - Акцент2 3 5" xfId="422"/>
    <cellStyle name="20% - Акцент2 3 6" xfId="330"/>
    <cellStyle name="20% - Акцент2 4" xfId="83"/>
    <cellStyle name="20% - Акцент2 4 2" xfId="175"/>
    <cellStyle name="20% - Акцент2 4 2 2" xfId="525"/>
    <cellStyle name="20% - Акцент2 4 3" xfId="270"/>
    <cellStyle name="20% - Акцент2 4 3 2" xfId="620"/>
    <cellStyle name="20% - Акцент2 4 4" xfId="433"/>
    <cellStyle name="20% - Акцент2 4 5" xfId="341"/>
    <cellStyle name="20% - Акцент2 5" xfId="129"/>
    <cellStyle name="20% - Акцент2 5 2" xfId="479"/>
    <cellStyle name="20% - Акцент2 6" xfId="221"/>
    <cellStyle name="20% - Акцент2 6 2" xfId="571"/>
    <cellStyle name="20% - Акцент2 7" xfId="284"/>
    <cellStyle name="20% - Акцент2 7 2" xfId="634"/>
    <cellStyle name="20% - Акцент2 8" xfId="387"/>
    <cellStyle name="20% - Акцент2 9" xfId="295"/>
    <cellStyle name="20% - Акцент3" xfId="3" builtinId="38" customBuiltin="1"/>
    <cellStyle name="20% - Акцент3 10" xfId="650"/>
    <cellStyle name="20% - Акцент3 11" xfId="664"/>
    <cellStyle name="20% - Акцент3 2" xfId="56"/>
    <cellStyle name="20% - Акцент3 2 2" xfId="102"/>
    <cellStyle name="20% - Акцент3 2 2 2" xfId="194"/>
    <cellStyle name="20% - Акцент3 2 2 2 2" xfId="544"/>
    <cellStyle name="20% - Акцент3 2 2 3" xfId="452"/>
    <cellStyle name="20% - Акцент3 2 2 4" xfId="360"/>
    <cellStyle name="20% - Акцент3 2 3" xfId="148"/>
    <cellStyle name="20% - Акцент3 2 3 2" xfId="498"/>
    <cellStyle name="20% - Акцент3 2 4" xfId="240"/>
    <cellStyle name="20% - Акцент3 2 4 2" xfId="590"/>
    <cellStyle name="20% - Акцент3 2 5" xfId="406"/>
    <cellStyle name="20% - Акцент3 2 6" xfId="314"/>
    <cellStyle name="20% - Акцент3 3" xfId="74"/>
    <cellStyle name="20% - Акцент3 3 2" xfId="120"/>
    <cellStyle name="20% - Акцент3 3 2 2" xfId="212"/>
    <cellStyle name="20% - Акцент3 3 2 2 2" xfId="562"/>
    <cellStyle name="20% - Акцент3 3 2 3" xfId="470"/>
    <cellStyle name="20% - Акцент3 3 2 4" xfId="378"/>
    <cellStyle name="20% - Акцент3 3 3" xfId="166"/>
    <cellStyle name="20% - Акцент3 3 3 2" xfId="516"/>
    <cellStyle name="20% - Акцент3 3 4" xfId="258"/>
    <cellStyle name="20% - Акцент3 3 4 2" xfId="608"/>
    <cellStyle name="20% - Акцент3 3 5" xfId="424"/>
    <cellStyle name="20% - Акцент3 3 6" xfId="332"/>
    <cellStyle name="20% - Акцент3 4" xfId="84"/>
    <cellStyle name="20% - Акцент3 4 2" xfId="176"/>
    <cellStyle name="20% - Акцент3 4 2 2" xfId="526"/>
    <cellStyle name="20% - Акцент3 4 3" xfId="272"/>
    <cellStyle name="20% - Акцент3 4 3 2" xfId="622"/>
    <cellStyle name="20% - Акцент3 4 4" xfId="434"/>
    <cellStyle name="20% - Акцент3 4 5" xfId="342"/>
    <cellStyle name="20% - Акцент3 5" xfId="130"/>
    <cellStyle name="20% - Акцент3 5 2" xfId="480"/>
    <cellStyle name="20% - Акцент3 6" xfId="222"/>
    <cellStyle name="20% - Акцент3 6 2" xfId="572"/>
    <cellStyle name="20% - Акцент3 7" xfId="286"/>
    <cellStyle name="20% - Акцент3 7 2" xfId="636"/>
    <cellStyle name="20% - Акцент3 8" xfId="388"/>
    <cellStyle name="20% - Акцент3 9" xfId="296"/>
    <cellStyle name="20% - Акцент4" xfId="4" builtinId="42" customBuiltin="1"/>
    <cellStyle name="20% - Акцент4 10" xfId="652"/>
    <cellStyle name="20% - Акцент4 11" xfId="666"/>
    <cellStyle name="20% - Акцент4 2" xfId="58"/>
    <cellStyle name="20% - Акцент4 2 2" xfId="104"/>
    <cellStyle name="20% - Акцент4 2 2 2" xfId="196"/>
    <cellStyle name="20% - Акцент4 2 2 2 2" xfId="546"/>
    <cellStyle name="20% - Акцент4 2 2 3" xfId="454"/>
    <cellStyle name="20% - Акцент4 2 2 4" xfId="362"/>
    <cellStyle name="20% - Акцент4 2 3" xfId="150"/>
    <cellStyle name="20% - Акцент4 2 3 2" xfId="500"/>
    <cellStyle name="20% - Акцент4 2 4" xfId="242"/>
    <cellStyle name="20% - Акцент4 2 4 2" xfId="592"/>
    <cellStyle name="20% - Акцент4 2 5" xfId="408"/>
    <cellStyle name="20% - Акцент4 2 6" xfId="316"/>
    <cellStyle name="20% - Акцент4 3" xfId="76"/>
    <cellStyle name="20% - Акцент4 3 2" xfId="122"/>
    <cellStyle name="20% - Акцент4 3 2 2" xfId="214"/>
    <cellStyle name="20% - Акцент4 3 2 2 2" xfId="564"/>
    <cellStyle name="20% - Акцент4 3 2 3" xfId="472"/>
    <cellStyle name="20% - Акцент4 3 2 4" xfId="380"/>
    <cellStyle name="20% - Акцент4 3 3" xfId="168"/>
    <cellStyle name="20% - Акцент4 3 3 2" xfId="518"/>
    <cellStyle name="20% - Акцент4 3 4" xfId="260"/>
    <cellStyle name="20% - Акцент4 3 4 2" xfId="610"/>
    <cellStyle name="20% - Акцент4 3 5" xfId="426"/>
    <cellStyle name="20% - Акцент4 3 6" xfId="334"/>
    <cellStyle name="20% - Акцент4 4" xfId="85"/>
    <cellStyle name="20% - Акцент4 4 2" xfId="177"/>
    <cellStyle name="20% - Акцент4 4 2 2" xfId="527"/>
    <cellStyle name="20% - Акцент4 4 3" xfId="274"/>
    <cellStyle name="20% - Акцент4 4 3 2" xfId="624"/>
    <cellStyle name="20% - Акцент4 4 4" xfId="435"/>
    <cellStyle name="20% - Акцент4 4 5" xfId="343"/>
    <cellStyle name="20% - Акцент4 5" xfId="131"/>
    <cellStyle name="20% - Акцент4 5 2" xfId="481"/>
    <cellStyle name="20% - Акцент4 6" xfId="223"/>
    <cellStyle name="20% - Акцент4 6 2" xfId="573"/>
    <cellStyle name="20% - Акцент4 7" xfId="288"/>
    <cellStyle name="20% - Акцент4 7 2" xfId="638"/>
    <cellStyle name="20% - Акцент4 8" xfId="389"/>
    <cellStyle name="20% - Акцент4 9" xfId="297"/>
    <cellStyle name="20% - Акцент5" xfId="5" builtinId="46" customBuiltin="1"/>
    <cellStyle name="20% - Акцент5 10" xfId="654"/>
    <cellStyle name="20% - Акцент5 11" xfId="668"/>
    <cellStyle name="20% - Акцент5 2" xfId="60"/>
    <cellStyle name="20% - Акцент5 2 2" xfId="106"/>
    <cellStyle name="20% - Акцент5 2 2 2" xfId="198"/>
    <cellStyle name="20% - Акцент5 2 2 2 2" xfId="548"/>
    <cellStyle name="20% - Акцент5 2 2 3" xfId="456"/>
    <cellStyle name="20% - Акцент5 2 2 4" xfId="364"/>
    <cellStyle name="20% - Акцент5 2 3" xfId="152"/>
    <cellStyle name="20% - Акцент5 2 3 2" xfId="502"/>
    <cellStyle name="20% - Акцент5 2 4" xfId="244"/>
    <cellStyle name="20% - Акцент5 2 4 2" xfId="594"/>
    <cellStyle name="20% - Акцент5 2 5" xfId="410"/>
    <cellStyle name="20% - Акцент5 2 6" xfId="318"/>
    <cellStyle name="20% - Акцент5 3" xfId="78"/>
    <cellStyle name="20% - Акцент5 3 2" xfId="124"/>
    <cellStyle name="20% - Акцент5 3 2 2" xfId="216"/>
    <cellStyle name="20% - Акцент5 3 2 2 2" xfId="566"/>
    <cellStyle name="20% - Акцент5 3 2 3" xfId="474"/>
    <cellStyle name="20% - Акцент5 3 2 4" xfId="382"/>
    <cellStyle name="20% - Акцент5 3 3" xfId="170"/>
    <cellStyle name="20% - Акцент5 3 3 2" xfId="520"/>
    <cellStyle name="20% - Акцент5 3 4" xfId="262"/>
    <cellStyle name="20% - Акцент5 3 4 2" xfId="612"/>
    <cellStyle name="20% - Акцент5 3 5" xfId="428"/>
    <cellStyle name="20% - Акцент5 3 6" xfId="336"/>
    <cellStyle name="20% - Акцент5 4" xfId="86"/>
    <cellStyle name="20% - Акцент5 4 2" xfId="178"/>
    <cellStyle name="20% - Акцент5 4 2 2" xfId="528"/>
    <cellStyle name="20% - Акцент5 4 3" xfId="276"/>
    <cellStyle name="20% - Акцент5 4 3 2" xfId="626"/>
    <cellStyle name="20% - Акцент5 4 4" xfId="436"/>
    <cellStyle name="20% - Акцент5 4 5" xfId="344"/>
    <cellStyle name="20% - Акцент5 5" xfId="132"/>
    <cellStyle name="20% - Акцент5 5 2" xfId="482"/>
    <cellStyle name="20% - Акцент5 6" xfId="224"/>
    <cellStyle name="20% - Акцент5 6 2" xfId="574"/>
    <cellStyle name="20% - Акцент5 7" xfId="290"/>
    <cellStyle name="20% - Акцент5 7 2" xfId="640"/>
    <cellStyle name="20% - Акцент5 8" xfId="390"/>
    <cellStyle name="20% - Акцент5 9" xfId="298"/>
    <cellStyle name="20% - Акцент6" xfId="6" builtinId="50" customBuiltin="1"/>
    <cellStyle name="20% - Акцент6 10" xfId="656"/>
    <cellStyle name="20% - Акцент6 11" xfId="670"/>
    <cellStyle name="20% - Акцент6 2" xfId="62"/>
    <cellStyle name="20% - Акцент6 2 2" xfId="108"/>
    <cellStyle name="20% - Акцент6 2 2 2" xfId="200"/>
    <cellStyle name="20% - Акцент6 2 2 2 2" xfId="550"/>
    <cellStyle name="20% - Акцент6 2 2 3" xfId="458"/>
    <cellStyle name="20% - Акцент6 2 2 4" xfId="366"/>
    <cellStyle name="20% - Акцент6 2 3" xfId="154"/>
    <cellStyle name="20% - Акцент6 2 3 2" xfId="504"/>
    <cellStyle name="20% - Акцент6 2 4" xfId="246"/>
    <cellStyle name="20% - Акцент6 2 4 2" xfId="596"/>
    <cellStyle name="20% - Акцент6 2 5" xfId="412"/>
    <cellStyle name="20% - Акцент6 2 6" xfId="320"/>
    <cellStyle name="20% - Акцент6 3" xfId="80"/>
    <cellStyle name="20% - Акцент6 3 2" xfId="126"/>
    <cellStyle name="20% - Акцент6 3 2 2" xfId="218"/>
    <cellStyle name="20% - Акцент6 3 2 2 2" xfId="568"/>
    <cellStyle name="20% - Акцент6 3 2 3" xfId="476"/>
    <cellStyle name="20% - Акцент6 3 2 4" xfId="384"/>
    <cellStyle name="20% - Акцент6 3 3" xfId="172"/>
    <cellStyle name="20% - Акцент6 3 3 2" xfId="522"/>
    <cellStyle name="20% - Акцент6 3 4" xfId="264"/>
    <cellStyle name="20% - Акцент6 3 4 2" xfId="614"/>
    <cellStyle name="20% - Акцент6 3 5" xfId="430"/>
    <cellStyle name="20% - Акцент6 3 6" xfId="338"/>
    <cellStyle name="20% - Акцент6 4" xfId="87"/>
    <cellStyle name="20% - Акцент6 4 2" xfId="179"/>
    <cellStyle name="20% - Акцент6 4 2 2" xfId="529"/>
    <cellStyle name="20% - Акцент6 4 3" xfId="278"/>
    <cellStyle name="20% - Акцент6 4 3 2" xfId="628"/>
    <cellStyle name="20% - Акцент6 4 4" xfId="437"/>
    <cellStyle name="20% - Акцент6 4 5" xfId="345"/>
    <cellStyle name="20% - Акцент6 5" xfId="133"/>
    <cellStyle name="20% - Акцент6 5 2" xfId="483"/>
    <cellStyle name="20% - Акцент6 6" xfId="225"/>
    <cellStyle name="20% - Акцент6 6 2" xfId="575"/>
    <cellStyle name="20% - Акцент6 7" xfId="292"/>
    <cellStyle name="20% - Акцент6 7 2" xfId="642"/>
    <cellStyle name="20% - Акцент6 8" xfId="391"/>
    <cellStyle name="20% - Акцент6 9" xfId="299"/>
    <cellStyle name="40% - Акцент1" xfId="7" builtinId="31" customBuiltin="1"/>
    <cellStyle name="40% - Акцент1 10" xfId="647"/>
    <cellStyle name="40% - Акцент1 11" xfId="661"/>
    <cellStyle name="40% - Акцент1 2" xfId="53"/>
    <cellStyle name="40% - Акцент1 2 2" xfId="99"/>
    <cellStyle name="40% - Акцент1 2 2 2" xfId="191"/>
    <cellStyle name="40% - Акцент1 2 2 2 2" xfId="541"/>
    <cellStyle name="40% - Акцент1 2 2 3" xfId="449"/>
    <cellStyle name="40% - Акцент1 2 2 4" xfId="357"/>
    <cellStyle name="40% - Акцент1 2 3" xfId="145"/>
    <cellStyle name="40% - Акцент1 2 3 2" xfId="495"/>
    <cellStyle name="40% - Акцент1 2 4" xfId="237"/>
    <cellStyle name="40% - Акцент1 2 4 2" xfId="587"/>
    <cellStyle name="40% - Акцент1 2 5" xfId="403"/>
    <cellStyle name="40% - Акцент1 2 6" xfId="311"/>
    <cellStyle name="40% - Акцент1 3" xfId="71"/>
    <cellStyle name="40% - Акцент1 3 2" xfId="117"/>
    <cellStyle name="40% - Акцент1 3 2 2" xfId="209"/>
    <cellStyle name="40% - Акцент1 3 2 2 2" xfId="559"/>
    <cellStyle name="40% - Акцент1 3 2 3" xfId="467"/>
    <cellStyle name="40% - Акцент1 3 2 4" xfId="375"/>
    <cellStyle name="40% - Акцент1 3 3" xfId="163"/>
    <cellStyle name="40% - Акцент1 3 3 2" xfId="513"/>
    <cellStyle name="40% - Акцент1 3 4" xfId="255"/>
    <cellStyle name="40% - Акцент1 3 4 2" xfId="605"/>
    <cellStyle name="40% - Акцент1 3 5" xfId="421"/>
    <cellStyle name="40% - Акцент1 3 6" xfId="329"/>
    <cellStyle name="40% - Акцент1 4" xfId="88"/>
    <cellStyle name="40% - Акцент1 4 2" xfId="180"/>
    <cellStyle name="40% - Акцент1 4 2 2" xfId="530"/>
    <cellStyle name="40% - Акцент1 4 3" xfId="269"/>
    <cellStyle name="40% - Акцент1 4 3 2" xfId="619"/>
    <cellStyle name="40% - Акцент1 4 4" xfId="438"/>
    <cellStyle name="40% - Акцент1 4 5" xfId="346"/>
    <cellStyle name="40% - Акцент1 5" xfId="134"/>
    <cellStyle name="40% - Акцент1 5 2" xfId="484"/>
    <cellStyle name="40% - Акцент1 6" xfId="226"/>
    <cellStyle name="40% - Акцент1 6 2" xfId="576"/>
    <cellStyle name="40% - Акцент1 7" xfId="283"/>
    <cellStyle name="40% - Акцент1 7 2" xfId="633"/>
    <cellStyle name="40% - Акцент1 8" xfId="392"/>
    <cellStyle name="40% - Акцент1 9" xfId="300"/>
    <cellStyle name="40% - Акцент2" xfId="8" builtinId="35" customBuiltin="1"/>
    <cellStyle name="40% - Акцент2 10" xfId="649"/>
    <cellStyle name="40% - Акцент2 11" xfId="663"/>
    <cellStyle name="40% - Акцент2 2" xfId="55"/>
    <cellStyle name="40% - Акцент2 2 2" xfId="101"/>
    <cellStyle name="40% - Акцент2 2 2 2" xfId="193"/>
    <cellStyle name="40% - Акцент2 2 2 2 2" xfId="543"/>
    <cellStyle name="40% - Акцент2 2 2 3" xfId="451"/>
    <cellStyle name="40% - Акцент2 2 2 4" xfId="359"/>
    <cellStyle name="40% - Акцент2 2 3" xfId="147"/>
    <cellStyle name="40% - Акцент2 2 3 2" xfId="497"/>
    <cellStyle name="40% - Акцент2 2 4" xfId="239"/>
    <cellStyle name="40% - Акцент2 2 4 2" xfId="589"/>
    <cellStyle name="40% - Акцент2 2 5" xfId="405"/>
    <cellStyle name="40% - Акцент2 2 6" xfId="313"/>
    <cellStyle name="40% - Акцент2 3" xfId="73"/>
    <cellStyle name="40% - Акцент2 3 2" xfId="119"/>
    <cellStyle name="40% - Акцент2 3 2 2" xfId="211"/>
    <cellStyle name="40% - Акцент2 3 2 2 2" xfId="561"/>
    <cellStyle name="40% - Акцент2 3 2 3" xfId="469"/>
    <cellStyle name="40% - Акцент2 3 2 4" xfId="377"/>
    <cellStyle name="40% - Акцент2 3 3" xfId="165"/>
    <cellStyle name="40% - Акцент2 3 3 2" xfId="515"/>
    <cellStyle name="40% - Акцент2 3 4" xfId="257"/>
    <cellStyle name="40% - Акцент2 3 4 2" xfId="607"/>
    <cellStyle name="40% - Акцент2 3 5" xfId="423"/>
    <cellStyle name="40% - Акцент2 3 6" xfId="331"/>
    <cellStyle name="40% - Акцент2 4" xfId="89"/>
    <cellStyle name="40% - Акцент2 4 2" xfId="181"/>
    <cellStyle name="40% - Акцент2 4 2 2" xfId="531"/>
    <cellStyle name="40% - Акцент2 4 3" xfId="271"/>
    <cellStyle name="40% - Акцент2 4 3 2" xfId="621"/>
    <cellStyle name="40% - Акцент2 4 4" xfId="439"/>
    <cellStyle name="40% - Акцент2 4 5" xfId="347"/>
    <cellStyle name="40% - Акцент2 5" xfId="135"/>
    <cellStyle name="40% - Акцент2 5 2" xfId="485"/>
    <cellStyle name="40% - Акцент2 6" xfId="227"/>
    <cellStyle name="40% - Акцент2 6 2" xfId="577"/>
    <cellStyle name="40% - Акцент2 7" xfId="285"/>
    <cellStyle name="40% - Акцент2 7 2" xfId="635"/>
    <cellStyle name="40% - Акцент2 8" xfId="393"/>
    <cellStyle name="40% - Акцент2 9" xfId="301"/>
    <cellStyle name="40% - Акцент3" xfId="9" builtinId="39" customBuiltin="1"/>
    <cellStyle name="40% - Акцент3 10" xfId="651"/>
    <cellStyle name="40% - Акцент3 11" xfId="665"/>
    <cellStyle name="40% - Акцент3 2" xfId="57"/>
    <cellStyle name="40% - Акцент3 2 2" xfId="103"/>
    <cellStyle name="40% - Акцент3 2 2 2" xfId="195"/>
    <cellStyle name="40% - Акцент3 2 2 2 2" xfId="545"/>
    <cellStyle name="40% - Акцент3 2 2 3" xfId="453"/>
    <cellStyle name="40% - Акцент3 2 2 4" xfId="361"/>
    <cellStyle name="40% - Акцент3 2 3" xfId="149"/>
    <cellStyle name="40% - Акцент3 2 3 2" xfId="499"/>
    <cellStyle name="40% - Акцент3 2 4" xfId="241"/>
    <cellStyle name="40% - Акцент3 2 4 2" xfId="591"/>
    <cellStyle name="40% - Акцент3 2 5" xfId="407"/>
    <cellStyle name="40% - Акцент3 2 6" xfId="315"/>
    <cellStyle name="40% - Акцент3 3" xfId="75"/>
    <cellStyle name="40% - Акцент3 3 2" xfId="121"/>
    <cellStyle name="40% - Акцент3 3 2 2" xfId="213"/>
    <cellStyle name="40% - Акцент3 3 2 2 2" xfId="563"/>
    <cellStyle name="40% - Акцент3 3 2 3" xfId="471"/>
    <cellStyle name="40% - Акцент3 3 2 4" xfId="379"/>
    <cellStyle name="40% - Акцент3 3 3" xfId="167"/>
    <cellStyle name="40% - Акцент3 3 3 2" xfId="517"/>
    <cellStyle name="40% - Акцент3 3 4" xfId="259"/>
    <cellStyle name="40% - Акцент3 3 4 2" xfId="609"/>
    <cellStyle name="40% - Акцент3 3 5" xfId="425"/>
    <cellStyle name="40% - Акцент3 3 6" xfId="333"/>
    <cellStyle name="40% - Акцент3 4" xfId="90"/>
    <cellStyle name="40% - Акцент3 4 2" xfId="182"/>
    <cellStyle name="40% - Акцент3 4 2 2" xfId="532"/>
    <cellStyle name="40% - Акцент3 4 3" xfId="273"/>
    <cellStyle name="40% - Акцент3 4 3 2" xfId="623"/>
    <cellStyle name="40% - Акцент3 4 4" xfId="440"/>
    <cellStyle name="40% - Акцент3 4 5" xfId="348"/>
    <cellStyle name="40% - Акцент3 5" xfId="136"/>
    <cellStyle name="40% - Акцент3 5 2" xfId="486"/>
    <cellStyle name="40% - Акцент3 6" xfId="228"/>
    <cellStyle name="40% - Акцент3 6 2" xfId="578"/>
    <cellStyle name="40% - Акцент3 7" xfId="287"/>
    <cellStyle name="40% - Акцент3 7 2" xfId="637"/>
    <cellStyle name="40% - Акцент3 8" xfId="394"/>
    <cellStyle name="40% - Акцент3 9" xfId="302"/>
    <cellStyle name="40% - Акцент4" xfId="10" builtinId="43" customBuiltin="1"/>
    <cellStyle name="40% - Акцент4 10" xfId="653"/>
    <cellStyle name="40% - Акцент4 11" xfId="667"/>
    <cellStyle name="40% - Акцент4 2" xfId="59"/>
    <cellStyle name="40% - Акцент4 2 2" xfId="105"/>
    <cellStyle name="40% - Акцент4 2 2 2" xfId="197"/>
    <cellStyle name="40% - Акцент4 2 2 2 2" xfId="547"/>
    <cellStyle name="40% - Акцент4 2 2 3" xfId="455"/>
    <cellStyle name="40% - Акцент4 2 2 4" xfId="363"/>
    <cellStyle name="40% - Акцент4 2 3" xfId="151"/>
    <cellStyle name="40% - Акцент4 2 3 2" xfId="501"/>
    <cellStyle name="40% - Акцент4 2 4" xfId="243"/>
    <cellStyle name="40% - Акцент4 2 4 2" xfId="593"/>
    <cellStyle name="40% - Акцент4 2 5" xfId="409"/>
    <cellStyle name="40% - Акцент4 2 6" xfId="317"/>
    <cellStyle name="40% - Акцент4 3" xfId="77"/>
    <cellStyle name="40% - Акцент4 3 2" xfId="123"/>
    <cellStyle name="40% - Акцент4 3 2 2" xfId="215"/>
    <cellStyle name="40% - Акцент4 3 2 2 2" xfId="565"/>
    <cellStyle name="40% - Акцент4 3 2 3" xfId="473"/>
    <cellStyle name="40% - Акцент4 3 2 4" xfId="381"/>
    <cellStyle name="40% - Акцент4 3 3" xfId="169"/>
    <cellStyle name="40% - Акцент4 3 3 2" xfId="519"/>
    <cellStyle name="40% - Акцент4 3 4" xfId="261"/>
    <cellStyle name="40% - Акцент4 3 4 2" xfId="611"/>
    <cellStyle name="40% - Акцент4 3 5" xfId="427"/>
    <cellStyle name="40% - Акцент4 3 6" xfId="335"/>
    <cellStyle name="40% - Акцент4 4" xfId="91"/>
    <cellStyle name="40% - Акцент4 4 2" xfId="183"/>
    <cellStyle name="40% - Акцент4 4 2 2" xfId="533"/>
    <cellStyle name="40% - Акцент4 4 3" xfId="275"/>
    <cellStyle name="40% - Акцент4 4 3 2" xfId="625"/>
    <cellStyle name="40% - Акцент4 4 4" xfId="441"/>
    <cellStyle name="40% - Акцент4 4 5" xfId="349"/>
    <cellStyle name="40% - Акцент4 5" xfId="137"/>
    <cellStyle name="40% - Акцент4 5 2" xfId="487"/>
    <cellStyle name="40% - Акцент4 6" xfId="229"/>
    <cellStyle name="40% - Акцент4 6 2" xfId="579"/>
    <cellStyle name="40% - Акцент4 7" xfId="289"/>
    <cellStyle name="40% - Акцент4 7 2" xfId="639"/>
    <cellStyle name="40% - Акцент4 8" xfId="395"/>
    <cellStyle name="40% - Акцент4 9" xfId="303"/>
    <cellStyle name="40% - Акцент5" xfId="11" builtinId="47" customBuiltin="1"/>
    <cellStyle name="40% - Акцент5 10" xfId="655"/>
    <cellStyle name="40% - Акцент5 11" xfId="669"/>
    <cellStyle name="40% - Акцент5 2" xfId="61"/>
    <cellStyle name="40% - Акцент5 2 2" xfId="107"/>
    <cellStyle name="40% - Акцент5 2 2 2" xfId="199"/>
    <cellStyle name="40% - Акцент5 2 2 2 2" xfId="549"/>
    <cellStyle name="40% - Акцент5 2 2 3" xfId="457"/>
    <cellStyle name="40% - Акцент5 2 2 4" xfId="365"/>
    <cellStyle name="40% - Акцент5 2 3" xfId="153"/>
    <cellStyle name="40% - Акцент5 2 3 2" xfId="503"/>
    <cellStyle name="40% - Акцент5 2 4" xfId="245"/>
    <cellStyle name="40% - Акцент5 2 4 2" xfId="595"/>
    <cellStyle name="40% - Акцент5 2 5" xfId="411"/>
    <cellStyle name="40% - Акцент5 2 6" xfId="319"/>
    <cellStyle name="40% - Акцент5 3" xfId="79"/>
    <cellStyle name="40% - Акцент5 3 2" xfId="125"/>
    <cellStyle name="40% - Акцент5 3 2 2" xfId="217"/>
    <cellStyle name="40% - Акцент5 3 2 2 2" xfId="567"/>
    <cellStyle name="40% - Акцент5 3 2 3" xfId="475"/>
    <cellStyle name="40% - Акцент5 3 2 4" xfId="383"/>
    <cellStyle name="40% - Акцент5 3 3" xfId="171"/>
    <cellStyle name="40% - Акцент5 3 3 2" xfId="521"/>
    <cellStyle name="40% - Акцент5 3 4" xfId="263"/>
    <cellStyle name="40% - Акцент5 3 4 2" xfId="613"/>
    <cellStyle name="40% - Акцент5 3 5" xfId="429"/>
    <cellStyle name="40% - Акцент5 3 6" xfId="337"/>
    <cellStyle name="40% - Акцент5 4" xfId="92"/>
    <cellStyle name="40% - Акцент5 4 2" xfId="184"/>
    <cellStyle name="40% - Акцент5 4 2 2" xfId="534"/>
    <cellStyle name="40% - Акцент5 4 3" xfId="277"/>
    <cellStyle name="40% - Акцент5 4 3 2" xfId="627"/>
    <cellStyle name="40% - Акцент5 4 4" xfId="442"/>
    <cellStyle name="40% - Акцент5 4 5" xfId="350"/>
    <cellStyle name="40% - Акцент5 5" xfId="138"/>
    <cellStyle name="40% - Акцент5 5 2" xfId="488"/>
    <cellStyle name="40% - Акцент5 6" xfId="230"/>
    <cellStyle name="40% - Акцент5 6 2" xfId="580"/>
    <cellStyle name="40% - Акцент5 7" xfId="291"/>
    <cellStyle name="40% - Акцент5 7 2" xfId="641"/>
    <cellStyle name="40% - Акцент5 8" xfId="396"/>
    <cellStyle name="40% - Акцент5 9" xfId="304"/>
    <cellStyle name="40% - Акцент6" xfId="12" builtinId="51" customBuiltin="1"/>
    <cellStyle name="40% - Акцент6 10" xfId="657"/>
    <cellStyle name="40% - Акцент6 11" xfId="671"/>
    <cellStyle name="40% - Акцент6 2" xfId="63"/>
    <cellStyle name="40% - Акцент6 2 2" xfId="109"/>
    <cellStyle name="40% - Акцент6 2 2 2" xfId="201"/>
    <cellStyle name="40% - Акцент6 2 2 2 2" xfId="551"/>
    <cellStyle name="40% - Акцент6 2 2 3" xfId="459"/>
    <cellStyle name="40% - Акцент6 2 2 4" xfId="367"/>
    <cellStyle name="40% - Акцент6 2 3" xfId="155"/>
    <cellStyle name="40% - Акцент6 2 3 2" xfId="505"/>
    <cellStyle name="40% - Акцент6 2 4" xfId="247"/>
    <cellStyle name="40% - Акцент6 2 4 2" xfId="597"/>
    <cellStyle name="40% - Акцент6 2 5" xfId="413"/>
    <cellStyle name="40% - Акцент6 2 6" xfId="321"/>
    <cellStyle name="40% - Акцент6 3" xfId="81"/>
    <cellStyle name="40% - Акцент6 3 2" xfId="127"/>
    <cellStyle name="40% - Акцент6 3 2 2" xfId="219"/>
    <cellStyle name="40% - Акцент6 3 2 2 2" xfId="569"/>
    <cellStyle name="40% - Акцент6 3 2 3" xfId="477"/>
    <cellStyle name="40% - Акцент6 3 2 4" xfId="385"/>
    <cellStyle name="40% - Акцент6 3 3" xfId="173"/>
    <cellStyle name="40% - Акцент6 3 3 2" xfId="523"/>
    <cellStyle name="40% - Акцент6 3 4" xfId="265"/>
    <cellStyle name="40% - Акцент6 3 4 2" xfId="615"/>
    <cellStyle name="40% - Акцент6 3 5" xfId="431"/>
    <cellStyle name="40% - Акцент6 3 6" xfId="339"/>
    <cellStyle name="40% - Акцент6 4" xfId="93"/>
    <cellStyle name="40% - Акцент6 4 2" xfId="185"/>
    <cellStyle name="40% - Акцент6 4 2 2" xfId="535"/>
    <cellStyle name="40% - Акцент6 4 3" xfId="279"/>
    <cellStyle name="40% - Акцент6 4 3 2" xfId="629"/>
    <cellStyle name="40% - Акцент6 4 4" xfId="443"/>
    <cellStyle name="40% - Акцент6 4 5" xfId="351"/>
    <cellStyle name="40% - Акцент6 5" xfId="139"/>
    <cellStyle name="40% - Акцент6 5 2" xfId="489"/>
    <cellStyle name="40% - Акцент6 6" xfId="231"/>
    <cellStyle name="40% - Акцент6 6 2" xfId="581"/>
    <cellStyle name="40% - Акцент6 7" xfId="293"/>
    <cellStyle name="40% - Акцент6 7 2" xfId="643"/>
    <cellStyle name="40% - Акцент6 8" xfId="397"/>
    <cellStyle name="40% - Акцент6 9" xfId="305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Денежный" xfId="674" builtinId="4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280"/>
    <cellStyle name="Обычный 10 2" xfId="630"/>
    <cellStyle name="Обычный 11" xfId="644"/>
    <cellStyle name="Обычный 12" xfId="658"/>
    <cellStyle name="Обычный 13" xfId="672"/>
    <cellStyle name="Обычный 14" xfId="673"/>
    <cellStyle name="Обычный 15" xfId="675"/>
    <cellStyle name="Обычный 2" xfId="36"/>
    <cellStyle name="Обычный 2 2" xfId="94"/>
    <cellStyle name="Обычный 2 2 2" xfId="186"/>
    <cellStyle name="Обычный 2 2 2 2" xfId="536"/>
    <cellStyle name="Обычный 2 2 3" xfId="444"/>
    <cellStyle name="Обычный 2 2 4" xfId="352"/>
    <cellStyle name="Обычный 2 3" xfId="140"/>
    <cellStyle name="Обычный 2 3 2" xfId="490"/>
    <cellStyle name="Обычный 2 4" xfId="232"/>
    <cellStyle name="Обычный 2 4 2" xfId="582"/>
    <cellStyle name="Обычный 2 5" xfId="398"/>
    <cellStyle name="Обычный 2 6" xfId="306"/>
    <cellStyle name="Обычный 3" xfId="50"/>
    <cellStyle name="Обычный 3 2" xfId="96"/>
    <cellStyle name="Обычный 3 2 2" xfId="188"/>
    <cellStyle name="Обычный 3 2 2 2" xfId="538"/>
    <cellStyle name="Обычный 3 2 3" xfId="446"/>
    <cellStyle name="Обычный 3 2 4" xfId="354"/>
    <cellStyle name="Обычный 3 3" xfId="142"/>
    <cellStyle name="Обычный 3 3 2" xfId="492"/>
    <cellStyle name="Обычный 3 4" xfId="234"/>
    <cellStyle name="Обычный 3 4 2" xfId="584"/>
    <cellStyle name="Обычный 3 5" xfId="400"/>
    <cellStyle name="Обычный 3 6" xfId="308"/>
    <cellStyle name="Обычный 4" xfId="64"/>
    <cellStyle name="Обычный 4 2" xfId="110"/>
    <cellStyle name="Обычный 4 2 2" xfId="202"/>
    <cellStyle name="Обычный 4 2 2 2" xfId="552"/>
    <cellStyle name="Обычный 4 2 3" xfId="460"/>
    <cellStyle name="Обычный 4 2 4" xfId="368"/>
    <cellStyle name="Обычный 4 3" xfId="156"/>
    <cellStyle name="Обычный 4 3 2" xfId="506"/>
    <cellStyle name="Обычный 4 4" xfId="248"/>
    <cellStyle name="Обычный 4 4 2" xfId="598"/>
    <cellStyle name="Обычный 4 5" xfId="414"/>
    <cellStyle name="Обычный 4 6" xfId="322"/>
    <cellStyle name="Обычный 5" xfId="65"/>
    <cellStyle name="Обычный 5 2" xfId="111"/>
    <cellStyle name="Обычный 5 2 2" xfId="203"/>
    <cellStyle name="Обычный 5 2 2 2" xfId="553"/>
    <cellStyle name="Обычный 5 2 3" xfId="461"/>
    <cellStyle name="Обычный 5 2 4" xfId="369"/>
    <cellStyle name="Обычный 5 3" xfId="157"/>
    <cellStyle name="Обычный 5 3 2" xfId="507"/>
    <cellStyle name="Обычный 5 4" xfId="249"/>
    <cellStyle name="Обычный 5 4 2" xfId="599"/>
    <cellStyle name="Обычный 5 5" xfId="415"/>
    <cellStyle name="Обычный 5 6" xfId="323"/>
    <cellStyle name="Обычный 6" xfId="66"/>
    <cellStyle name="Обычный 6 2" xfId="112"/>
    <cellStyle name="Обычный 6 2 2" xfId="204"/>
    <cellStyle name="Обычный 6 2 2 2" xfId="554"/>
    <cellStyle name="Обычный 6 2 3" xfId="462"/>
    <cellStyle name="Обычный 6 2 4" xfId="370"/>
    <cellStyle name="Обычный 6 3" xfId="158"/>
    <cellStyle name="Обычный 6 3 2" xfId="508"/>
    <cellStyle name="Обычный 6 4" xfId="250"/>
    <cellStyle name="Обычный 6 4 2" xfId="600"/>
    <cellStyle name="Обычный 6 5" xfId="416"/>
    <cellStyle name="Обычный 6 6" xfId="324"/>
    <cellStyle name="Обычный 7" xfId="67"/>
    <cellStyle name="Обычный 7 2" xfId="113"/>
    <cellStyle name="Обычный 7 2 2" xfId="205"/>
    <cellStyle name="Обычный 7 2 2 2" xfId="555"/>
    <cellStyle name="Обычный 7 2 3" xfId="463"/>
    <cellStyle name="Обычный 7 2 4" xfId="371"/>
    <cellStyle name="Обычный 7 3" xfId="159"/>
    <cellStyle name="Обычный 7 3 2" xfId="509"/>
    <cellStyle name="Обычный 7 4" xfId="251"/>
    <cellStyle name="Обычный 7 4 2" xfId="601"/>
    <cellStyle name="Обычный 7 5" xfId="417"/>
    <cellStyle name="Обычный 7 6" xfId="325"/>
    <cellStyle name="Обычный 8" xfId="68"/>
    <cellStyle name="Обычный 8 2" xfId="114"/>
    <cellStyle name="Обычный 8 2 2" xfId="206"/>
    <cellStyle name="Обычный 8 2 2 2" xfId="556"/>
    <cellStyle name="Обычный 8 2 3" xfId="464"/>
    <cellStyle name="Обычный 8 2 4" xfId="372"/>
    <cellStyle name="Обычный 8 3" xfId="160"/>
    <cellStyle name="Обычный 8 3 2" xfId="510"/>
    <cellStyle name="Обычный 8 4" xfId="252"/>
    <cellStyle name="Обычный 8 4 2" xfId="602"/>
    <cellStyle name="Обычный 8 5" xfId="418"/>
    <cellStyle name="Обычный 8 6" xfId="326"/>
    <cellStyle name="Обычный 9" xfId="266"/>
    <cellStyle name="Обычный 9 2" xfId="616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187"/>
    <cellStyle name="Примечание 2 2 2 2" xfId="537"/>
    <cellStyle name="Примечание 2 2 3" xfId="445"/>
    <cellStyle name="Примечание 2 2 4" xfId="353"/>
    <cellStyle name="Примечание 2 3" xfId="141"/>
    <cellStyle name="Примечание 2 3 2" xfId="491"/>
    <cellStyle name="Примечание 2 4" xfId="233"/>
    <cellStyle name="Примечание 2 4 2" xfId="583"/>
    <cellStyle name="Примечание 2 5" xfId="399"/>
    <cellStyle name="Примечание 2 6" xfId="307"/>
    <cellStyle name="Примечание 3" xfId="51"/>
    <cellStyle name="Примечание 3 2" xfId="97"/>
    <cellStyle name="Примечание 3 2 2" xfId="189"/>
    <cellStyle name="Примечание 3 2 2 2" xfId="539"/>
    <cellStyle name="Примечание 3 2 3" xfId="447"/>
    <cellStyle name="Примечание 3 2 4" xfId="355"/>
    <cellStyle name="Примечание 3 3" xfId="143"/>
    <cellStyle name="Примечание 3 3 2" xfId="493"/>
    <cellStyle name="Примечание 3 4" xfId="235"/>
    <cellStyle name="Примечание 3 4 2" xfId="585"/>
    <cellStyle name="Примечание 3 5" xfId="401"/>
    <cellStyle name="Примечание 3 6" xfId="309"/>
    <cellStyle name="Примечание 4" xfId="69"/>
    <cellStyle name="Примечание 4 2" xfId="115"/>
    <cellStyle name="Примечание 4 2 2" xfId="207"/>
    <cellStyle name="Примечание 4 2 2 2" xfId="557"/>
    <cellStyle name="Примечание 4 2 3" xfId="465"/>
    <cellStyle name="Примечание 4 2 4" xfId="373"/>
    <cellStyle name="Примечание 4 3" xfId="161"/>
    <cellStyle name="Примечание 4 3 2" xfId="511"/>
    <cellStyle name="Примечание 4 4" xfId="253"/>
    <cellStyle name="Примечание 4 4 2" xfId="603"/>
    <cellStyle name="Примечание 4 5" xfId="419"/>
    <cellStyle name="Примечание 4 6" xfId="327"/>
    <cellStyle name="Примечание 5" xfId="267"/>
    <cellStyle name="Примечание 5 2" xfId="617"/>
    <cellStyle name="Примечание 6" xfId="281"/>
    <cellStyle name="Примечание 6 2" xfId="631"/>
    <cellStyle name="Примечание 7" xfId="645"/>
    <cellStyle name="Примечание 8" xfId="659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Январь2014!$C$50:$I$50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Январь2014!$B$51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Январь2014!$C$51:$I$51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Январь2014!$B$52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Январь2014!$C$52:$I$52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Январь2014!$B$53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Январь2014!$C$53:$I$53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0639232"/>
        <c:axId val="36264704"/>
        <c:axId val="0"/>
      </c:bar3DChart>
      <c:dateAx>
        <c:axId val="20639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6264704"/>
        <c:crosses val="autoZero"/>
        <c:auto val="1"/>
        <c:lblOffset val="100"/>
        <c:baseTimeUnit val="years"/>
        <c:majorUnit val="1"/>
        <c:minorUnit val="1"/>
      </c:dateAx>
      <c:valAx>
        <c:axId val="3626470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06392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Январь2014!$B$84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Январь2014!$C$83:$H$83</c:f>
              <c:numCache>
                <c:formatCode>[$-419]mmmm\ yyyy;@</c:formatCode>
                <c:ptCount val="6"/>
                <c:pt idx="0">
                  <c:v>41516</c:v>
                </c:pt>
                <c:pt idx="1">
                  <c:v>41547</c:v>
                </c:pt>
                <c:pt idx="2">
                  <c:v>41577</c:v>
                </c:pt>
                <c:pt idx="3">
                  <c:v>41608</c:v>
                </c:pt>
                <c:pt idx="4">
                  <c:v>41639</c:v>
                </c:pt>
                <c:pt idx="5">
                  <c:v>41670</c:v>
                </c:pt>
              </c:numCache>
            </c:numRef>
          </c:cat>
          <c:val>
            <c:numRef>
              <c:f>Январь2014!$C$84:$H$84</c:f>
              <c:numCache>
                <c:formatCode>#,##0</c:formatCode>
                <c:ptCount val="6"/>
                <c:pt idx="0">
                  <c:v>882528</c:v>
                </c:pt>
                <c:pt idx="1">
                  <c:v>872709</c:v>
                </c:pt>
                <c:pt idx="2">
                  <c:v>876196</c:v>
                </c:pt>
                <c:pt idx="3">
                  <c:v>878908</c:v>
                </c:pt>
                <c:pt idx="4">
                  <c:v>881844</c:v>
                </c:pt>
                <c:pt idx="5">
                  <c:v>883068</c:v>
                </c:pt>
              </c:numCache>
            </c:numRef>
          </c:val>
        </c:ser>
        <c:ser>
          <c:idx val="1"/>
          <c:order val="1"/>
          <c:tx>
            <c:strRef>
              <c:f>Январь2014!$B$85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Январь2014!$C$83:$H$83</c:f>
              <c:numCache>
                <c:formatCode>[$-419]mmmm\ yyyy;@</c:formatCode>
                <c:ptCount val="6"/>
                <c:pt idx="0">
                  <c:v>41516</c:v>
                </c:pt>
                <c:pt idx="1">
                  <c:v>41547</c:v>
                </c:pt>
                <c:pt idx="2">
                  <c:v>41577</c:v>
                </c:pt>
                <c:pt idx="3">
                  <c:v>41608</c:v>
                </c:pt>
                <c:pt idx="4">
                  <c:v>41639</c:v>
                </c:pt>
                <c:pt idx="5">
                  <c:v>41670</c:v>
                </c:pt>
              </c:numCache>
            </c:numRef>
          </c:cat>
          <c:val>
            <c:numRef>
              <c:f>Январь2014!$C$85:$H$85</c:f>
              <c:numCache>
                <c:formatCode>#,##0</c:formatCode>
                <c:ptCount val="6"/>
                <c:pt idx="0">
                  <c:v>19235</c:v>
                </c:pt>
                <c:pt idx="1">
                  <c:v>19279</c:v>
                </c:pt>
                <c:pt idx="2">
                  <c:v>19352</c:v>
                </c:pt>
                <c:pt idx="3">
                  <c:v>19435</c:v>
                </c:pt>
                <c:pt idx="4">
                  <c:v>19539</c:v>
                </c:pt>
                <c:pt idx="5">
                  <c:v>19540</c:v>
                </c:pt>
              </c:numCache>
            </c:numRef>
          </c:val>
        </c:ser>
        <c:ser>
          <c:idx val="2"/>
          <c:order val="2"/>
          <c:tx>
            <c:strRef>
              <c:f>Январь2014!$B$86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Январь2014!$C$83:$H$83</c:f>
              <c:numCache>
                <c:formatCode>[$-419]mmmm\ yyyy;@</c:formatCode>
                <c:ptCount val="6"/>
                <c:pt idx="0">
                  <c:v>41516</c:v>
                </c:pt>
                <c:pt idx="1">
                  <c:v>41547</c:v>
                </c:pt>
                <c:pt idx="2">
                  <c:v>41577</c:v>
                </c:pt>
                <c:pt idx="3">
                  <c:v>41608</c:v>
                </c:pt>
                <c:pt idx="4">
                  <c:v>41639</c:v>
                </c:pt>
                <c:pt idx="5">
                  <c:v>41670</c:v>
                </c:pt>
              </c:numCache>
            </c:numRef>
          </c:cat>
          <c:val>
            <c:numRef>
              <c:f>Январь2014!$C$86:$H$86</c:f>
              <c:numCache>
                <c:formatCode>#,##0</c:formatCode>
                <c:ptCount val="6"/>
                <c:pt idx="0">
                  <c:v>6722</c:v>
                </c:pt>
                <c:pt idx="1">
                  <c:v>6763</c:v>
                </c:pt>
                <c:pt idx="2">
                  <c:v>6810</c:v>
                </c:pt>
                <c:pt idx="3">
                  <c:v>6874</c:v>
                </c:pt>
                <c:pt idx="4">
                  <c:v>6957</c:v>
                </c:pt>
                <c:pt idx="5">
                  <c:v>7004</c:v>
                </c:pt>
              </c:numCache>
            </c:numRef>
          </c:val>
        </c:ser>
        <c:ser>
          <c:idx val="3"/>
          <c:order val="3"/>
          <c:tx>
            <c:strRef>
              <c:f>Январь2014!$B$87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Январь2014!$C$83:$H$83</c:f>
              <c:numCache>
                <c:formatCode>[$-419]mmmm\ yyyy;@</c:formatCode>
                <c:ptCount val="6"/>
                <c:pt idx="0">
                  <c:v>41516</c:v>
                </c:pt>
                <c:pt idx="1">
                  <c:v>41547</c:v>
                </c:pt>
                <c:pt idx="2">
                  <c:v>41577</c:v>
                </c:pt>
                <c:pt idx="3">
                  <c:v>41608</c:v>
                </c:pt>
                <c:pt idx="4">
                  <c:v>41639</c:v>
                </c:pt>
                <c:pt idx="5">
                  <c:v>41670</c:v>
                </c:pt>
              </c:numCache>
            </c:numRef>
          </c:cat>
          <c:val>
            <c:numRef>
              <c:f>Январь2014!$C$87:$H$87</c:f>
              <c:numCache>
                <c:formatCode>#,##0</c:formatCode>
                <c:ptCount val="6"/>
                <c:pt idx="0">
                  <c:v>5237</c:v>
                </c:pt>
                <c:pt idx="1">
                  <c:v>5254</c:v>
                </c:pt>
                <c:pt idx="2">
                  <c:v>5157</c:v>
                </c:pt>
                <c:pt idx="3">
                  <c:v>5205</c:v>
                </c:pt>
                <c:pt idx="4">
                  <c:v>5182</c:v>
                </c:pt>
                <c:pt idx="5">
                  <c:v>5189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059072"/>
        <c:axId val="38175872"/>
        <c:axId val="0"/>
      </c:bar3DChart>
      <c:dateAx>
        <c:axId val="2105907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81758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381758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059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Февраль2014!$C$50:$I$50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Февраль2014!$B$51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Февраль2014!$C$51:$I$51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Февраль2014!$B$52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Февраль2014!$C$52:$I$52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Февраль2014!$B$53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Февраль2014!$C$53:$I$53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69743104"/>
        <c:axId val="38178176"/>
        <c:axId val="0"/>
      </c:bar3DChart>
      <c:dateAx>
        <c:axId val="69743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8178176"/>
        <c:crosses val="autoZero"/>
        <c:auto val="1"/>
        <c:lblOffset val="100"/>
        <c:baseTimeUnit val="years"/>
        <c:majorUnit val="1"/>
        <c:minorUnit val="1"/>
      </c:dateAx>
      <c:valAx>
        <c:axId val="3817817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9743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Февраль2014!$B$84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Февраль2014!$C$83:$H$83</c:f>
              <c:numCache>
                <c:formatCode>[$-419]mmmm\ yyyy;@</c:formatCode>
                <c:ptCount val="6"/>
                <c:pt idx="0">
                  <c:v>41545</c:v>
                </c:pt>
                <c:pt idx="1">
                  <c:v>41575</c:v>
                </c:pt>
                <c:pt idx="2">
                  <c:v>41606</c:v>
                </c:pt>
                <c:pt idx="3">
                  <c:v>41636</c:v>
                </c:pt>
                <c:pt idx="4">
                  <c:v>41667</c:v>
                </c:pt>
                <c:pt idx="5">
                  <c:v>41698</c:v>
                </c:pt>
              </c:numCache>
            </c:numRef>
          </c:cat>
          <c:val>
            <c:numRef>
              <c:f>Февраль2014!$C$84:$H$84</c:f>
              <c:numCache>
                <c:formatCode>#,##0</c:formatCode>
                <c:ptCount val="6"/>
                <c:pt idx="0">
                  <c:v>872709</c:v>
                </c:pt>
                <c:pt idx="1">
                  <c:v>876196</c:v>
                </c:pt>
                <c:pt idx="2">
                  <c:v>878908</c:v>
                </c:pt>
                <c:pt idx="3">
                  <c:v>881844</c:v>
                </c:pt>
                <c:pt idx="4">
                  <c:v>883068</c:v>
                </c:pt>
                <c:pt idx="5">
                  <c:v>886594</c:v>
                </c:pt>
              </c:numCache>
            </c:numRef>
          </c:val>
        </c:ser>
        <c:ser>
          <c:idx val="1"/>
          <c:order val="1"/>
          <c:tx>
            <c:strRef>
              <c:f>Февраль2014!$B$85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Февраль2014!$C$83:$H$83</c:f>
              <c:numCache>
                <c:formatCode>[$-419]mmmm\ yyyy;@</c:formatCode>
                <c:ptCount val="6"/>
                <c:pt idx="0">
                  <c:v>41545</c:v>
                </c:pt>
                <c:pt idx="1">
                  <c:v>41575</c:v>
                </c:pt>
                <c:pt idx="2">
                  <c:v>41606</c:v>
                </c:pt>
                <c:pt idx="3">
                  <c:v>41636</c:v>
                </c:pt>
                <c:pt idx="4">
                  <c:v>41667</c:v>
                </c:pt>
                <c:pt idx="5">
                  <c:v>41698</c:v>
                </c:pt>
              </c:numCache>
            </c:numRef>
          </c:cat>
          <c:val>
            <c:numRef>
              <c:f>Февраль2014!$C$85:$H$85</c:f>
              <c:numCache>
                <c:formatCode>#,##0</c:formatCode>
                <c:ptCount val="6"/>
                <c:pt idx="0">
                  <c:v>19279</c:v>
                </c:pt>
                <c:pt idx="1">
                  <c:v>19352</c:v>
                </c:pt>
                <c:pt idx="2">
                  <c:v>19435</c:v>
                </c:pt>
                <c:pt idx="3">
                  <c:v>19539</c:v>
                </c:pt>
                <c:pt idx="4">
                  <c:v>19540</c:v>
                </c:pt>
                <c:pt idx="5">
                  <c:v>19633</c:v>
                </c:pt>
              </c:numCache>
            </c:numRef>
          </c:val>
        </c:ser>
        <c:ser>
          <c:idx val="2"/>
          <c:order val="2"/>
          <c:tx>
            <c:strRef>
              <c:f>Февраль2014!$B$86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Февраль2014!$C$83:$H$83</c:f>
              <c:numCache>
                <c:formatCode>[$-419]mmmm\ yyyy;@</c:formatCode>
                <c:ptCount val="6"/>
                <c:pt idx="0">
                  <c:v>41545</c:v>
                </c:pt>
                <c:pt idx="1">
                  <c:v>41575</c:v>
                </c:pt>
                <c:pt idx="2">
                  <c:v>41606</c:v>
                </c:pt>
                <c:pt idx="3">
                  <c:v>41636</c:v>
                </c:pt>
                <c:pt idx="4">
                  <c:v>41667</c:v>
                </c:pt>
                <c:pt idx="5">
                  <c:v>41698</c:v>
                </c:pt>
              </c:numCache>
            </c:numRef>
          </c:cat>
          <c:val>
            <c:numRef>
              <c:f>Февраль2014!$C$86:$H$86</c:f>
              <c:numCache>
                <c:formatCode>#,##0</c:formatCode>
                <c:ptCount val="6"/>
                <c:pt idx="0">
                  <c:v>6763</c:v>
                </c:pt>
                <c:pt idx="1">
                  <c:v>6810</c:v>
                </c:pt>
                <c:pt idx="2">
                  <c:v>6874</c:v>
                </c:pt>
                <c:pt idx="3">
                  <c:v>6957</c:v>
                </c:pt>
                <c:pt idx="4">
                  <c:v>7004</c:v>
                </c:pt>
                <c:pt idx="5">
                  <c:v>7064</c:v>
                </c:pt>
              </c:numCache>
            </c:numRef>
          </c:val>
        </c:ser>
        <c:ser>
          <c:idx val="3"/>
          <c:order val="3"/>
          <c:tx>
            <c:strRef>
              <c:f>Февраль2014!$B$87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Февраль2014!$C$83:$H$83</c:f>
              <c:numCache>
                <c:formatCode>[$-419]mmmm\ yyyy;@</c:formatCode>
                <c:ptCount val="6"/>
                <c:pt idx="0">
                  <c:v>41545</c:v>
                </c:pt>
                <c:pt idx="1">
                  <c:v>41575</c:v>
                </c:pt>
                <c:pt idx="2">
                  <c:v>41606</c:v>
                </c:pt>
                <c:pt idx="3">
                  <c:v>41636</c:v>
                </c:pt>
                <c:pt idx="4">
                  <c:v>41667</c:v>
                </c:pt>
                <c:pt idx="5">
                  <c:v>41698</c:v>
                </c:pt>
              </c:numCache>
            </c:numRef>
          </c:cat>
          <c:val>
            <c:numRef>
              <c:f>Февраль2014!$C$87:$H$87</c:f>
              <c:numCache>
                <c:formatCode>#,##0</c:formatCode>
                <c:ptCount val="6"/>
                <c:pt idx="0">
                  <c:v>5254</c:v>
                </c:pt>
                <c:pt idx="1">
                  <c:v>5157</c:v>
                </c:pt>
                <c:pt idx="2">
                  <c:v>5205</c:v>
                </c:pt>
                <c:pt idx="3">
                  <c:v>5182</c:v>
                </c:pt>
                <c:pt idx="4">
                  <c:v>5189</c:v>
                </c:pt>
                <c:pt idx="5">
                  <c:v>5217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69745664"/>
        <c:axId val="38181056"/>
        <c:axId val="0"/>
      </c:bar3DChart>
      <c:dateAx>
        <c:axId val="6974566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81810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3818105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9745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Март2014!$C$50:$I$50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Март2014!$B$51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Март2014!$C$51:$I$51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Март2014!$B$52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Март2014!$C$52:$I$52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Март2014!$B$53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Март2014!$C$53:$I$53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1319936"/>
        <c:axId val="119947840"/>
        <c:axId val="0"/>
      </c:bar3DChart>
      <c:dateAx>
        <c:axId val="1213199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19947840"/>
        <c:crosses val="autoZero"/>
        <c:auto val="1"/>
        <c:lblOffset val="100"/>
        <c:baseTimeUnit val="years"/>
        <c:majorUnit val="1"/>
        <c:minorUnit val="1"/>
      </c:dateAx>
      <c:valAx>
        <c:axId val="11994784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319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Март2014!$B$84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Март2014!$C$83:$H$83</c:f>
              <c:numCache>
                <c:formatCode>[$-419]mmmm\ yyyy;@</c:formatCode>
                <c:ptCount val="6"/>
                <c:pt idx="0">
                  <c:v>41575</c:v>
                </c:pt>
                <c:pt idx="1">
                  <c:v>41606</c:v>
                </c:pt>
                <c:pt idx="2">
                  <c:v>41636</c:v>
                </c:pt>
                <c:pt idx="3">
                  <c:v>41667</c:v>
                </c:pt>
                <c:pt idx="4">
                  <c:v>41698</c:v>
                </c:pt>
                <c:pt idx="5">
                  <c:v>41726</c:v>
                </c:pt>
              </c:numCache>
            </c:numRef>
          </c:cat>
          <c:val>
            <c:numRef>
              <c:f>Март2014!$C$84:$H$84</c:f>
              <c:numCache>
                <c:formatCode>#,##0</c:formatCode>
                <c:ptCount val="6"/>
                <c:pt idx="0">
                  <c:v>876196</c:v>
                </c:pt>
                <c:pt idx="1">
                  <c:v>878908</c:v>
                </c:pt>
                <c:pt idx="2">
                  <c:v>881844</c:v>
                </c:pt>
                <c:pt idx="3">
                  <c:v>883068</c:v>
                </c:pt>
                <c:pt idx="4">
                  <c:v>886594</c:v>
                </c:pt>
                <c:pt idx="5">
                  <c:v>892693</c:v>
                </c:pt>
              </c:numCache>
            </c:numRef>
          </c:val>
        </c:ser>
        <c:ser>
          <c:idx val="1"/>
          <c:order val="1"/>
          <c:tx>
            <c:strRef>
              <c:f>Март2014!$B$85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Март2014!$C$83:$H$83</c:f>
              <c:numCache>
                <c:formatCode>[$-419]mmmm\ yyyy;@</c:formatCode>
                <c:ptCount val="6"/>
                <c:pt idx="0">
                  <c:v>41575</c:v>
                </c:pt>
                <c:pt idx="1">
                  <c:v>41606</c:v>
                </c:pt>
                <c:pt idx="2">
                  <c:v>41636</c:v>
                </c:pt>
                <c:pt idx="3">
                  <c:v>41667</c:v>
                </c:pt>
                <c:pt idx="4">
                  <c:v>41698</c:v>
                </c:pt>
                <c:pt idx="5">
                  <c:v>41726</c:v>
                </c:pt>
              </c:numCache>
            </c:numRef>
          </c:cat>
          <c:val>
            <c:numRef>
              <c:f>Март2014!$C$85:$H$85</c:f>
              <c:numCache>
                <c:formatCode>#,##0</c:formatCode>
                <c:ptCount val="6"/>
                <c:pt idx="0">
                  <c:v>19352</c:v>
                </c:pt>
                <c:pt idx="1">
                  <c:v>19435</c:v>
                </c:pt>
                <c:pt idx="2">
                  <c:v>19539</c:v>
                </c:pt>
                <c:pt idx="3">
                  <c:v>19540</c:v>
                </c:pt>
                <c:pt idx="4">
                  <c:v>19633</c:v>
                </c:pt>
                <c:pt idx="5">
                  <c:v>19706</c:v>
                </c:pt>
              </c:numCache>
            </c:numRef>
          </c:val>
        </c:ser>
        <c:ser>
          <c:idx val="2"/>
          <c:order val="2"/>
          <c:tx>
            <c:strRef>
              <c:f>Март2014!$B$86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Март2014!$C$83:$H$83</c:f>
              <c:numCache>
                <c:formatCode>[$-419]mmmm\ yyyy;@</c:formatCode>
                <c:ptCount val="6"/>
                <c:pt idx="0">
                  <c:v>41575</c:v>
                </c:pt>
                <c:pt idx="1">
                  <c:v>41606</c:v>
                </c:pt>
                <c:pt idx="2">
                  <c:v>41636</c:v>
                </c:pt>
                <c:pt idx="3">
                  <c:v>41667</c:v>
                </c:pt>
                <c:pt idx="4">
                  <c:v>41698</c:v>
                </c:pt>
                <c:pt idx="5">
                  <c:v>41726</c:v>
                </c:pt>
              </c:numCache>
            </c:numRef>
          </c:cat>
          <c:val>
            <c:numRef>
              <c:f>Март2014!$C$86:$H$86</c:f>
              <c:numCache>
                <c:formatCode>#,##0</c:formatCode>
                <c:ptCount val="6"/>
                <c:pt idx="0">
                  <c:v>6810</c:v>
                </c:pt>
                <c:pt idx="1">
                  <c:v>6874</c:v>
                </c:pt>
                <c:pt idx="2">
                  <c:v>6957</c:v>
                </c:pt>
                <c:pt idx="3">
                  <c:v>7004</c:v>
                </c:pt>
                <c:pt idx="4">
                  <c:v>7064</c:v>
                </c:pt>
                <c:pt idx="5">
                  <c:v>6815</c:v>
                </c:pt>
              </c:numCache>
            </c:numRef>
          </c:val>
        </c:ser>
        <c:ser>
          <c:idx val="3"/>
          <c:order val="3"/>
          <c:tx>
            <c:strRef>
              <c:f>Март2014!$B$87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Март2014!$C$83:$H$83</c:f>
              <c:numCache>
                <c:formatCode>[$-419]mmmm\ yyyy;@</c:formatCode>
                <c:ptCount val="6"/>
                <c:pt idx="0">
                  <c:v>41575</c:v>
                </c:pt>
                <c:pt idx="1">
                  <c:v>41606</c:v>
                </c:pt>
                <c:pt idx="2">
                  <c:v>41636</c:v>
                </c:pt>
                <c:pt idx="3">
                  <c:v>41667</c:v>
                </c:pt>
                <c:pt idx="4">
                  <c:v>41698</c:v>
                </c:pt>
                <c:pt idx="5">
                  <c:v>41726</c:v>
                </c:pt>
              </c:numCache>
            </c:numRef>
          </c:cat>
          <c:val>
            <c:numRef>
              <c:f>Март2014!$C$87:$H$87</c:f>
              <c:numCache>
                <c:formatCode>#,##0</c:formatCode>
                <c:ptCount val="6"/>
                <c:pt idx="0">
                  <c:v>5157</c:v>
                </c:pt>
                <c:pt idx="1">
                  <c:v>5205</c:v>
                </c:pt>
                <c:pt idx="2">
                  <c:v>5182</c:v>
                </c:pt>
                <c:pt idx="3">
                  <c:v>5189</c:v>
                </c:pt>
                <c:pt idx="4">
                  <c:v>5217</c:v>
                </c:pt>
                <c:pt idx="5">
                  <c:v>5226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1323008"/>
        <c:axId val="119952448"/>
        <c:axId val="0"/>
      </c:bar3DChart>
      <c:dateAx>
        <c:axId val="12132300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199524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1995244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3230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Апрель2014!$C$50:$I$50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Апрель2014!$B$51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Апрель2014!$C$51:$I$51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Апрель2014!$B$52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Апрель2014!$C$52:$I$52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Апрель2014!$B$53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Апрель2014!$C$53:$I$53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3647488"/>
        <c:axId val="119954752"/>
        <c:axId val="0"/>
      </c:bar3DChart>
      <c:dateAx>
        <c:axId val="1236474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19954752"/>
        <c:crosses val="autoZero"/>
        <c:auto val="1"/>
        <c:lblOffset val="100"/>
        <c:baseTimeUnit val="years"/>
        <c:majorUnit val="1"/>
        <c:minorUnit val="1"/>
      </c:dateAx>
      <c:valAx>
        <c:axId val="1199547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3647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Апрель2014!$B$84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Апрель2014!$C$83:$H$83</c:f>
              <c:numCache>
                <c:formatCode>[$-419]mmmm\ yyyy;@</c:formatCode>
                <c:ptCount val="6"/>
                <c:pt idx="0">
                  <c:v>41606</c:v>
                </c:pt>
                <c:pt idx="1">
                  <c:v>41636</c:v>
                </c:pt>
                <c:pt idx="2">
                  <c:v>41667</c:v>
                </c:pt>
                <c:pt idx="3">
                  <c:v>41698</c:v>
                </c:pt>
                <c:pt idx="4">
                  <c:v>41728</c:v>
                </c:pt>
                <c:pt idx="5">
                  <c:v>41759</c:v>
                </c:pt>
              </c:numCache>
            </c:numRef>
          </c:cat>
          <c:val>
            <c:numRef>
              <c:f>Апрель2014!$C$84:$H$84</c:f>
              <c:numCache>
                <c:formatCode>#,##0</c:formatCode>
                <c:ptCount val="6"/>
                <c:pt idx="0">
                  <c:v>878908</c:v>
                </c:pt>
                <c:pt idx="1">
                  <c:v>881844</c:v>
                </c:pt>
                <c:pt idx="2">
                  <c:v>883068</c:v>
                </c:pt>
                <c:pt idx="3">
                  <c:v>886594</c:v>
                </c:pt>
                <c:pt idx="4">
                  <c:v>892693</c:v>
                </c:pt>
                <c:pt idx="5">
                  <c:v>896413</c:v>
                </c:pt>
              </c:numCache>
            </c:numRef>
          </c:val>
        </c:ser>
        <c:ser>
          <c:idx val="1"/>
          <c:order val="1"/>
          <c:tx>
            <c:strRef>
              <c:f>Апрель2014!$B$85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Апрель2014!$C$83:$H$83</c:f>
              <c:numCache>
                <c:formatCode>[$-419]mmmm\ yyyy;@</c:formatCode>
                <c:ptCount val="6"/>
                <c:pt idx="0">
                  <c:v>41606</c:v>
                </c:pt>
                <c:pt idx="1">
                  <c:v>41636</c:v>
                </c:pt>
                <c:pt idx="2">
                  <c:v>41667</c:v>
                </c:pt>
                <c:pt idx="3">
                  <c:v>41698</c:v>
                </c:pt>
                <c:pt idx="4">
                  <c:v>41728</c:v>
                </c:pt>
                <c:pt idx="5">
                  <c:v>41759</c:v>
                </c:pt>
              </c:numCache>
            </c:numRef>
          </c:cat>
          <c:val>
            <c:numRef>
              <c:f>Апрель2014!$C$85:$H$85</c:f>
              <c:numCache>
                <c:formatCode>#,##0</c:formatCode>
                <c:ptCount val="6"/>
                <c:pt idx="0">
                  <c:v>19435</c:v>
                </c:pt>
                <c:pt idx="1">
                  <c:v>19539</c:v>
                </c:pt>
                <c:pt idx="2">
                  <c:v>19540</c:v>
                </c:pt>
                <c:pt idx="3">
                  <c:v>19633</c:v>
                </c:pt>
                <c:pt idx="4">
                  <c:v>19706</c:v>
                </c:pt>
                <c:pt idx="5">
                  <c:v>19733</c:v>
                </c:pt>
              </c:numCache>
            </c:numRef>
          </c:val>
        </c:ser>
        <c:ser>
          <c:idx val="2"/>
          <c:order val="2"/>
          <c:tx>
            <c:strRef>
              <c:f>Апрель2014!$B$86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Апрель2014!$C$83:$H$83</c:f>
              <c:numCache>
                <c:formatCode>[$-419]mmmm\ yyyy;@</c:formatCode>
                <c:ptCount val="6"/>
                <c:pt idx="0">
                  <c:v>41606</c:v>
                </c:pt>
                <c:pt idx="1">
                  <c:v>41636</c:v>
                </c:pt>
                <c:pt idx="2">
                  <c:v>41667</c:v>
                </c:pt>
                <c:pt idx="3">
                  <c:v>41698</c:v>
                </c:pt>
                <c:pt idx="4">
                  <c:v>41728</c:v>
                </c:pt>
                <c:pt idx="5">
                  <c:v>41759</c:v>
                </c:pt>
              </c:numCache>
            </c:numRef>
          </c:cat>
          <c:val>
            <c:numRef>
              <c:f>Апрель2014!$C$86:$H$86</c:f>
              <c:numCache>
                <c:formatCode>#,##0</c:formatCode>
                <c:ptCount val="6"/>
                <c:pt idx="0">
                  <c:v>6874</c:v>
                </c:pt>
                <c:pt idx="1">
                  <c:v>6957</c:v>
                </c:pt>
                <c:pt idx="2">
                  <c:v>7004</c:v>
                </c:pt>
                <c:pt idx="3">
                  <c:v>7064</c:v>
                </c:pt>
                <c:pt idx="4">
                  <c:v>6815</c:v>
                </c:pt>
                <c:pt idx="5">
                  <c:v>6885</c:v>
                </c:pt>
              </c:numCache>
            </c:numRef>
          </c:val>
        </c:ser>
        <c:ser>
          <c:idx val="3"/>
          <c:order val="3"/>
          <c:tx>
            <c:strRef>
              <c:f>Апрель2014!$B$87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Апрель2014!$C$83:$H$83</c:f>
              <c:numCache>
                <c:formatCode>[$-419]mmmm\ yyyy;@</c:formatCode>
                <c:ptCount val="6"/>
                <c:pt idx="0">
                  <c:v>41606</c:v>
                </c:pt>
                <c:pt idx="1">
                  <c:v>41636</c:v>
                </c:pt>
                <c:pt idx="2">
                  <c:v>41667</c:v>
                </c:pt>
                <c:pt idx="3">
                  <c:v>41698</c:v>
                </c:pt>
                <c:pt idx="4">
                  <c:v>41728</c:v>
                </c:pt>
                <c:pt idx="5">
                  <c:v>41759</c:v>
                </c:pt>
              </c:numCache>
            </c:numRef>
          </c:cat>
          <c:val>
            <c:numRef>
              <c:f>Апрель2014!$C$87:$H$87</c:f>
              <c:numCache>
                <c:formatCode>#,##0</c:formatCode>
                <c:ptCount val="6"/>
                <c:pt idx="0">
                  <c:v>5205</c:v>
                </c:pt>
                <c:pt idx="1">
                  <c:v>5182</c:v>
                </c:pt>
                <c:pt idx="2">
                  <c:v>5189</c:v>
                </c:pt>
                <c:pt idx="3">
                  <c:v>5217</c:v>
                </c:pt>
                <c:pt idx="4">
                  <c:v>5226</c:v>
                </c:pt>
                <c:pt idx="5">
                  <c:v>5192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23649536"/>
        <c:axId val="120489664"/>
        <c:axId val="0"/>
      </c:bar3DChart>
      <c:dateAx>
        <c:axId val="1236495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04896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048966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36495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Май2014!$C$50:$I$50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Май2014!$B$51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Май2014!$C$51:$I$51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Май2014!$B$52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Май2014!$C$52:$I$52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Май2014!$B$53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Май2014!$C$53:$I$53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5078400"/>
        <c:axId val="120491968"/>
        <c:axId val="0"/>
      </c:bar3DChart>
      <c:dateAx>
        <c:axId val="2550784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0491968"/>
        <c:crosses val="autoZero"/>
        <c:auto val="1"/>
        <c:lblOffset val="100"/>
        <c:baseTimeUnit val="years"/>
        <c:majorUnit val="1"/>
        <c:minorUnit val="1"/>
      </c:dateAx>
      <c:valAx>
        <c:axId val="1204919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50784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Май2014!$B$84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Май2014!$C$83:$H$83</c:f>
              <c:numCache>
                <c:formatCode>[$-419]mmmm\ yyyy;@</c:formatCode>
                <c:ptCount val="6"/>
                <c:pt idx="0">
                  <c:v>41636</c:v>
                </c:pt>
                <c:pt idx="1">
                  <c:v>41667</c:v>
                </c:pt>
                <c:pt idx="2">
                  <c:v>41698</c:v>
                </c:pt>
                <c:pt idx="3">
                  <c:v>41728</c:v>
                </c:pt>
                <c:pt idx="4">
                  <c:v>41759</c:v>
                </c:pt>
                <c:pt idx="5">
                  <c:v>41789</c:v>
                </c:pt>
              </c:numCache>
            </c:numRef>
          </c:cat>
          <c:val>
            <c:numRef>
              <c:f>Май2014!$C$84:$H$84</c:f>
              <c:numCache>
                <c:formatCode>#,##0</c:formatCode>
                <c:ptCount val="6"/>
                <c:pt idx="0">
                  <c:v>881844</c:v>
                </c:pt>
                <c:pt idx="1">
                  <c:v>883068</c:v>
                </c:pt>
                <c:pt idx="2">
                  <c:v>886594</c:v>
                </c:pt>
                <c:pt idx="3">
                  <c:v>892693</c:v>
                </c:pt>
                <c:pt idx="4">
                  <c:v>896413</c:v>
                </c:pt>
                <c:pt idx="5">
                  <c:v>897706</c:v>
                </c:pt>
              </c:numCache>
            </c:numRef>
          </c:val>
        </c:ser>
        <c:ser>
          <c:idx val="1"/>
          <c:order val="1"/>
          <c:tx>
            <c:strRef>
              <c:f>Май2014!$B$85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Май2014!$C$83:$H$83</c:f>
              <c:numCache>
                <c:formatCode>[$-419]mmmm\ yyyy;@</c:formatCode>
                <c:ptCount val="6"/>
                <c:pt idx="0">
                  <c:v>41636</c:v>
                </c:pt>
                <c:pt idx="1">
                  <c:v>41667</c:v>
                </c:pt>
                <c:pt idx="2">
                  <c:v>41698</c:v>
                </c:pt>
                <c:pt idx="3">
                  <c:v>41728</c:v>
                </c:pt>
                <c:pt idx="4">
                  <c:v>41759</c:v>
                </c:pt>
                <c:pt idx="5">
                  <c:v>41789</c:v>
                </c:pt>
              </c:numCache>
            </c:numRef>
          </c:cat>
          <c:val>
            <c:numRef>
              <c:f>Май2014!$C$85:$H$85</c:f>
              <c:numCache>
                <c:formatCode>#,##0</c:formatCode>
                <c:ptCount val="6"/>
                <c:pt idx="0">
                  <c:v>19539</c:v>
                </c:pt>
                <c:pt idx="1">
                  <c:v>19540</c:v>
                </c:pt>
                <c:pt idx="2">
                  <c:v>19633</c:v>
                </c:pt>
                <c:pt idx="3">
                  <c:v>19706</c:v>
                </c:pt>
                <c:pt idx="4">
                  <c:v>19733</c:v>
                </c:pt>
                <c:pt idx="5">
                  <c:v>19759</c:v>
                </c:pt>
              </c:numCache>
            </c:numRef>
          </c:val>
        </c:ser>
        <c:ser>
          <c:idx val="2"/>
          <c:order val="2"/>
          <c:tx>
            <c:strRef>
              <c:f>Май2014!$B$86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Май2014!$C$83:$H$83</c:f>
              <c:numCache>
                <c:formatCode>[$-419]mmmm\ yyyy;@</c:formatCode>
                <c:ptCount val="6"/>
                <c:pt idx="0">
                  <c:v>41636</c:v>
                </c:pt>
                <c:pt idx="1">
                  <c:v>41667</c:v>
                </c:pt>
                <c:pt idx="2">
                  <c:v>41698</c:v>
                </c:pt>
                <c:pt idx="3">
                  <c:v>41728</c:v>
                </c:pt>
                <c:pt idx="4">
                  <c:v>41759</c:v>
                </c:pt>
                <c:pt idx="5">
                  <c:v>41789</c:v>
                </c:pt>
              </c:numCache>
            </c:numRef>
          </c:cat>
          <c:val>
            <c:numRef>
              <c:f>Май2014!$C$86:$H$86</c:f>
              <c:numCache>
                <c:formatCode>#,##0</c:formatCode>
                <c:ptCount val="6"/>
                <c:pt idx="0">
                  <c:v>6957</c:v>
                </c:pt>
                <c:pt idx="1">
                  <c:v>7004</c:v>
                </c:pt>
                <c:pt idx="2">
                  <c:v>7064</c:v>
                </c:pt>
                <c:pt idx="3">
                  <c:v>6815</c:v>
                </c:pt>
                <c:pt idx="4">
                  <c:v>6885</c:v>
                </c:pt>
                <c:pt idx="5">
                  <c:v>6946</c:v>
                </c:pt>
              </c:numCache>
            </c:numRef>
          </c:val>
        </c:ser>
        <c:ser>
          <c:idx val="3"/>
          <c:order val="3"/>
          <c:tx>
            <c:strRef>
              <c:f>Май2014!$B$87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Май2014!$C$83:$H$83</c:f>
              <c:numCache>
                <c:formatCode>[$-419]mmmm\ yyyy;@</c:formatCode>
                <c:ptCount val="6"/>
                <c:pt idx="0">
                  <c:v>41636</c:v>
                </c:pt>
                <c:pt idx="1">
                  <c:v>41667</c:v>
                </c:pt>
                <c:pt idx="2">
                  <c:v>41698</c:v>
                </c:pt>
                <c:pt idx="3">
                  <c:v>41728</c:v>
                </c:pt>
                <c:pt idx="4">
                  <c:v>41759</c:v>
                </c:pt>
                <c:pt idx="5">
                  <c:v>41789</c:v>
                </c:pt>
              </c:numCache>
            </c:numRef>
          </c:cat>
          <c:val>
            <c:numRef>
              <c:f>Май2014!$C$87:$H$87</c:f>
              <c:numCache>
                <c:formatCode>#,##0</c:formatCode>
                <c:ptCount val="6"/>
                <c:pt idx="0">
                  <c:v>5182</c:v>
                </c:pt>
                <c:pt idx="1">
                  <c:v>5189</c:v>
                </c:pt>
                <c:pt idx="2">
                  <c:v>5217</c:v>
                </c:pt>
                <c:pt idx="3">
                  <c:v>5226</c:v>
                </c:pt>
                <c:pt idx="4">
                  <c:v>5192</c:v>
                </c:pt>
                <c:pt idx="5">
                  <c:v>5159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7886208"/>
        <c:axId val="121061376"/>
        <c:axId val="0"/>
      </c:bar3DChart>
      <c:dateAx>
        <c:axId val="25788620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13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106137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78862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Июнь2014!$C$50:$I$50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Июнь2014!$B$51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Июнь2014!$C$51:$I$51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Июнь2014!$B$52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Июнь2014!$C$52:$I$52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Июнь2014!$B$53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Июнь2014!$C$53:$I$53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8090496"/>
        <c:axId val="121063680"/>
        <c:axId val="0"/>
      </c:bar3DChart>
      <c:dateAx>
        <c:axId val="25809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3680"/>
        <c:crosses val="autoZero"/>
        <c:auto val="1"/>
        <c:lblOffset val="100"/>
        <c:baseTimeUnit val="years"/>
        <c:majorUnit val="1"/>
        <c:minorUnit val="1"/>
      </c:dateAx>
      <c:valAx>
        <c:axId val="1210636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80904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Июнь2014!$B$84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Июнь2014!$C$83:$H$83</c:f>
              <c:numCache>
                <c:formatCode>[$-419]mmmm\ yyyy;@</c:formatCode>
                <c:ptCount val="6"/>
                <c:pt idx="0">
                  <c:v>41667</c:v>
                </c:pt>
                <c:pt idx="1">
                  <c:v>41698</c:v>
                </c:pt>
                <c:pt idx="2">
                  <c:v>41728</c:v>
                </c:pt>
                <c:pt idx="3">
                  <c:v>41759</c:v>
                </c:pt>
                <c:pt idx="4">
                  <c:v>41789</c:v>
                </c:pt>
                <c:pt idx="5">
                  <c:v>41820</c:v>
                </c:pt>
              </c:numCache>
            </c:numRef>
          </c:cat>
          <c:val>
            <c:numRef>
              <c:f>Июнь2014!$C$84:$H$84</c:f>
              <c:numCache>
                <c:formatCode>#,##0</c:formatCode>
                <c:ptCount val="6"/>
                <c:pt idx="0">
                  <c:v>883068</c:v>
                </c:pt>
                <c:pt idx="1">
                  <c:v>886594</c:v>
                </c:pt>
                <c:pt idx="2">
                  <c:v>892693</c:v>
                </c:pt>
                <c:pt idx="3">
                  <c:v>896413</c:v>
                </c:pt>
                <c:pt idx="4">
                  <c:v>897706</c:v>
                </c:pt>
                <c:pt idx="5">
                  <c:v>900250</c:v>
                </c:pt>
              </c:numCache>
            </c:numRef>
          </c:val>
        </c:ser>
        <c:ser>
          <c:idx val="1"/>
          <c:order val="1"/>
          <c:tx>
            <c:strRef>
              <c:f>Июнь2014!$B$85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Июнь2014!$C$83:$H$83</c:f>
              <c:numCache>
                <c:formatCode>[$-419]mmmm\ yyyy;@</c:formatCode>
                <c:ptCount val="6"/>
                <c:pt idx="0">
                  <c:v>41667</c:v>
                </c:pt>
                <c:pt idx="1">
                  <c:v>41698</c:v>
                </c:pt>
                <c:pt idx="2">
                  <c:v>41728</c:v>
                </c:pt>
                <c:pt idx="3">
                  <c:v>41759</c:v>
                </c:pt>
                <c:pt idx="4">
                  <c:v>41789</c:v>
                </c:pt>
                <c:pt idx="5">
                  <c:v>41820</c:v>
                </c:pt>
              </c:numCache>
            </c:numRef>
          </c:cat>
          <c:val>
            <c:numRef>
              <c:f>Июнь2014!$C$85:$H$85</c:f>
              <c:numCache>
                <c:formatCode>#,##0</c:formatCode>
                <c:ptCount val="6"/>
                <c:pt idx="0">
                  <c:v>19540</c:v>
                </c:pt>
                <c:pt idx="1">
                  <c:v>19633</c:v>
                </c:pt>
                <c:pt idx="2">
                  <c:v>19706</c:v>
                </c:pt>
                <c:pt idx="3">
                  <c:v>19733</c:v>
                </c:pt>
                <c:pt idx="4">
                  <c:v>19759</c:v>
                </c:pt>
                <c:pt idx="5">
                  <c:v>19811</c:v>
                </c:pt>
              </c:numCache>
            </c:numRef>
          </c:val>
        </c:ser>
        <c:ser>
          <c:idx val="2"/>
          <c:order val="2"/>
          <c:tx>
            <c:strRef>
              <c:f>Июнь2014!$B$86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Июнь2014!$C$83:$H$83</c:f>
              <c:numCache>
                <c:formatCode>[$-419]mmmm\ yyyy;@</c:formatCode>
                <c:ptCount val="6"/>
                <c:pt idx="0">
                  <c:v>41667</c:v>
                </c:pt>
                <c:pt idx="1">
                  <c:v>41698</c:v>
                </c:pt>
                <c:pt idx="2">
                  <c:v>41728</c:v>
                </c:pt>
                <c:pt idx="3">
                  <c:v>41759</c:v>
                </c:pt>
                <c:pt idx="4">
                  <c:v>41789</c:v>
                </c:pt>
                <c:pt idx="5">
                  <c:v>41820</c:v>
                </c:pt>
              </c:numCache>
            </c:numRef>
          </c:cat>
          <c:val>
            <c:numRef>
              <c:f>Июнь2014!$C$86:$H$86</c:f>
              <c:numCache>
                <c:formatCode>#,##0</c:formatCode>
                <c:ptCount val="6"/>
                <c:pt idx="0">
                  <c:v>7004</c:v>
                </c:pt>
                <c:pt idx="1">
                  <c:v>7064</c:v>
                </c:pt>
                <c:pt idx="2">
                  <c:v>6815</c:v>
                </c:pt>
                <c:pt idx="3">
                  <c:v>6885</c:v>
                </c:pt>
                <c:pt idx="4">
                  <c:v>6946</c:v>
                </c:pt>
                <c:pt idx="5">
                  <c:v>7125</c:v>
                </c:pt>
              </c:numCache>
            </c:numRef>
          </c:val>
        </c:ser>
        <c:ser>
          <c:idx val="3"/>
          <c:order val="3"/>
          <c:tx>
            <c:strRef>
              <c:f>Июнь2014!$B$87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Июнь2014!$C$83:$H$83</c:f>
              <c:numCache>
                <c:formatCode>[$-419]mmmm\ yyyy;@</c:formatCode>
                <c:ptCount val="6"/>
                <c:pt idx="0">
                  <c:v>41667</c:v>
                </c:pt>
                <c:pt idx="1">
                  <c:v>41698</c:v>
                </c:pt>
                <c:pt idx="2">
                  <c:v>41728</c:v>
                </c:pt>
                <c:pt idx="3">
                  <c:v>41759</c:v>
                </c:pt>
                <c:pt idx="4">
                  <c:v>41789</c:v>
                </c:pt>
                <c:pt idx="5">
                  <c:v>41820</c:v>
                </c:pt>
              </c:numCache>
            </c:numRef>
          </c:cat>
          <c:val>
            <c:numRef>
              <c:f>Июнь2014!$C$87:$H$87</c:f>
              <c:numCache>
                <c:formatCode>#,##0</c:formatCode>
                <c:ptCount val="6"/>
                <c:pt idx="0">
                  <c:v>5189</c:v>
                </c:pt>
                <c:pt idx="1">
                  <c:v>5217</c:v>
                </c:pt>
                <c:pt idx="2">
                  <c:v>5226</c:v>
                </c:pt>
                <c:pt idx="3">
                  <c:v>5192</c:v>
                </c:pt>
                <c:pt idx="4">
                  <c:v>5159</c:v>
                </c:pt>
                <c:pt idx="5">
                  <c:v>5175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8092544"/>
        <c:axId val="121066560"/>
        <c:axId val="0"/>
      </c:bar3DChart>
      <c:dateAx>
        <c:axId val="25809254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65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10665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80925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Июль2014!$C$50:$I$50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Июль2014!$B$51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Июль2014!$C$51:$I$51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Июль2014!$B$52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Июль2014!$C$52:$I$52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Июль2014!$B$53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Июль2014!$C$53:$I$53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8135040"/>
        <c:axId val="121068864"/>
        <c:axId val="0"/>
      </c:bar3DChart>
      <c:dateAx>
        <c:axId val="25813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21068864"/>
        <c:crosses val="autoZero"/>
        <c:auto val="1"/>
        <c:lblOffset val="100"/>
        <c:baseTimeUnit val="years"/>
        <c:majorUnit val="1"/>
        <c:minorUnit val="1"/>
      </c:dateAx>
      <c:valAx>
        <c:axId val="1210688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81350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Июль2014!$B$84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Июль2014!$C$83:$H$83</c:f>
              <c:numCache>
                <c:formatCode>[$-419]mmmm\ yyyy;@</c:formatCode>
                <c:ptCount val="6"/>
                <c:pt idx="0">
                  <c:v>41698</c:v>
                </c:pt>
                <c:pt idx="1">
                  <c:v>41728</c:v>
                </c:pt>
                <c:pt idx="2">
                  <c:v>41759</c:v>
                </c:pt>
                <c:pt idx="3">
                  <c:v>41789</c:v>
                </c:pt>
                <c:pt idx="4">
                  <c:v>41820</c:v>
                </c:pt>
                <c:pt idx="5">
                  <c:v>41850</c:v>
                </c:pt>
              </c:numCache>
            </c:numRef>
          </c:cat>
          <c:val>
            <c:numRef>
              <c:f>Июль2014!$C$84:$H$84</c:f>
              <c:numCache>
                <c:formatCode>#,##0</c:formatCode>
                <c:ptCount val="6"/>
                <c:pt idx="0">
                  <c:v>886594</c:v>
                </c:pt>
                <c:pt idx="1">
                  <c:v>892693</c:v>
                </c:pt>
                <c:pt idx="2">
                  <c:v>896413</c:v>
                </c:pt>
                <c:pt idx="3">
                  <c:v>897706</c:v>
                </c:pt>
                <c:pt idx="4">
                  <c:v>900250</c:v>
                </c:pt>
                <c:pt idx="5">
                  <c:v>901853</c:v>
                </c:pt>
              </c:numCache>
            </c:numRef>
          </c:val>
        </c:ser>
        <c:ser>
          <c:idx val="1"/>
          <c:order val="1"/>
          <c:tx>
            <c:strRef>
              <c:f>Июль2014!$B$85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Июль2014!$C$83:$H$83</c:f>
              <c:numCache>
                <c:formatCode>[$-419]mmmm\ yyyy;@</c:formatCode>
                <c:ptCount val="6"/>
                <c:pt idx="0">
                  <c:v>41698</c:v>
                </c:pt>
                <c:pt idx="1">
                  <c:v>41728</c:v>
                </c:pt>
                <c:pt idx="2">
                  <c:v>41759</c:v>
                </c:pt>
                <c:pt idx="3">
                  <c:v>41789</c:v>
                </c:pt>
                <c:pt idx="4">
                  <c:v>41820</c:v>
                </c:pt>
                <c:pt idx="5">
                  <c:v>41850</c:v>
                </c:pt>
              </c:numCache>
            </c:numRef>
          </c:cat>
          <c:val>
            <c:numRef>
              <c:f>Июль2014!$C$85:$H$85</c:f>
              <c:numCache>
                <c:formatCode>#,##0</c:formatCode>
                <c:ptCount val="6"/>
                <c:pt idx="0">
                  <c:v>19633</c:v>
                </c:pt>
                <c:pt idx="1">
                  <c:v>19706</c:v>
                </c:pt>
                <c:pt idx="2">
                  <c:v>19733</c:v>
                </c:pt>
                <c:pt idx="3">
                  <c:v>19759</c:v>
                </c:pt>
                <c:pt idx="4">
                  <c:v>19811</c:v>
                </c:pt>
                <c:pt idx="5">
                  <c:v>19846</c:v>
                </c:pt>
              </c:numCache>
            </c:numRef>
          </c:val>
        </c:ser>
        <c:ser>
          <c:idx val="2"/>
          <c:order val="2"/>
          <c:tx>
            <c:strRef>
              <c:f>Июль2014!$B$86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Июль2014!$C$83:$H$83</c:f>
              <c:numCache>
                <c:formatCode>[$-419]mmmm\ yyyy;@</c:formatCode>
                <c:ptCount val="6"/>
                <c:pt idx="0">
                  <c:v>41698</c:v>
                </c:pt>
                <c:pt idx="1">
                  <c:v>41728</c:v>
                </c:pt>
                <c:pt idx="2">
                  <c:v>41759</c:v>
                </c:pt>
                <c:pt idx="3">
                  <c:v>41789</c:v>
                </c:pt>
                <c:pt idx="4">
                  <c:v>41820</c:v>
                </c:pt>
                <c:pt idx="5">
                  <c:v>41850</c:v>
                </c:pt>
              </c:numCache>
            </c:numRef>
          </c:cat>
          <c:val>
            <c:numRef>
              <c:f>Июль2014!$C$86:$H$86</c:f>
              <c:numCache>
                <c:formatCode>#,##0</c:formatCode>
                <c:ptCount val="6"/>
                <c:pt idx="0">
                  <c:v>7064</c:v>
                </c:pt>
                <c:pt idx="1">
                  <c:v>6815</c:v>
                </c:pt>
                <c:pt idx="2">
                  <c:v>6885</c:v>
                </c:pt>
                <c:pt idx="3">
                  <c:v>6946</c:v>
                </c:pt>
                <c:pt idx="4">
                  <c:v>7125</c:v>
                </c:pt>
                <c:pt idx="5">
                  <c:v>7169</c:v>
                </c:pt>
              </c:numCache>
            </c:numRef>
          </c:val>
        </c:ser>
        <c:ser>
          <c:idx val="3"/>
          <c:order val="3"/>
          <c:tx>
            <c:strRef>
              <c:f>Июль2014!$B$87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Июль2014!$C$83:$H$83</c:f>
              <c:numCache>
                <c:formatCode>[$-419]mmmm\ yyyy;@</c:formatCode>
                <c:ptCount val="6"/>
                <c:pt idx="0">
                  <c:v>41698</c:v>
                </c:pt>
                <c:pt idx="1">
                  <c:v>41728</c:v>
                </c:pt>
                <c:pt idx="2">
                  <c:v>41759</c:v>
                </c:pt>
                <c:pt idx="3">
                  <c:v>41789</c:v>
                </c:pt>
                <c:pt idx="4">
                  <c:v>41820</c:v>
                </c:pt>
                <c:pt idx="5">
                  <c:v>41850</c:v>
                </c:pt>
              </c:numCache>
            </c:numRef>
          </c:cat>
          <c:val>
            <c:numRef>
              <c:f>Июль2014!$C$87:$H$87</c:f>
              <c:numCache>
                <c:formatCode>#,##0</c:formatCode>
                <c:ptCount val="6"/>
                <c:pt idx="0">
                  <c:v>5217</c:v>
                </c:pt>
                <c:pt idx="1">
                  <c:v>5226</c:v>
                </c:pt>
                <c:pt idx="2">
                  <c:v>5192</c:v>
                </c:pt>
                <c:pt idx="3">
                  <c:v>5159</c:v>
                </c:pt>
                <c:pt idx="4">
                  <c:v>5175</c:v>
                </c:pt>
                <c:pt idx="5">
                  <c:v>5207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9058176"/>
        <c:axId val="262596288"/>
        <c:axId val="0"/>
      </c:bar3DChart>
      <c:dateAx>
        <c:axId val="2590581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5962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25962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90581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Август2014!$C$50:$I$50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Август2014!$B$51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Август2014!$C$51:$I$51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Август2014!$B$52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Август2014!$C$52:$I$52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Август2014!$B$53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Август2014!$C$53:$I$53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59231232"/>
        <c:axId val="262598592"/>
        <c:axId val="0"/>
      </c:bar3DChart>
      <c:dateAx>
        <c:axId val="259231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598592"/>
        <c:crosses val="autoZero"/>
        <c:auto val="1"/>
        <c:lblOffset val="100"/>
        <c:baseTimeUnit val="years"/>
        <c:majorUnit val="1"/>
        <c:minorUnit val="1"/>
      </c:dateAx>
      <c:valAx>
        <c:axId val="26259859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592312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Август2014!$B$84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Август2014!$C$83:$H$83</c:f>
              <c:numCache>
                <c:formatCode>[$-419]mmmm\ yyyy;@</c:formatCode>
                <c:ptCount val="6"/>
                <c:pt idx="0">
                  <c:v>41728</c:v>
                </c:pt>
                <c:pt idx="1">
                  <c:v>41759</c:v>
                </c:pt>
                <c:pt idx="2">
                  <c:v>41789</c:v>
                </c:pt>
                <c:pt idx="3">
                  <c:v>41820</c:v>
                </c:pt>
                <c:pt idx="4">
                  <c:v>41851</c:v>
                </c:pt>
                <c:pt idx="5">
                  <c:v>41882</c:v>
                </c:pt>
              </c:numCache>
            </c:numRef>
          </c:cat>
          <c:val>
            <c:numRef>
              <c:f>Август2014!$C$84:$H$84</c:f>
              <c:numCache>
                <c:formatCode>#,##0</c:formatCode>
                <c:ptCount val="6"/>
                <c:pt idx="0">
                  <c:v>892693</c:v>
                </c:pt>
                <c:pt idx="1">
                  <c:v>896413</c:v>
                </c:pt>
                <c:pt idx="2">
                  <c:v>897706</c:v>
                </c:pt>
                <c:pt idx="3">
                  <c:v>900250</c:v>
                </c:pt>
                <c:pt idx="4">
                  <c:v>901853</c:v>
                </c:pt>
                <c:pt idx="5">
                  <c:v>915943</c:v>
                </c:pt>
              </c:numCache>
            </c:numRef>
          </c:val>
        </c:ser>
        <c:ser>
          <c:idx val="1"/>
          <c:order val="1"/>
          <c:tx>
            <c:strRef>
              <c:f>Август2014!$B$85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Август2014!$C$83:$H$83</c:f>
              <c:numCache>
                <c:formatCode>[$-419]mmmm\ yyyy;@</c:formatCode>
                <c:ptCount val="6"/>
                <c:pt idx="0">
                  <c:v>41728</c:v>
                </c:pt>
                <c:pt idx="1">
                  <c:v>41759</c:v>
                </c:pt>
                <c:pt idx="2">
                  <c:v>41789</c:v>
                </c:pt>
                <c:pt idx="3">
                  <c:v>41820</c:v>
                </c:pt>
                <c:pt idx="4">
                  <c:v>41851</c:v>
                </c:pt>
                <c:pt idx="5">
                  <c:v>41882</c:v>
                </c:pt>
              </c:numCache>
            </c:numRef>
          </c:cat>
          <c:val>
            <c:numRef>
              <c:f>Август2014!$C$85:$H$85</c:f>
              <c:numCache>
                <c:formatCode>#,##0</c:formatCode>
                <c:ptCount val="6"/>
                <c:pt idx="0">
                  <c:v>19706</c:v>
                </c:pt>
                <c:pt idx="1">
                  <c:v>19733</c:v>
                </c:pt>
                <c:pt idx="2">
                  <c:v>19759</c:v>
                </c:pt>
                <c:pt idx="3">
                  <c:v>19811</c:v>
                </c:pt>
                <c:pt idx="4">
                  <c:v>19846</c:v>
                </c:pt>
                <c:pt idx="5">
                  <c:v>19872</c:v>
                </c:pt>
              </c:numCache>
            </c:numRef>
          </c:val>
        </c:ser>
        <c:ser>
          <c:idx val="2"/>
          <c:order val="2"/>
          <c:tx>
            <c:strRef>
              <c:f>Август2014!$B$86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Август2014!$C$83:$H$83</c:f>
              <c:numCache>
                <c:formatCode>[$-419]mmmm\ yyyy;@</c:formatCode>
                <c:ptCount val="6"/>
                <c:pt idx="0">
                  <c:v>41728</c:v>
                </c:pt>
                <c:pt idx="1">
                  <c:v>41759</c:v>
                </c:pt>
                <c:pt idx="2">
                  <c:v>41789</c:v>
                </c:pt>
                <c:pt idx="3">
                  <c:v>41820</c:v>
                </c:pt>
                <c:pt idx="4">
                  <c:v>41851</c:v>
                </c:pt>
                <c:pt idx="5">
                  <c:v>41882</c:v>
                </c:pt>
              </c:numCache>
            </c:numRef>
          </c:cat>
          <c:val>
            <c:numRef>
              <c:f>Август2014!$C$86:$H$86</c:f>
              <c:numCache>
                <c:formatCode>#,##0</c:formatCode>
                <c:ptCount val="6"/>
                <c:pt idx="0">
                  <c:v>6815</c:v>
                </c:pt>
                <c:pt idx="1">
                  <c:v>6885</c:v>
                </c:pt>
                <c:pt idx="2">
                  <c:v>6946</c:v>
                </c:pt>
                <c:pt idx="3">
                  <c:v>7125</c:v>
                </c:pt>
                <c:pt idx="4">
                  <c:v>7169</c:v>
                </c:pt>
                <c:pt idx="5">
                  <c:v>7273</c:v>
                </c:pt>
              </c:numCache>
            </c:numRef>
          </c:val>
        </c:ser>
        <c:ser>
          <c:idx val="3"/>
          <c:order val="3"/>
          <c:tx>
            <c:strRef>
              <c:f>Август2014!$B$87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Август2014!$C$83:$H$83</c:f>
              <c:numCache>
                <c:formatCode>[$-419]mmmm\ yyyy;@</c:formatCode>
                <c:ptCount val="6"/>
                <c:pt idx="0">
                  <c:v>41728</c:v>
                </c:pt>
                <c:pt idx="1">
                  <c:v>41759</c:v>
                </c:pt>
                <c:pt idx="2">
                  <c:v>41789</c:v>
                </c:pt>
                <c:pt idx="3">
                  <c:v>41820</c:v>
                </c:pt>
                <c:pt idx="4">
                  <c:v>41851</c:v>
                </c:pt>
                <c:pt idx="5">
                  <c:v>41882</c:v>
                </c:pt>
              </c:numCache>
            </c:numRef>
          </c:cat>
          <c:val>
            <c:numRef>
              <c:f>Август2014!$C$87:$H$87</c:f>
              <c:numCache>
                <c:formatCode>#,##0</c:formatCode>
                <c:ptCount val="6"/>
                <c:pt idx="0">
                  <c:v>5226</c:v>
                </c:pt>
                <c:pt idx="1">
                  <c:v>5192</c:v>
                </c:pt>
                <c:pt idx="2">
                  <c:v>5159</c:v>
                </c:pt>
                <c:pt idx="3">
                  <c:v>5175</c:v>
                </c:pt>
                <c:pt idx="4">
                  <c:v>5207</c:v>
                </c:pt>
                <c:pt idx="5">
                  <c:v>5173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2685184"/>
        <c:axId val="262601472"/>
        <c:axId val="0"/>
      </c:bar3DChart>
      <c:dateAx>
        <c:axId val="26268518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6014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260147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2685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Сентябрь2014!$C$50:$I$50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Сентябрь2014!$B$51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Сентябрь2014!$C$51:$I$51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Сентябрь2014!$B$52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Сентябрь2014!$C$52:$I$52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Сентябрь2014!$B$53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Сентябрь2014!$C$53:$I$53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3085056"/>
        <c:axId val="263882432"/>
        <c:axId val="0"/>
      </c:bar3DChart>
      <c:dateAx>
        <c:axId val="2630850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2432"/>
        <c:crosses val="autoZero"/>
        <c:auto val="1"/>
        <c:lblOffset val="100"/>
        <c:baseTimeUnit val="years"/>
        <c:majorUnit val="1"/>
        <c:minorUnit val="1"/>
      </c:dateAx>
      <c:valAx>
        <c:axId val="26388243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0850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Сентябрь2014!$B$84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Сентябрь2014!$C$83:$H$83</c:f>
              <c:numCache>
                <c:formatCode>[$-419]mmmm\ yyyy;@</c:formatCode>
                <c:ptCount val="6"/>
                <c:pt idx="0">
                  <c:v>41759</c:v>
                </c:pt>
                <c:pt idx="1">
                  <c:v>41789</c:v>
                </c:pt>
                <c:pt idx="2">
                  <c:v>41820</c:v>
                </c:pt>
                <c:pt idx="3">
                  <c:v>41850</c:v>
                </c:pt>
                <c:pt idx="4">
                  <c:v>41881</c:v>
                </c:pt>
                <c:pt idx="5">
                  <c:v>41912</c:v>
                </c:pt>
              </c:numCache>
            </c:numRef>
          </c:cat>
          <c:val>
            <c:numRef>
              <c:f>Сентябрь2014!$C$84:$H$84</c:f>
              <c:numCache>
                <c:formatCode>#,##0</c:formatCode>
                <c:ptCount val="6"/>
                <c:pt idx="0">
                  <c:v>896413</c:v>
                </c:pt>
                <c:pt idx="1">
                  <c:v>897706</c:v>
                </c:pt>
                <c:pt idx="2">
                  <c:v>900250</c:v>
                </c:pt>
                <c:pt idx="3">
                  <c:v>901853</c:v>
                </c:pt>
                <c:pt idx="4">
                  <c:v>915943</c:v>
                </c:pt>
                <c:pt idx="5">
                  <c:v>912627</c:v>
                </c:pt>
              </c:numCache>
            </c:numRef>
          </c:val>
        </c:ser>
        <c:ser>
          <c:idx val="1"/>
          <c:order val="1"/>
          <c:tx>
            <c:strRef>
              <c:f>Сентябрь2014!$B$85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Сентябрь2014!$C$83:$H$83</c:f>
              <c:numCache>
                <c:formatCode>[$-419]mmmm\ yyyy;@</c:formatCode>
                <c:ptCount val="6"/>
                <c:pt idx="0">
                  <c:v>41759</c:v>
                </c:pt>
                <c:pt idx="1">
                  <c:v>41789</c:v>
                </c:pt>
                <c:pt idx="2">
                  <c:v>41820</c:v>
                </c:pt>
                <c:pt idx="3">
                  <c:v>41850</c:v>
                </c:pt>
                <c:pt idx="4">
                  <c:v>41881</c:v>
                </c:pt>
                <c:pt idx="5">
                  <c:v>41912</c:v>
                </c:pt>
              </c:numCache>
            </c:numRef>
          </c:cat>
          <c:val>
            <c:numRef>
              <c:f>Сентябрь2014!$C$85:$H$85</c:f>
              <c:numCache>
                <c:formatCode>#,##0</c:formatCode>
                <c:ptCount val="6"/>
                <c:pt idx="0">
                  <c:v>19733</c:v>
                </c:pt>
                <c:pt idx="1">
                  <c:v>19759</c:v>
                </c:pt>
                <c:pt idx="2">
                  <c:v>19811</c:v>
                </c:pt>
                <c:pt idx="3">
                  <c:v>19846</c:v>
                </c:pt>
                <c:pt idx="4">
                  <c:v>19872</c:v>
                </c:pt>
                <c:pt idx="5">
                  <c:v>19829</c:v>
                </c:pt>
              </c:numCache>
            </c:numRef>
          </c:val>
        </c:ser>
        <c:ser>
          <c:idx val="2"/>
          <c:order val="2"/>
          <c:tx>
            <c:strRef>
              <c:f>Сентябрь2014!$B$86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Сентябрь2014!$C$83:$H$83</c:f>
              <c:numCache>
                <c:formatCode>[$-419]mmmm\ yyyy;@</c:formatCode>
                <c:ptCount val="6"/>
                <c:pt idx="0">
                  <c:v>41759</c:v>
                </c:pt>
                <c:pt idx="1">
                  <c:v>41789</c:v>
                </c:pt>
                <c:pt idx="2">
                  <c:v>41820</c:v>
                </c:pt>
                <c:pt idx="3">
                  <c:v>41850</c:v>
                </c:pt>
                <c:pt idx="4">
                  <c:v>41881</c:v>
                </c:pt>
                <c:pt idx="5">
                  <c:v>41912</c:v>
                </c:pt>
              </c:numCache>
            </c:numRef>
          </c:cat>
          <c:val>
            <c:numRef>
              <c:f>Сентябрь2014!$C$86:$H$86</c:f>
              <c:numCache>
                <c:formatCode>#,##0</c:formatCode>
                <c:ptCount val="6"/>
                <c:pt idx="0">
                  <c:v>6885</c:v>
                </c:pt>
                <c:pt idx="1">
                  <c:v>6946</c:v>
                </c:pt>
                <c:pt idx="2">
                  <c:v>7125</c:v>
                </c:pt>
                <c:pt idx="3">
                  <c:v>7169</c:v>
                </c:pt>
                <c:pt idx="4">
                  <c:v>7273</c:v>
                </c:pt>
                <c:pt idx="5">
                  <c:v>7332</c:v>
                </c:pt>
              </c:numCache>
            </c:numRef>
          </c:val>
        </c:ser>
        <c:ser>
          <c:idx val="3"/>
          <c:order val="3"/>
          <c:tx>
            <c:strRef>
              <c:f>Сентябрь2014!$B$87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Сентябрь2014!$C$83:$H$83</c:f>
              <c:numCache>
                <c:formatCode>[$-419]mmmm\ yyyy;@</c:formatCode>
                <c:ptCount val="6"/>
                <c:pt idx="0">
                  <c:v>41759</c:v>
                </c:pt>
                <c:pt idx="1">
                  <c:v>41789</c:v>
                </c:pt>
                <c:pt idx="2">
                  <c:v>41820</c:v>
                </c:pt>
                <c:pt idx="3">
                  <c:v>41850</c:v>
                </c:pt>
                <c:pt idx="4">
                  <c:v>41881</c:v>
                </c:pt>
                <c:pt idx="5">
                  <c:v>41912</c:v>
                </c:pt>
              </c:numCache>
            </c:numRef>
          </c:cat>
          <c:val>
            <c:numRef>
              <c:f>Сентябрь2014!$C$87:$H$87</c:f>
              <c:numCache>
                <c:formatCode>#,##0</c:formatCode>
                <c:ptCount val="6"/>
                <c:pt idx="0">
                  <c:v>5192</c:v>
                </c:pt>
                <c:pt idx="1">
                  <c:v>5159</c:v>
                </c:pt>
                <c:pt idx="2">
                  <c:v>5175</c:v>
                </c:pt>
                <c:pt idx="3">
                  <c:v>5207</c:v>
                </c:pt>
                <c:pt idx="4">
                  <c:v>5173</c:v>
                </c:pt>
                <c:pt idx="5">
                  <c:v>5174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4507392"/>
        <c:axId val="263884736"/>
        <c:axId val="0"/>
      </c:bar3DChart>
      <c:dateAx>
        <c:axId val="26450739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47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388473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5073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Октябрь2014!$C$50:$I$50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Октябрь2014!$B$51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Октябрь2014!$C$51:$I$51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Октябрь2014!$B$52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Октябрь2014!$C$52:$I$52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Октябрь2014!$B$53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Октябрь2014!$C$53:$I$53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4656384"/>
        <c:axId val="263887616"/>
        <c:axId val="0"/>
      </c:bar3DChart>
      <c:dateAx>
        <c:axId val="2646563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87616"/>
        <c:crosses val="autoZero"/>
        <c:auto val="1"/>
        <c:lblOffset val="100"/>
        <c:baseTimeUnit val="years"/>
        <c:majorUnit val="1"/>
        <c:minorUnit val="1"/>
      </c:dateAx>
      <c:valAx>
        <c:axId val="2638876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656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Октябрь2014!$B$84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Октябрь2014!$C$83:$H$83</c:f>
              <c:numCache>
                <c:formatCode>[$-419]mmmm\ yyyy;@</c:formatCode>
                <c:ptCount val="6"/>
                <c:pt idx="0">
                  <c:v>41789</c:v>
                </c:pt>
                <c:pt idx="1">
                  <c:v>41820</c:v>
                </c:pt>
                <c:pt idx="2">
                  <c:v>41850</c:v>
                </c:pt>
                <c:pt idx="3">
                  <c:v>41881</c:v>
                </c:pt>
                <c:pt idx="4">
                  <c:v>41912</c:v>
                </c:pt>
                <c:pt idx="5">
                  <c:v>41942</c:v>
                </c:pt>
              </c:numCache>
            </c:numRef>
          </c:cat>
          <c:val>
            <c:numRef>
              <c:f>Октябрь2014!$C$84:$H$84</c:f>
              <c:numCache>
                <c:formatCode>#,##0</c:formatCode>
                <c:ptCount val="6"/>
                <c:pt idx="0">
                  <c:v>897706</c:v>
                </c:pt>
                <c:pt idx="1">
                  <c:v>900250</c:v>
                </c:pt>
                <c:pt idx="2">
                  <c:v>901853</c:v>
                </c:pt>
                <c:pt idx="3">
                  <c:v>915943</c:v>
                </c:pt>
                <c:pt idx="4">
                  <c:v>912627</c:v>
                </c:pt>
                <c:pt idx="5">
                  <c:v>916147</c:v>
                </c:pt>
              </c:numCache>
            </c:numRef>
          </c:val>
        </c:ser>
        <c:ser>
          <c:idx val="1"/>
          <c:order val="1"/>
          <c:tx>
            <c:strRef>
              <c:f>Октябрь2014!$B$85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Октябрь2014!$C$83:$H$83</c:f>
              <c:numCache>
                <c:formatCode>[$-419]mmmm\ yyyy;@</c:formatCode>
                <c:ptCount val="6"/>
                <c:pt idx="0">
                  <c:v>41789</c:v>
                </c:pt>
                <c:pt idx="1">
                  <c:v>41820</c:v>
                </c:pt>
                <c:pt idx="2">
                  <c:v>41850</c:v>
                </c:pt>
                <c:pt idx="3">
                  <c:v>41881</c:v>
                </c:pt>
                <c:pt idx="4">
                  <c:v>41912</c:v>
                </c:pt>
                <c:pt idx="5">
                  <c:v>41942</c:v>
                </c:pt>
              </c:numCache>
            </c:numRef>
          </c:cat>
          <c:val>
            <c:numRef>
              <c:f>Октябрь2014!$C$85:$H$85</c:f>
              <c:numCache>
                <c:formatCode>#,##0</c:formatCode>
                <c:ptCount val="6"/>
                <c:pt idx="0">
                  <c:v>19759</c:v>
                </c:pt>
                <c:pt idx="1">
                  <c:v>19811</c:v>
                </c:pt>
                <c:pt idx="2">
                  <c:v>19846</c:v>
                </c:pt>
                <c:pt idx="3">
                  <c:v>19872</c:v>
                </c:pt>
                <c:pt idx="4">
                  <c:v>19829</c:v>
                </c:pt>
                <c:pt idx="5">
                  <c:v>19927</c:v>
                </c:pt>
              </c:numCache>
            </c:numRef>
          </c:val>
        </c:ser>
        <c:ser>
          <c:idx val="2"/>
          <c:order val="2"/>
          <c:tx>
            <c:strRef>
              <c:f>Октябрь2014!$B$86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Октябрь2014!$C$83:$H$83</c:f>
              <c:numCache>
                <c:formatCode>[$-419]mmmm\ yyyy;@</c:formatCode>
                <c:ptCount val="6"/>
                <c:pt idx="0">
                  <c:v>41789</c:v>
                </c:pt>
                <c:pt idx="1">
                  <c:v>41820</c:v>
                </c:pt>
                <c:pt idx="2">
                  <c:v>41850</c:v>
                </c:pt>
                <c:pt idx="3">
                  <c:v>41881</c:v>
                </c:pt>
                <c:pt idx="4">
                  <c:v>41912</c:v>
                </c:pt>
                <c:pt idx="5">
                  <c:v>41942</c:v>
                </c:pt>
              </c:numCache>
            </c:numRef>
          </c:cat>
          <c:val>
            <c:numRef>
              <c:f>Октябрь2014!$C$86:$H$86</c:f>
              <c:numCache>
                <c:formatCode>#,##0</c:formatCode>
                <c:ptCount val="6"/>
                <c:pt idx="0">
                  <c:v>6946</c:v>
                </c:pt>
                <c:pt idx="1">
                  <c:v>7125</c:v>
                </c:pt>
                <c:pt idx="2">
                  <c:v>7169</c:v>
                </c:pt>
                <c:pt idx="3">
                  <c:v>7273</c:v>
                </c:pt>
                <c:pt idx="4">
                  <c:v>7332</c:v>
                </c:pt>
                <c:pt idx="5">
                  <c:v>7352</c:v>
                </c:pt>
              </c:numCache>
            </c:numRef>
          </c:val>
        </c:ser>
        <c:ser>
          <c:idx val="3"/>
          <c:order val="3"/>
          <c:tx>
            <c:strRef>
              <c:f>Октябрь2014!$B$87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Октябрь2014!$C$83:$H$83</c:f>
              <c:numCache>
                <c:formatCode>[$-419]mmmm\ yyyy;@</c:formatCode>
                <c:ptCount val="6"/>
                <c:pt idx="0">
                  <c:v>41789</c:v>
                </c:pt>
                <c:pt idx="1">
                  <c:v>41820</c:v>
                </c:pt>
                <c:pt idx="2">
                  <c:v>41850</c:v>
                </c:pt>
                <c:pt idx="3">
                  <c:v>41881</c:v>
                </c:pt>
                <c:pt idx="4">
                  <c:v>41912</c:v>
                </c:pt>
                <c:pt idx="5">
                  <c:v>41942</c:v>
                </c:pt>
              </c:numCache>
            </c:numRef>
          </c:cat>
          <c:val>
            <c:numRef>
              <c:f>Октябрь2014!$C$87:$H$87</c:f>
              <c:numCache>
                <c:formatCode>#,##0</c:formatCode>
                <c:ptCount val="6"/>
                <c:pt idx="0">
                  <c:v>5159</c:v>
                </c:pt>
                <c:pt idx="1">
                  <c:v>5175</c:v>
                </c:pt>
                <c:pt idx="2">
                  <c:v>5207</c:v>
                </c:pt>
                <c:pt idx="3">
                  <c:v>5173</c:v>
                </c:pt>
                <c:pt idx="4">
                  <c:v>5174</c:v>
                </c:pt>
                <c:pt idx="5">
                  <c:v>5159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4658432"/>
        <c:axId val="263899392"/>
        <c:axId val="0"/>
      </c:bar3DChart>
      <c:dateAx>
        <c:axId val="26465843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8993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389939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658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Ноябрь2014!$C$50:$I$50</c:f>
              <c:numCache>
                <c:formatCode>General</c:formatCode>
                <c:ptCount val="7"/>
                <c:pt idx="2" formatCode="#,##0">
                  <c:v>671475</c:v>
                </c:pt>
                <c:pt idx="3" formatCode="#,##0">
                  <c:v>714295</c:v>
                </c:pt>
                <c:pt idx="4" formatCode="#,##0">
                  <c:v>772175</c:v>
                </c:pt>
                <c:pt idx="5" formatCode="#,##0">
                  <c:v>805549</c:v>
                </c:pt>
                <c:pt idx="6" formatCode="#,##0">
                  <c:v>881844</c:v>
                </c:pt>
              </c:numCache>
            </c:numRef>
          </c:val>
        </c:ser>
        <c:ser>
          <c:idx val="1"/>
          <c:order val="1"/>
          <c:tx>
            <c:strRef>
              <c:f>Ноябрь2014!$B$51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Ноябрь2014!$C$51:$I$51</c:f>
              <c:numCache>
                <c:formatCode>General</c:formatCode>
                <c:ptCount val="7"/>
                <c:pt idx="2" formatCode="#,##0">
                  <c:v>16364</c:v>
                </c:pt>
                <c:pt idx="3" formatCode="#,##0">
                  <c:v>17170</c:v>
                </c:pt>
                <c:pt idx="4" formatCode="#,##0">
                  <c:v>16850</c:v>
                </c:pt>
                <c:pt idx="5" formatCode="#,##0">
                  <c:v>17821</c:v>
                </c:pt>
                <c:pt idx="6" formatCode="#,##0">
                  <c:v>19539</c:v>
                </c:pt>
              </c:numCache>
            </c:numRef>
          </c:val>
        </c:ser>
        <c:ser>
          <c:idx val="2"/>
          <c:order val="2"/>
          <c:tx>
            <c:strRef>
              <c:f>Ноябрь2014!$B$52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Ноябрь2014!$C$52:$I$52</c:f>
              <c:numCache>
                <c:formatCode>General</c:formatCode>
                <c:ptCount val="7"/>
                <c:pt idx="2" formatCode="#,##0">
                  <c:v>3851</c:v>
                </c:pt>
                <c:pt idx="3" formatCode="#,##0">
                  <c:v>4295</c:v>
                </c:pt>
                <c:pt idx="4" formatCode="#,##0">
                  <c:v>5058</c:v>
                </c:pt>
                <c:pt idx="5" formatCode="#,##0">
                  <c:v>5876</c:v>
                </c:pt>
                <c:pt idx="6" formatCode="#,##0">
                  <c:v>6957</c:v>
                </c:pt>
              </c:numCache>
            </c:numRef>
          </c:val>
        </c:ser>
        <c:ser>
          <c:idx val="3"/>
          <c:order val="3"/>
          <c:tx>
            <c:strRef>
              <c:f>Ноябрь2014!$B$53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Ноябрь2014!$C$49:$I$49</c:f>
              <c:numCache>
                <c:formatCode>General</c:formatCode>
                <c:ptCount val="7"/>
                <c:pt idx="2" formatCode="[$-419]mmmm\ yyyy;@">
                  <c:v>40178</c:v>
                </c:pt>
                <c:pt idx="3" formatCode="[$-419]mmmm\ yyyy;@">
                  <c:v>40543</c:v>
                </c:pt>
                <c:pt idx="4" formatCode="[$-419]mmmm\ yyyy;@">
                  <c:v>40908</c:v>
                </c:pt>
                <c:pt idx="5" formatCode="[$-419]mmmm\ yyyy;@">
                  <c:v>41274</c:v>
                </c:pt>
                <c:pt idx="6" formatCode="[$-419]mmmm\ yyyy;@">
                  <c:v>41639</c:v>
                </c:pt>
              </c:numCache>
            </c:numRef>
          </c:cat>
          <c:val>
            <c:numRef>
              <c:f>Ноябрь2014!$C$53:$I$53</c:f>
              <c:numCache>
                <c:formatCode>General</c:formatCode>
                <c:ptCount val="7"/>
                <c:pt idx="2" formatCode="#,##0">
                  <c:v>4717</c:v>
                </c:pt>
                <c:pt idx="3" formatCode="#,##0">
                  <c:v>5348</c:v>
                </c:pt>
                <c:pt idx="4" formatCode="#,##0">
                  <c:v>5242</c:v>
                </c:pt>
                <c:pt idx="5" formatCode="#,##0">
                  <c:v>5261</c:v>
                </c:pt>
                <c:pt idx="6" formatCode="#,##0">
                  <c:v>5182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65456128"/>
        <c:axId val="263902848"/>
        <c:axId val="0"/>
      </c:bar3DChart>
      <c:dateAx>
        <c:axId val="265456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3902848"/>
        <c:crosses val="autoZero"/>
        <c:auto val="1"/>
        <c:lblOffset val="100"/>
        <c:baseTimeUnit val="years"/>
        <c:majorUnit val="1"/>
        <c:minorUnit val="1"/>
      </c:dateAx>
      <c:valAx>
        <c:axId val="26390284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54561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Ноябрь2014!$B$84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Ноябрь2014!$C$83:$H$83</c:f>
              <c:numCache>
                <c:formatCode>[$-419]mmmm\ yyyy;@</c:formatCode>
                <c:ptCount val="6"/>
                <c:pt idx="0">
                  <c:v>41820</c:v>
                </c:pt>
                <c:pt idx="1">
                  <c:v>41850</c:v>
                </c:pt>
                <c:pt idx="2">
                  <c:v>41881</c:v>
                </c:pt>
                <c:pt idx="3">
                  <c:v>41912</c:v>
                </c:pt>
                <c:pt idx="4">
                  <c:v>41942</c:v>
                </c:pt>
                <c:pt idx="5">
                  <c:v>41973</c:v>
                </c:pt>
              </c:numCache>
            </c:numRef>
          </c:cat>
          <c:val>
            <c:numRef>
              <c:f>Ноябрь2014!$C$84:$H$84</c:f>
              <c:numCache>
                <c:formatCode>#,##0</c:formatCode>
                <c:ptCount val="6"/>
                <c:pt idx="0">
                  <c:v>900250</c:v>
                </c:pt>
                <c:pt idx="1">
                  <c:v>901853</c:v>
                </c:pt>
                <c:pt idx="2">
                  <c:v>915943</c:v>
                </c:pt>
                <c:pt idx="3">
                  <c:v>912627</c:v>
                </c:pt>
                <c:pt idx="4">
                  <c:v>916147</c:v>
                </c:pt>
                <c:pt idx="5">
                  <c:v>921438</c:v>
                </c:pt>
              </c:numCache>
            </c:numRef>
          </c:val>
        </c:ser>
        <c:ser>
          <c:idx val="1"/>
          <c:order val="1"/>
          <c:tx>
            <c:strRef>
              <c:f>Ноябрь2014!$B$85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Ноябрь2014!$C$83:$H$83</c:f>
              <c:numCache>
                <c:formatCode>[$-419]mmmm\ yyyy;@</c:formatCode>
                <c:ptCount val="6"/>
                <c:pt idx="0">
                  <c:v>41820</c:v>
                </c:pt>
                <c:pt idx="1">
                  <c:v>41850</c:v>
                </c:pt>
                <c:pt idx="2">
                  <c:v>41881</c:v>
                </c:pt>
                <c:pt idx="3">
                  <c:v>41912</c:v>
                </c:pt>
                <c:pt idx="4">
                  <c:v>41942</c:v>
                </c:pt>
                <c:pt idx="5">
                  <c:v>41973</c:v>
                </c:pt>
              </c:numCache>
            </c:numRef>
          </c:cat>
          <c:val>
            <c:numRef>
              <c:f>Ноябрь2014!$C$85:$H$85</c:f>
              <c:numCache>
                <c:formatCode>#,##0</c:formatCode>
                <c:ptCount val="6"/>
                <c:pt idx="0">
                  <c:v>19811</c:v>
                </c:pt>
                <c:pt idx="1">
                  <c:v>19846</c:v>
                </c:pt>
                <c:pt idx="2">
                  <c:v>19872</c:v>
                </c:pt>
                <c:pt idx="3">
                  <c:v>19829</c:v>
                </c:pt>
                <c:pt idx="4">
                  <c:v>19927</c:v>
                </c:pt>
                <c:pt idx="5">
                  <c:v>19975</c:v>
                </c:pt>
              </c:numCache>
            </c:numRef>
          </c:val>
        </c:ser>
        <c:ser>
          <c:idx val="2"/>
          <c:order val="2"/>
          <c:tx>
            <c:strRef>
              <c:f>Ноябрь2014!$B$86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Ноябрь2014!$C$83:$H$83</c:f>
              <c:numCache>
                <c:formatCode>[$-419]mmmm\ yyyy;@</c:formatCode>
                <c:ptCount val="6"/>
                <c:pt idx="0">
                  <c:v>41820</c:v>
                </c:pt>
                <c:pt idx="1">
                  <c:v>41850</c:v>
                </c:pt>
                <c:pt idx="2">
                  <c:v>41881</c:v>
                </c:pt>
                <c:pt idx="3">
                  <c:v>41912</c:v>
                </c:pt>
                <c:pt idx="4">
                  <c:v>41942</c:v>
                </c:pt>
                <c:pt idx="5">
                  <c:v>41973</c:v>
                </c:pt>
              </c:numCache>
            </c:numRef>
          </c:cat>
          <c:val>
            <c:numRef>
              <c:f>Ноябрь2014!$C$86:$H$86</c:f>
              <c:numCache>
                <c:formatCode>#,##0</c:formatCode>
                <c:ptCount val="6"/>
                <c:pt idx="0">
                  <c:v>7125</c:v>
                </c:pt>
                <c:pt idx="1">
                  <c:v>7169</c:v>
                </c:pt>
                <c:pt idx="2">
                  <c:v>7273</c:v>
                </c:pt>
                <c:pt idx="3">
                  <c:v>7332</c:v>
                </c:pt>
                <c:pt idx="4">
                  <c:v>7352</c:v>
                </c:pt>
                <c:pt idx="5">
                  <c:v>7368</c:v>
                </c:pt>
              </c:numCache>
            </c:numRef>
          </c:val>
        </c:ser>
        <c:ser>
          <c:idx val="3"/>
          <c:order val="3"/>
          <c:tx>
            <c:strRef>
              <c:f>Ноябрь2014!$B$87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Ноябрь2014!$C$83:$H$83</c:f>
              <c:numCache>
                <c:formatCode>[$-419]mmmm\ yyyy;@</c:formatCode>
                <c:ptCount val="6"/>
                <c:pt idx="0">
                  <c:v>41820</c:v>
                </c:pt>
                <c:pt idx="1">
                  <c:v>41850</c:v>
                </c:pt>
                <c:pt idx="2">
                  <c:v>41881</c:v>
                </c:pt>
                <c:pt idx="3">
                  <c:v>41912</c:v>
                </c:pt>
                <c:pt idx="4">
                  <c:v>41942</c:v>
                </c:pt>
                <c:pt idx="5">
                  <c:v>41973</c:v>
                </c:pt>
              </c:numCache>
            </c:numRef>
          </c:cat>
          <c:val>
            <c:numRef>
              <c:f>Ноябрь2014!$C$87:$H$87</c:f>
              <c:numCache>
                <c:formatCode>#,##0</c:formatCode>
                <c:ptCount val="6"/>
                <c:pt idx="0">
                  <c:v>5175</c:v>
                </c:pt>
                <c:pt idx="1">
                  <c:v>5207</c:v>
                </c:pt>
                <c:pt idx="2">
                  <c:v>5173</c:v>
                </c:pt>
                <c:pt idx="3">
                  <c:v>5174</c:v>
                </c:pt>
                <c:pt idx="4">
                  <c:v>5159</c:v>
                </c:pt>
                <c:pt idx="5">
                  <c:v>5145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77320704"/>
        <c:axId val="264978432"/>
        <c:axId val="0"/>
      </c:bar3DChart>
      <c:dateAx>
        <c:axId val="27732070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7843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49784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773207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Декабрь2014!$B$50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Декабрь2014!$C$50:$I$50</c:f>
              <c:numCache>
                <c:formatCode>General</c:formatCode>
                <c:ptCount val="7"/>
                <c:pt idx="2" formatCode="#,##0">
                  <c:v>714295</c:v>
                </c:pt>
                <c:pt idx="3" formatCode="#,##0">
                  <c:v>772175</c:v>
                </c:pt>
                <c:pt idx="4" formatCode="#,##0">
                  <c:v>805549</c:v>
                </c:pt>
                <c:pt idx="5" formatCode="#,##0">
                  <c:v>881844</c:v>
                </c:pt>
                <c:pt idx="6" formatCode="#,##0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Декабрь2014!$B$51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Декабрь2014!$C$51:$I$51</c:f>
              <c:numCache>
                <c:formatCode>General</c:formatCode>
                <c:ptCount val="7"/>
                <c:pt idx="2" formatCode="#,##0">
                  <c:v>17170</c:v>
                </c:pt>
                <c:pt idx="3" formatCode="#,##0">
                  <c:v>16850</c:v>
                </c:pt>
                <c:pt idx="4" formatCode="#,##0">
                  <c:v>17821</c:v>
                </c:pt>
                <c:pt idx="5" formatCode="#,##0">
                  <c:v>19539</c:v>
                </c:pt>
                <c:pt idx="6" formatCode="#,##0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Декабрь2014!$B$52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Декабрь2014!$C$52:$I$52</c:f>
              <c:numCache>
                <c:formatCode>General</c:formatCode>
                <c:ptCount val="7"/>
                <c:pt idx="2" formatCode="#,##0">
                  <c:v>4295</c:v>
                </c:pt>
                <c:pt idx="3" formatCode="#,##0">
                  <c:v>5058</c:v>
                </c:pt>
                <c:pt idx="4" formatCode="#,##0">
                  <c:v>5876</c:v>
                </c:pt>
                <c:pt idx="5" formatCode="#,##0">
                  <c:v>6957</c:v>
                </c:pt>
                <c:pt idx="6" formatCode="#,##0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Декабрь2014!$B$53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Декабрь2014!$C$49:$I$49</c:f>
              <c:numCache>
                <c:formatCode>General</c:formatCode>
                <c:ptCount val="7"/>
                <c:pt idx="2" formatCode="[$-419]mmmm\ yyyy;@">
                  <c:v>40543</c:v>
                </c:pt>
                <c:pt idx="3" formatCode="[$-419]mmmm\ yyyy;@">
                  <c:v>40908</c:v>
                </c:pt>
                <c:pt idx="4" formatCode="[$-419]mmmm\ yyyy;@">
                  <c:v>41274</c:v>
                </c:pt>
                <c:pt idx="5" formatCode="[$-419]mmmm\ yyyy;@">
                  <c:v>41639</c:v>
                </c:pt>
                <c:pt idx="6" formatCode="[$-419]mmmm\ yyyy;@">
                  <c:v>42004</c:v>
                </c:pt>
              </c:numCache>
            </c:numRef>
          </c:cat>
          <c:val>
            <c:numRef>
              <c:f>Декабрь2014!$C$53:$I$53</c:f>
              <c:numCache>
                <c:formatCode>General</c:formatCode>
                <c:ptCount val="7"/>
                <c:pt idx="2" formatCode="#,##0">
                  <c:v>5348</c:v>
                </c:pt>
                <c:pt idx="3" formatCode="#,##0">
                  <c:v>5242</c:v>
                </c:pt>
                <c:pt idx="4" formatCode="#,##0">
                  <c:v>5261</c:v>
                </c:pt>
                <c:pt idx="5" formatCode="#,##0">
                  <c:v>5182</c:v>
                </c:pt>
                <c:pt idx="6" formatCode="#,##0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135808"/>
        <c:axId val="264982464"/>
        <c:axId val="0"/>
      </c:bar3DChart>
      <c:dateAx>
        <c:axId val="2861358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82464"/>
        <c:crosses val="autoZero"/>
        <c:auto val="1"/>
        <c:lblOffset val="100"/>
        <c:baseTimeUnit val="years"/>
        <c:majorUnit val="1"/>
        <c:minorUnit val="1"/>
      </c:dateAx>
      <c:valAx>
        <c:axId val="2649824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1358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Декабрь2014!$B$84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Декабрь2014!$C$83:$H$83</c:f>
              <c:numCache>
                <c:formatCode>[$-419]mmmm\ yyyy;@</c:formatCode>
                <c:ptCount val="6"/>
                <c:pt idx="0">
                  <c:v>41850</c:v>
                </c:pt>
                <c:pt idx="1">
                  <c:v>41881</c:v>
                </c:pt>
                <c:pt idx="2">
                  <c:v>41912</c:v>
                </c:pt>
                <c:pt idx="3">
                  <c:v>41942</c:v>
                </c:pt>
                <c:pt idx="4">
                  <c:v>41973</c:v>
                </c:pt>
                <c:pt idx="5">
                  <c:v>42003</c:v>
                </c:pt>
              </c:numCache>
            </c:numRef>
          </c:cat>
          <c:val>
            <c:numRef>
              <c:f>Декабрь2014!$C$84:$H$84</c:f>
              <c:numCache>
                <c:formatCode>#,##0</c:formatCode>
                <c:ptCount val="6"/>
                <c:pt idx="0">
                  <c:v>901853</c:v>
                </c:pt>
                <c:pt idx="1">
                  <c:v>915943</c:v>
                </c:pt>
                <c:pt idx="2">
                  <c:v>912627</c:v>
                </c:pt>
                <c:pt idx="3">
                  <c:v>916147</c:v>
                </c:pt>
                <c:pt idx="4">
                  <c:v>921438</c:v>
                </c:pt>
                <c:pt idx="5">
                  <c:v>944559</c:v>
                </c:pt>
              </c:numCache>
            </c:numRef>
          </c:val>
        </c:ser>
        <c:ser>
          <c:idx val="1"/>
          <c:order val="1"/>
          <c:tx>
            <c:strRef>
              <c:f>Декабрь2014!$B$85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Декабрь2014!$C$83:$H$83</c:f>
              <c:numCache>
                <c:formatCode>[$-419]mmmm\ yyyy;@</c:formatCode>
                <c:ptCount val="6"/>
                <c:pt idx="0">
                  <c:v>41850</c:v>
                </c:pt>
                <c:pt idx="1">
                  <c:v>41881</c:v>
                </c:pt>
                <c:pt idx="2">
                  <c:v>41912</c:v>
                </c:pt>
                <c:pt idx="3">
                  <c:v>41942</c:v>
                </c:pt>
                <c:pt idx="4">
                  <c:v>41973</c:v>
                </c:pt>
                <c:pt idx="5">
                  <c:v>42003</c:v>
                </c:pt>
              </c:numCache>
            </c:numRef>
          </c:cat>
          <c:val>
            <c:numRef>
              <c:f>Декабрь2014!$C$85:$H$85</c:f>
              <c:numCache>
                <c:formatCode>#,##0</c:formatCode>
                <c:ptCount val="6"/>
                <c:pt idx="0">
                  <c:v>19846</c:v>
                </c:pt>
                <c:pt idx="1">
                  <c:v>19872</c:v>
                </c:pt>
                <c:pt idx="2">
                  <c:v>19829</c:v>
                </c:pt>
                <c:pt idx="3">
                  <c:v>19927</c:v>
                </c:pt>
                <c:pt idx="4">
                  <c:v>19975</c:v>
                </c:pt>
                <c:pt idx="5">
                  <c:v>20178</c:v>
                </c:pt>
              </c:numCache>
            </c:numRef>
          </c:val>
        </c:ser>
        <c:ser>
          <c:idx val="2"/>
          <c:order val="2"/>
          <c:tx>
            <c:strRef>
              <c:f>Декабрь2014!$B$86</c:f>
              <c:strCache>
                <c:ptCount val="1"/>
                <c:pt idx="0">
                  <c:v>Нерезиденты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Декабрь2014!$C$83:$H$83</c:f>
              <c:numCache>
                <c:formatCode>[$-419]mmmm\ yyyy;@</c:formatCode>
                <c:ptCount val="6"/>
                <c:pt idx="0">
                  <c:v>41850</c:v>
                </c:pt>
                <c:pt idx="1">
                  <c:v>41881</c:v>
                </c:pt>
                <c:pt idx="2">
                  <c:v>41912</c:v>
                </c:pt>
                <c:pt idx="3">
                  <c:v>41942</c:v>
                </c:pt>
                <c:pt idx="4">
                  <c:v>41973</c:v>
                </c:pt>
                <c:pt idx="5">
                  <c:v>42003</c:v>
                </c:pt>
              </c:numCache>
            </c:numRef>
          </c:cat>
          <c:val>
            <c:numRef>
              <c:f>Декабрь2014!$C$86:$H$86</c:f>
              <c:numCache>
                <c:formatCode>#,##0</c:formatCode>
                <c:ptCount val="6"/>
                <c:pt idx="0">
                  <c:v>7169</c:v>
                </c:pt>
                <c:pt idx="1">
                  <c:v>7273</c:v>
                </c:pt>
                <c:pt idx="2">
                  <c:v>7332</c:v>
                </c:pt>
                <c:pt idx="3">
                  <c:v>7352</c:v>
                </c:pt>
                <c:pt idx="4">
                  <c:v>7368</c:v>
                </c:pt>
                <c:pt idx="5">
                  <c:v>7486</c:v>
                </c:pt>
              </c:numCache>
            </c:numRef>
          </c:val>
        </c:ser>
        <c:ser>
          <c:idx val="3"/>
          <c:order val="3"/>
          <c:tx>
            <c:strRef>
              <c:f>Декабрь2014!$B$87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Декабрь2014!$C$83:$H$83</c:f>
              <c:numCache>
                <c:formatCode>[$-419]mmmm\ yyyy;@</c:formatCode>
                <c:ptCount val="6"/>
                <c:pt idx="0">
                  <c:v>41850</c:v>
                </c:pt>
                <c:pt idx="1">
                  <c:v>41881</c:v>
                </c:pt>
                <c:pt idx="2">
                  <c:v>41912</c:v>
                </c:pt>
                <c:pt idx="3">
                  <c:v>41942</c:v>
                </c:pt>
                <c:pt idx="4">
                  <c:v>41973</c:v>
                </c:pt>
                <c:pt idx="5">
                  <c:v>42003</c:v>
                </c:pt>
              </c:numCache>
            </c:numRef>
          </c:cat>
          <c:val>
            <c:numRef>
              <c:f>Декабрь2014!$C$87:$H$87</c:f>
              <c:numCache>
                <c:formatCode>#,##0</c:formatCode>
                <c:ptCount val="6"/>
                <c:pt idx="0">
                  <c:v>5207</c:v>
                </c:pt>
                <c:pt idx="1">
                  <c:v>5173</c:v>
                </c:pt>
                <c:pt idx="2">
                  <c:v>5174</c:v>
                </c:pt>
                <c:pt idx="3">
                  <c:v>5159</c:v>
                </c:pt>
                <c:pt idx="4">
                  <c:v>5145</c:v>
                </c:pt>
                <c:pt idx="5">
                  <c:v>5142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86137344"/>
        <c:axId val="264985344"/>
        <c:axId val="0"/>
      </c:bar3DChart>
      <c:dateAx>
        <c:axId val="286137344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6498534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6498534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861373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26977" name="Object 1" hidden="1">
              <a:extLst>
                <a:ext uri="{63B3BB69-23CF-44E3-9099-C40C66FF867C}">
                  <a14:compatExt spid="_x0000_s12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28001" name="Object 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29025" name="Object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0049" name="Object 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1073" name="Object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2097" name="Object 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3121" name="Object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4145" name="Object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5169" name="Object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6193" name="Object 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7217" name="Object 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38241" name="Object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Documents%20and%20Settings\malina\&#1056;&#1072;&#1073;&#1086;&#1095;&#1080;&#1081;%20&#1089;&#1090;&#1086;&#1083;\&#1082;&#1083;&#1080;&#1077;&#1085;&#1090;&#1099;\&#1047;&#1072;&#1088;&#1077;&#1075;&#1080;&#1089;&#1090;&#1088;&#1080;&#1088;&#1086;&#1074;&#1072;&#1085;&#1085;&#1099;&#1077;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Январь2012!R1C2:R10C9" advise="1"/>
        </mc:Choice>
        <mc:Fallback>
          <oleItem name="!Январь2012!R1C2:R10C9" advise="1"/>
        </mc:Fallback>
      </mc:AlternateContent>
    </oleItems>
  </oleLin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5">
    <pageSetUpPr fitToPage="1"/>
  </sheetPr>
  <dimension ref="B2:Q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3.42578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41670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41670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41639</v>
      </c>
      <c r="F11" s="75">
        <v>41670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v>1043653</v>
      </c>
      <c r="F12" s="87">
        <v>1058132</v>
      </c>
      <c r="G12" s="11">
        <f>F12-E12</f>
        <v>14479</v>
      </c>
      <c r="H12" s="59">
        <f>F12/E12-1</f>
        <v>1.3873385119383519E-2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v>35574</v>
      </c>
      <c r="F13" s="87">
        <v>36181</v>
      </c>
      <c r="G13" s="11">
        <f t="shared" ref="G13:G18" si="0">F13-E13</f>
        <v>607</v>
      </c>
      <c r="H13" s="59">
        <f t="shared" ref="H13:H18" si="1">F13/E13-1</f>
        <v>1.706302355653011E-2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v>13307</v>
      </c>
      <c r="F14" s="87">
        <v>13858</v>
      </c>
      <c r="G14" s="11">
        <f t="shared" si="0"/>
        <v>551</v>
      </c>
      <c r="H14" s="59">
        <f t="shared" si="1"/>
        <v>4.140677838731488E-2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v>2564</v>
      </c>
      <c r="F15" s="87">
        <v>2651</v>
      </c>
      <c r="G15" s="11">
        <f t="shared" si="0"/>
        <v>87</v>
      </c>
      <c r="H15" s="59">
        <f t="shared" si="1"/>
        <v>3.3931357254290084E-2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v>10743</v>
      </c>
      <c r="F16" s="87">
        <v>11207</v>
      </c>
      <c r="G16" s="11">
        <f t="shared" si="0"/>
        <v>464</v>
      </c>
      <c r="H16" s="59">
        <f t="shared" si="1"/>
        <v>4.3190915014428066E-2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v>12458</v>
      </c>
      <c r="F17" s="87">
        <v>12716</v>
      </c>
      <c r="G17" s="11">
        <f t="shared" si="0"/>
        <v>258</v>
      </c>
      <c r="H17" s="59">
        <f t="shared" si="1"/>
        <v>2.0709584202921905E-2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v>1104992</v>
      </c>
      <c r="F18" s="72">
        <v>1120887</v>
      </c>
      <c r="G18" s="72">
        <f t="shared" si="0"/>
        <v>15895</v>
      </c>
      <c r="H18" s="69">
        <f t="shared" si="1"/>
        <v>1.4384719527381185E-2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41639</v>
      </c>
      <c r="F22" s="75">
        <f>F11</f>
        <v>41670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v>881844</v>
      </c>
      <c r="F23" s="87">
        <v>883068</v>
      </c>
      <c r="G23" s="11">
        <f>F23-E23</f>
        <v>1224</v>
      </c>
      <c r="H23" s="59">
        <f>F23/E23-1</f>
        <v>1.3880005987454425E-3</v>
      </c>
      <c r="I23" s="89"/>
    </row>
    <row r="24" spans="2:10" s="79" customFormat="1" ht="17.25">
      <c r="B24" s="158" t="s">
        <v>1</v>
      </c>
      <c r="C24" s="158"/>
      <c r="D24" s="159"/>
      <c r="E24" s="87">
        <v>19539</v>
      </c>
      <c r="F24" s="87">
        <v>19540</v>
      </c>
      <c r="G24" s="11">
        <f t="shared" ref="G24:G28" si="2">F24-E24</f>
        <v>1</v>
      </c>
      <c r="H24" s="59">
        <f t="shared" ref="H24:H29" si="3">F24/E24-1</f>
        <v>5.1179691898273205E-5</v>
      </c>
      <c r="I24" s="89"/>
    </row>
    <row r="25" spans="2:10" s="79" customFormat="1" ht="17.25">
      <c r="B25" s="158" t="s">
        <v>2</v>
      </c>
      <c r="C25" s="158"/>
      <c r="D25" s="159"/>
      <c r="E25" s="87">
        <v>6957</v>
      </c>
      <c r="F25" s="87">
        <v>7004</v>
      </c>
      <c r="G25" s="11">
        <f t="shared" si="2"/>
        <v>47</v>
      </c>
      <c r="H25" s="59">
        <f t="shared" si="3"/>
        <v>6.7557855397442079E-3</v>
      </c>
      <c r="I25" s="89"/>
    </row>
    <row r="26" spans="2:10" s="79" customFormat="1" ht="17.25">
      <c r="B26" s="164" t="s">
        <v>23</v>
      </c>
      <c r="C26" s="164"/>
      <c r="D26" s="165"/>
      <c r="E26" s="87">
        <v>2553</v>
      </c>
      <c r="F26" s="87">
        <v>2573</v>
      </c>
      <c r="G26" s="11">
        <f t="shared" si="2"/>
        <v>20</v>
      </c>
      <c r="H26" s="59">
        <f t="shared" si="3"/>
        <v>7.8339208773992031E-3</v>
      </c>
      <c r="I26" s="89"/>
    </row>
    <row r="27" spans="2:10" s="79" customFormat="1" ht="17.25">
      <c r="B27" s="166" t="s">
        <v>24</v>
      </c>
      <c r="C27" s="166"/>
      <c r="D27" s="167"/>
      <c r="E27" s="87">
        <v>4404</v>
      </c>
      <c r="F27" s="87">
        <v>4431</v>
      </c>
      <c r="G27" s="11">
        <f t="shared" si="2"/>
        <v>27</v>
      </c>
      <c r="H27" s="59">
        <f t="shared" si="3"/>
        <v>6.1307901907357021E-3</v>
      </c>
      <c r="I27" s="89"/>
    </row>
    <row r="28" spans="2:10" s="79" customFormat="1" ht="18" thickBot="1">
      <c r="B28" s="168" t="s">
        <v>3</v>
      </c>
      <c r="C28" s="168"/>
      <c r="D28" s="169"/>
      <c r="E28" s="87">
        <v>5182</v>
      </c>
      <c r="F28" s="87">
        <v>5189</v>
      </c>
      <c r="G28" s="11">
        <f t="shared" si="2"/>
        <v>7</v>
      </c>
      <c r="H28" s="59">
        <f t="shared" si="3"/>
        <v>1.3508297954458737E-3</v>
      </c>
      <c r="I28" s="89"/>
    </row>
    <row r="29" spans="2:10" s="70" customFormat="1" ht="18" thickBot="1">
      <c r="B29" s="60" t="s">
        <v>4</v>
      </c>
      <c r="C29" s="60"/>
      <c r="D29" s="61"/>
      <c r="E29" s="72">
        <f>E23+E24+E25+E28</f>
        <v>913522</v>
      </c>
      <c r="F29" s="72">
        <v>914801</v>
      </c>
      <c r="G29" s="72">
        <f>F29-E29</f>
        <v>1279</v>
      </c>
      <c r="H29" s="69">
        <f t="shared" si="3"/>
        <v>1.400075750775498E-3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41639</v>
      </c>
      <c r="F33" s="73">
        <f>EDATE(E33,1)</f>
        <v>41670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v>57875</v>
      </c>
      <c r="F34" s="81">
        <v>54578</v>
      </c>
      <c r="G34" s="11">
        <f t="shared" ref="G34:G40" si="4">F34-E34</f>
        <v>-3297</v>
      </c>
      <c r="H34" s="59">
        <f t="shared" ref="H34:H40" si="5">F34/E34-1</f>
        <v>-5.6967602591792676E-2</v>
      </c>
    </row>
    <row r="35" spans="2:9" ht="17.25">
      <c r="B35" s="138" t="s">
        <v>1</v>
      </c>
      <c r="C35" s="138"/>
      <c r="D35" s="139"/>
      <c r="E35" s="81">
        <v>1511</v>
      </c>
      <c r="F35" s="81">
        <v>1156</v>
      </c>
      <c r="G35" s="11">
        <f t="shared" si="4"/>
        <v>-355</v>
      </c>
      <c r="H35" s="59">
        <f t="shared" si="5"/>
        <v>-0.2349437458636664</v>
      </c>
    </row>
    <row r="36" spans="2:9" ht="17.25">
      <c r="B36" s="138" t="s">
        <v>2</v>
      </c>
      <c r="C36" s="138"/>
      <c r="D36" s="139"/>
      <c r="E36" s="81">
        <v>638</v>
      </c>
      <c r="F36" s="81">
        <v>555</v>
      </c>
      <c r="G36" s="11">
        <f t="shared" si="4"/>
        <v>-83</v>
      </c>
      <c r="H36" s="59">
        <f t="shared" si="5"/>
        <v>-0.13009404388714729</v>
      </c>
    </row>
    <row r="37" spans="2:9" ht="17.25">
      <c r="B37" s="164" t="s">
        <v>23</v>
      </c>
      <c r="C37" s="164"/>
      <c r="D37" s="165"/>
      <c r="E37" s="81">
        <v>156</v>
      </c>
      <c r="F37" s="81">
        <v>146</v>
      </c>
      <c r="G37" s="11">
        <f t="shared" si="4"/>
        <v>-10</v>
      </c>
      <c r="H37" s="59">
        <f t="shared" si="5"/>
        <v>-6.4102564102564097E-2</v>
      </c>
    </row>
    <row r="38" spans="2:9" ht="17.25">
      <c r="B38" s="166" t="s">
        <v>24</v>
      </c>
      <c r="C38" s="166"/>
      <c r="D38" s="167"/>
      <c r="E38" s="81">
        <v>482</v>
      </c>
      <c r="F38" s="81">
        <v>409</v>
      </c>
      <c r="G38" s="11">
        <f t="shared" si="4"/>
        <v>-73</v>
      </c>
      <c r="H38" s="59">
        <f t="shared" si="5"/>
        <v>-0.15145228215767637</v>
      </c>
    </row>
    <row r="39" spans="2:9" ht="18" thickBot="1">
      <c r="B39" s="183" t="s">
        <v>3</v>
      </c>
      <c r="C39" s="183"/>
      <c r="D39" s="184"/>
      <c r="E39" s="81">
        <v>826</v>
      </c>
      <c r="F39" s="81">
        <v>828</v>
      </c>
      <c r="G39" s="11">
        <f t="shared" si="4"/>
        <v>2</v>
      </c>
      <c r="H39" s="59">
        <f t="shared" si="5"/>
        <v>2.421307506053294E-3</v>
      </c>
    </row>
    <row r="40" spans="2:9" s="70" customFormat="1" ht="18" thickBot="1">
      <c r="B40" s="60" t="s">
        <v>4</v>
      </c>
      <c r="C40" s="60"/>
      <c r="D40" s="61"/>
      <c r="E40" s="72">
        <v>60850</v>
      </c>
      <c r="F40" s="72">
        <v>57117</v>
      </c>
      <c r="G40" s="72">
        <f t="shared" si="4"/>
        <v>-3733</v>
      </c>
      <c r="H40" s="69">
        <f t="shared" si="5"/>
        <v>-6.134757600657359E-2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7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7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7" ht="15.75" thickBot="1">
      <c r="B83" s="32" t="s">
        <v>18</v>
      </c>
      <c r="C83" s="75">
        <f>EDATE(D83,-1)</f>
        <v>41516</v>
      </c>
      <c r="D83" s="75">
        <f>EDATE(E83,-1)</f>
        <v>41547</v>
      </c>
      <c r="E83" s="75">
        <f>EDATE(F83,-1)</f>
        <v>41577</v>
      </c>
      <c r="F83" s="75">
        <f>EDATE(G83,-1)</f>
        <v>41608</v>
      </c>
      <c r="G83" s="75">
        <f>EDATE(H83,-1)</f>
        <v>41639</v>
      </c>
      <c r="H83" s="75">
        <f>EDATE(E11,1)</f>
        <v>41670</v>
      </c>
      <c r="I83"/>
      <c r="J83"/>
    </row>
    <row r="84" spans="2:17" ht="16.5" customHeight="1">
      <c r="B84" s="25" t="s">
        <v>0</v>
      </c>
      <c r="C84" s="63">
        <v>882528</v>
      </c>
      <c r="D84" s="63">
        <v>872709</v>
      </c>
      <c r="E84" s="63">
        <v>876196</v>
      </c>
      <c r="F84" s="63">
        <v>878908</v>
      </c>
      <c r="G84" s="83">
        <v>881844</v>
      </c>
      <c r="H84" s="83">
        <v>883068</v>
      </c>
      <c r="J84" s="98"/>
      <c r="K84" s="98"/>
      <c r="L84" s="98"/>
      <c r="M84" s="98"/>
      <c r="N84" s="98"/>
      <c r="O84" s="98"/>
      <c r="P84" s="98"/>
      <c r="Q84" s="98"/>
    </row>
    <row r="85" spans="2:17" ht="16.5" customHeight="1">
      <c r="B85" s="26" t="s">
        <v>1</v>
      </c>
      <c r="C85" s="64">
        <v>19235</v>
      </c>
      <c r="D85" s="64">
        <v>19279</v>
      </c>
      <c r="E85" s="64">
        <v>19352</v>
      </c>
      <c r="F85" s="64">
        <v>19435</v>
      </c>
      <c r="G85" s="84">
        <v>19539</v>
      </c>
      <c r="H85" s="84">
        <v>19540</v>
      </c>
      <c r="J85" s="98"/>
      <c r="K85" s="98"/>
      <c r="L85" s="98"/>
      <c r="M85" s="98"/>
      <c r="N85" s="98"/>
      <c r="O85" s="98"/>
      <c r="P85" s="98"/>
      <c r="Q85" s="98"/>
    </row>
    <row r="86" spans="2:17" ht="16.5" customHeight="1">
      <c r="B86" s="27" t="s">
        <v>2</v>
      </c>
      <c r="C86" s="65">
        <v>6722</v>
      </c>
      <c r="D86" s="65">
        <v>6763</v>
      </c>
      <c r="E86" s="65">
        <v>6810</v>
      </c>
      <c r="F86" s="65">
        <v>6874</v>
      </c>
      <c r="G86" s="86">
        <v>6957</v>
      </c>
      <c r="H86" s="86">
        <v>7004</v>
      </c>
      <c r="J86" s="98"/>
      <c r="K86" s="98"/>
      <c r="L86" s="98"/>
      <c r="M86" s="98"/>
      <c r="N86" s="98"/>
      <c r="O86" s="98"/>
      <c r="P86" s="98"/>
      <c r="Q86" s="98"/>
    </row>
    <row r="87" spans="2:17" ht="16.5" customHeight="1" thickBot="1">
      <c r="B87" s="28" t="s">
        <v>3</v>
      </c>
      <c r="C87" s="66">
        <v>5237</v>
      </c>
      <c r="D87" s="66">
        <v>5254</v>
      </c>
      <c r="E87" s="66">
        <v>5157</v>
      </c>
      <c r="F87" s="66">
        <v>5205</v>
      </c>
      <c r="G87" s="82">
        <v>5182</v>
      </c>
      <c r="H87" s="82">
        <v>5189</v>
      </c>
      <c r="J87" s="98"/>
      <c r="K87" s="98"/>
      <c r="L87" s="98"/>
      <c r="M87" s="98"/>
      <c r="N87" s="98"/>
      <c r="O87" s="98"/>
      <c r="P87" s="98"/>
      <c r="Q87" s="98"/>
    </row>
    <row r="88" spans="2:17" s="71" customFormat="1" ht="18" thickBot="1">
      <c r="B88" s="92" t="s">
        <v>4</v>
      </c>
      <c r="C88" s="67">
        <v>913722</v>
      </c>
      <c r="D88" s="67">
        <v>904005</v>
      </c>
      <c r="E88" s="67">
        <v>907515</v>
      </c>
      <c r="F88" s="67">
        <v>910422</v>
      </c>
      <c r="G88" s="85">
        <v>913522</v>
      </c>
      <c r="H88" s="85">
        <v>914801</v>
      </c>
      <c r="J88" s="98"/>
      <c r="K88" s="98"/>
      <c r="L88" s="98"/>
      <c r="M88" s="98"/>
      <c r="N88" s="98"/>
      <c r="O88" s="98"/>
      <c r="P88" s="98"/>
      <c r="Q88" s="98"/>
    </row>
    <row r="89" spans="2:17">
      <c r="J89" s="98"/>
      <c r="K89" s="58"/>
      <c r="L89" s="58"/>
      <c r="M89" s="58"/>
      <c r="N89" s="58"/>
      <c r="O89" s="58"/>
    </row>
    <row r="90" spans="2:17">
      <c r="J90"/>
    </row>
    <row r="91" spans="2:17">
      <c r="B91" s="2"/>
      <c r="F91" s="2"/>
      <c r="G91" s="2"/>
      <c r="H91" s="2"/>
      <c r="I91"/>
      <c r="J91"/>
      <c r="K91"/>
    </row>
    <row r="92" spans="2:17">
      <c r="B92" s="2"/>
      <c r="F92" s="2"/>
      <c r="G92" s="2"/>
      <c r="H92" s="2"/>
      <c r="I92"/>
      <c r="J92"/>
      <c r="K92"/>
    </row>
    <row r="93" spans="2:17" ht="15">
      <c r="B93" s="10"/>
      <c r="C93" s="2"/>
      <c r="D93" s="2"/>
      <c r="E93" s="2"/>
      <c r="G93" s="2"/>
      <c r="H93" s="2"/>
      <c r="I93"/>
      <c r="J93"/>
      <c r="K93"/>
    </row>
    <row r="94" spans="2:17" s="4" customFormat="1" ht="12.75">
      <c r="B94" s="3"/>
      <c r="C94" s="3"/>
      <c r="D94" s="3"/>
      <c r="E94" s="3"/>
      <c r="F94" s="3"/>
      <c r="G94" s="3"/>
      <c r="H94" s="3"/>
    </row>
    <row r="95" spans="2:17" ht="15">
      <c r="B95" s="9"/>
      <c r="C95" s="2"/>
      <c r="D95" s="2"/>
      <c r="E95" s="2"/>
      <c r="F95" s="2"/>
      <c r="G95" s="2"/>
      <c r="H95" s="2"/>
    </row>
    <row r="96" spans="2:17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76">
        <v>41670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448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41670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44">
        <v>201949</v>
      </c>
      <c r="H139" s="145"/>
      <c r="I139" s="47"/>
      <c r="J139" s="50"/>
    </row>
    <row r="140" spans="2:10" ht="17.25">
      <c r="B140" s="138" t="s">
        <v>32</v>
      </c>
      <c r="C140" s="138"/>
      <c r="D140" s="138"/>
      <c r="E140" s="138"/>
      <c r="F140" s="139"/>
      <c r="G140" s="146">
        <v>181674</v>
      </c>
      <c r="H140" s="147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46">
        <v>116221</v>
      </c>
      <c r="H141" s="147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46">
        <v>111269</v>
      </c>
      <c r="H142" s="147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46">
        <v>60601</v>
      </c>
      <c r="H143" s="147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46">
        <v>44007</v>
      </c>
      <c r="H144" s="147"/>
      <c r="I144" s="51"/>
      <c r="J144" s="50"/>
    </row>
    <row r="145" spans="2:13" ht="17.25" customHeight="1">
      <c r="B145" s="138" t="s">
        <v>37</v>
      </c>
      <c r="C145" s="138"/>
      <c r="D145" s="138"/>
      <c r="E145" s="138"/>
      <c r="F145" s="139"/>
      <c r="G145" s="146">
        <v>42214</v>
      </c>
      <c r="H145" s="147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46">
        <v>29482</v>
      </c>
      <c r="H146" s="147"/>
      <c r="I146" s="47"/>
      <c r="J146" s="50"/>
    </row>
    <row r="147" spans="2:13" ht="17.25" customHeight="1">
      <c r="B147" s="140" t="s">
        <v>39</v>
      </c>
      <c r="C147" s="140"/>
      <c r="D147" s="140"/>
      <c r="E147" s="140"/>
      <c r="F147" s="141"/>
      <c r="G147" s="148">
        <v>20360</v>
      </c>
      <c r="H147" s="149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50">
        <v>19462</v>
      </c>
      <c r="H148" s="151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9975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9413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8599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6007</v>
      </c>
      <c r="H157" s="163"/>
      <c r="I157" s="53"/>
      <c r="J157" s="50"/>
      <c r="K157" s="49"/>
      <c r="L157"/>
      <c r="M157"/>
    </row>
    <row r="158" spans="2:13" ht="17.25" customHeight="1">
      <c r="B158" s="138" t="s">
        <v>35</v>
      </c>
      <c r="C158" s="138"/>
      <c r="D158" s="138"/>
      <c r="E158" s="138"/>
      <c r="F158" s="139"/>
      <c r="G158" s="162">
        <v>3529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37</v>
      </c>
      <c r="C159" s="138"/>
      <c r="D159" s="138"/>
      <c r="E159" s="138"/>
      <c r="F159" s="139"/>
      <c r="G159" s="162">
        <v>3459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2795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1578</v>
      </c>
      <c r="H161" s="163"/>
      <c r="I161" s="53"/>
      <c r="J161" s="50"/>
      <c r="K161" s="49"/>
      <c r="L161"/>
      <c r="M161"/>
    </row>
    <row r="162" spans="2:13" ht="17.25">
      <c r="B162" s="138" t="s">
        <v>38</v>
      </c>
      <c r="C162" s="138"/>
      <c r="D162" s="138"/>
      <c r="E162" s="138"/>
      <c r="F162" s="139"/>
      <c r="G162" s="162">
        <v>1530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/>
      <c r="D163" s="142"/>
      <c r="E163" s="142"/>
      <c r="F163" s="143"/>
      <c r="G163" s="196">
        <v>1241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70" t="s">
        <v>19</v>
      </c>
      <c r="C168" s="170"/>
      <c r="D168" s="170"/>
      <c r="E168" s="170"/>
      <c r="F168" s="171"/>
      <c r="G168" s="190" t="s">
        <v>9</v>
      </c>
      <c r="H168" s="190"/>
      <c r="I168" s="2"/>
      <c r="J168" s="2"/>
    </row>
    <row r="169" spans="2:13" ht="17.25" customHeight="1">
      <c r="B169" s="136" t="s">
        <v>37</v>
      </c>
      <c r="C169" s="136"/>
      <c r="D169" s="136"/>
      <c r="E169" s="136"/>
      <c r="F169" s="137"/>
      <c r="G169" s="160">
        <v>1009857151555</v>
      </c>
      <c r="H169" s="161"/>
      <c r="I169" s="55"/>
      <c r="J169" s="56"/>
    </row>
    <row r="170" spans="2:13" ht="17.25" customHeight="1">
      <c r="B170" s="138" t="s">
        <v>32</v>
      </c>
      <c r="C170" s="138"/>
      <c r="D170" s="138"/>
      <c r="E170" s="138"/>
      <c r="F170" s="139"/>
      <c r="G170" s="162">
        <v>899099744242</v>
      </c>
      <c r="H170" s="163"/>
      <c r="I170" s="55"/>
      <c r="J170" s="56"/>
    </row>
    <row r="171" spans="2:13" ht="17.25" customHeight="1">
      <c r="B171" s="138" t="s">
        <v>34</v>
      </c>
      <c r="C171" s="138"/>
      <c r="D171" s="138"/>
      <c r="E171" s="138"/>
      <c r="F171" s="139"/>
      <c r="G171" s="162">
        <v>706046621726</v>
      </c>
      <c r="H171" s="163"/>
      <c r="I171" s="55"/>
      <c r="J171" s="56"/>
    </row>
    <row r="172" spans="2:13" ht="17.25" customHeight="1">
      <c r="B172" s="138" t="s">
        <v>33</v>
      </c>
      <c r="C172" s="138"/>
      <c r="D172" s="138"/>
      <c r="E172" s="138"/>
      <c r="F172" s="139"/>
      <c r="G172" s="162">
        <v>377178203227</v>
      </c>
      <c r="H172" s="163"/>
      <c r="I172" s="55"/>
      <c r="J172" s="56"/>
    </row>
    <row r="173" spans="2:13" ht="17.25" customHeight="1">
      <c r="B173" s="138" t="s">
        <v>42</v>
      </c>
      <c r="C173" s="138"/>
      <c r="D173" s="138"/>
      <c r="E173" s="138"/>
      <c r="F173" s="139"/>
      <c r="G173" s="162">
        <v>296364006200</v>
      </c>
      <c r="H173" s="163"/>
      <c r="I173" s="57"/>
      <c r="J173" s="50"/>
    </row>
    <row r="174" spans="2:13" ht="17.25" customHeight="1">
      <c r="B174" s="138" t="s">
        <v>43</v>
      </c>
      <c r="C174" s="138"/>
      <c r="D174" s="138"/>
      <c r="E174" s="138"/>
      <c r="F174" s="139"/>
      <c r="G174" s="162">
        <v>260594248398</v>
      </c>
      <c r="H174" s="163"/>
      <c r="I174" s="55"/>
      <c r="J174" s="56"/>
    </row>
    <row r="175" spans="2:13" ht="17.25" customHeight="1">
      <c r="B175" s="138" t="s">
        <v>44</v>
      </c>
      <c r="C175" s="138"/>
      <c r="D175" s="138"/>
      <c r="E175" s="138"/>
      <c r="F175" s="139"/>
      <c r="G175" s="162">
        <v>148501349036</v>
      </c>
      <c r="H175" s="163"/>
      <c r="I175" s="55"/>
      <c r="J175" s="56"/>
    </row>
    <row r="176" spans="2:13" ht="17.25" customHeight="1">
      <c r="B176" s="138" t="s">
        <v>45</v>
      </c>
      <c r="C176" s="138"/>
      <c r="D176" s="138"/>
      <c r="E176" s="138"/>
      <c r="F176" s="139"/>
      <c r="G176" s="162">
        <v>145736842445</v>
      </c>
      <c r="H176" s="163"/>
      <c r="I176" s="55"/>
      <c r="J176" s="56"/>
    </row>
    <row r="177" spans="2:10" ht="17.25" customHeight="1">
      <c r="B177" s="138" t="s">
        <v>46</v>
      </c>
      <c r="C177" s="138"/>
      <c r="D177" s="138"/>
      <c r="E177" s="138"/>
      <c r="F177" s="139"/>
      <c r="G177" s="162">
        <v>145148706614</v>
      </c>
      <c r="H177" s="163"/>
      <c r="I177" s="55"/>
      <c r="J177" s="56"/>
    </row>
    <row r="178" spans="2:10" ht="18" customHeight="1" thickBot="1">
      <c r="B178" s="142" t="s">
        <v>39</v>
      </c>
      <c r="C178" s="142"/>
      <c r="D178" s="142"/>
      <c r="E178" s="142"/>
      <c r="F178" s="143"/>
      <c r="G178" s="196">
        <v>141041967060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1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69:F169"/>
    <mergeCell ref="G169:H169"/>
    <mergeCell ref="B170:F170"/>
    <mergeCell ref="G170:H170"/>
    <mergeCell ref="B171:F171"/>
    <mergeCell ref="G171:H171"/>
    <mergeCell ref="B162:F162"/>
    <mergeCell ref="G162:H162"/>
    <mergeCell ref="B163:F163"/>
    <mergeCell ref="G163:H163"/>
    <mergeCell ref="B168:F168"/>
    <mergeCell ref="G168:H168"/>
    <mergeCell ref="B159:F159"/>
    <mergeCell ref="B160:F160"/>
    <mergeCell ref="B161:F161"/>
    <mergeCell ref="B156:F156"/>
    <mergeCell ref="B157:F157"/>
    <mergeCell ref="B158:F158"/>
    <mergeCell ref="G156:H156"/>
    <mergeCell ref="G157:H157"/>
    <mergeCell ref="G158:H158"/>
    <mergeCell ref="G159:H159"/>
    <mergeCell ref="G160:H160"/>
    <mergeCell ref="G161:H161"/>
    <mergeCell ref="B129:F129"/>
    <mergeCell ref="G129:H129"/>
    <mergeCell ref="B138:F138"/>
    <mergeCell ref="G138:H138"/>
    <mergeCell ref="B54:D54"/>
    <mergeCell ref="B128:F128"/>
    <mergeCell ref="G128:H128"/>
    <mergeCell ref="B153:F153"/>
    <mergeCell ref="G153:H153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:H2"/>
    <mergeCell ref="B3:H3"/>
    <mergeCell ref="I3:N3"/>
    <mergeCell ref="B11:D11"/>
    <mergeCell ref="B12:D12"/>
    <mergeCell ref="B13:D13"/>
    <mergeCell ref="B154:F154"/>
    <mergeCell ref="B155:F155"/>
    <mergeCell ref="G154:H154"/>
    <mergeCell ref="G155:H155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139:F139"/>
    <mergeCell ref="B146:F146"/>
    <mergeCell ref="B147:F147"/>
    <mergeCell ref="B148:F148"/>
    <mergeCell ref="G139:H139"/>
    <mergeCell ref="G140:H140"/>
    <mergeCell ref="G141:H141"/>
    <mergeCell ref="G142:H142"/>
    <mergeCell ref="G143:H143"/>
    <mergeCell ref="G144:H144"/>
    <mergeCell ref="G145:H145"/>
    <mergeCell ref="G146:H146"/>
    <mergeCell ref="G147:H147"/>
    <mergeCell ref="G148:H148"/>
    <mergeCell ref="B143:F143"/>
    <mergeCell ref="B144:F144"/>
    <mergeCell ref="B145:F145"/>
    <mergeCell ref="B140:F140"/>
    <mergeCell ref="B141:F141"/>
    <mergeCell ref="B142:F14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697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26977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6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42578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41698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41698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41670</v>
      </c>
      <c r="F11" s="75">
        <f>EDATE(E11,1)</f>
        <v>41698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Январь2014!F12</f>
        <v>1058132</v>
      </c>
      <c r="F12" s="87">
        <v>1059586</v>
      </c>
      <c r="G12" s="11">
        <f>F12-E12</f>
        <v>1454</v>
      </c>
      <c r="H12" s="59">
        <f>F12/E12-1</f>
        <v>1.3741196750500784E-3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Январь2014!F13</f>
        <v>36181</v>
      </c>
      <c r="F13" s="87">
        <v>36016</v>
      </c>
      <c r="G13" s="11">
        <f t="shared" ref="G13:G18" si="0">F13-E13</f>
        <v>-165</v>
      </c>
      <c r="H13" s="59">
        <f t="shared" ref="H13:H18" si="1">F13/E13-1</f>
        <v>-4.5604046322655911E-3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Январь2014!F14</f>
        <v>13858</v>
      </c>
      <c r="F14" s="87">
        <v>12879</v>
      </c>
      <c r="G14" s="11">
        <f t="shared" si="0"/>
        <v>-979</v>
      </c>
      <c r="H14" s="59">
        <f t="shared" si="1"/>
        <v>-7.0645114735170988E-2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Январь2014!F15</f>
        <v>2651</v>
      </c>
      <c r="F15" s="87">
        <v>2693</v>
      </c>
      <c r="G15" s="11">
        <f t="shared" si="0"/>
        <v>42</v>
      </c>
      <c r="H15" s="59">
        <f t="shared" si="1"/>
        <v>1.5843078083741968E-2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Январь2014!F16</f>
        <v>11207</v>
      </c>
      <c r="F16" s="87">
        <v>10186</v>
      </c>
      <c r="G16" s="11">
        <f t="shared" si="0"/>
        <v>-1021</v>
      </c>
      <c r="H16" s="59">
        <f t="shared" si="1"/>
        <v>-9.1103774426697592E-2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Январь2014!F17</f>
        <v>12716</v>
      </c>
      <c r="F17" s="87">
        <v>12831</v>
      </c>
      <c r="G17" s="11">
        <f t="shared" si="0"/>
        <v>115</v>
      </c>
      <c r="H17" s="59">
        <f t="shared" si="1"/>
        <v>9.0437244416483598E-3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Январь2014!F18</f>
        <v>1120887</v>
      </c>
      <c r="F18" s="72">
        <v>1121312</v>
      </c>
      <c r="G18" s="72">
        <f t="shared" si="0"/>
        <v>425</v>
      </c>
      <c r="H18" s="69">
        <f t="shared" si="1"/>
        <v>3.7916400136683848E-4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41670</v>
      </c>
      <c r="F22" s="75">
        <f>F11</f>
        <v>41698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Январь2014!F23</f>
        <v>883068</v>
      </c>
      <c r="F23" s="87">
        <v>886594</v>
      </c>
      <c r="G23" s="11">
        <f>F23-E23</f>
        <v>3526</v>
      </c>
      <c r="H23" s="59">
        <f>F23/E23-1</f>
        <v>3.9928974892080582E-3</v>
      </c>
      <c r="I23" s="89"/>
    </row>
    <row r="24" spans="2:10" s="79" customFormat="1" ht="17.25">
      <c r="B24" s="158" t="s">
        <v>1</v>
      </c>
      <c r="C24" s="158"/>
      <c r="D24" s="159"/>
      <c r="E24" s="87">
        <f>Январь2014!F24</f>
        <v>19540</v>
      </c>
      <c r="F24" s="87">
        <v>19633</v>
      </c>
      <c r="G24" s="11">
        <f t="shared" ref="G24:G29" si="2">F24-E24</f>
        <v>93</v>
      </c>
      <c r="H24" s="59">
        <f t="shared" ref="H24:H29" si="3">F24/E24-1</f>
        <v>4.759467758444158E-3</v>
      </c>
      <c r="I24" s="89"/>
    </row>
    <row r="25" spans="2:10" s="79" customFormat="1" ht="17.25">
      <c r="B25" s="158" t="s">
        <v>2</v>
      </c>
      <c r="C25" s="158"/>
      <c r="D25" s="159"/>
      <c r="E25" s="87">
        <f>Январь2014!F25</f>
        <v>7004</v>
      </c>
      <c r="F25" s="87">
        <v>7064</v>
      </c>
      <c r="G25" s="11">
        <f t="shared" si="2"/>
        <v>60</v>
      </c>
      <c r="H25" s="59">
        <f t="shared" si="3"/>
        <v>8.5665334094802148E-3</v>
      </c>
      <c r="I25" s="89"/>
    </row>
    <row r="26" spans="2:10" s="79" customFormat="1" ht="17.25">
      <c r="B26" s="164" t="s">
        <v>23</v>
      </c>
      <c r="C26" s="164"/>
      <c r="D26" s="165"/>
      <c r="E26" s="87">
        <f>Январь2014!F26</f>
        <v>2573</v>
      </c>
      <c r="F26" s="87">
        <v>2621</v>
      </c>
      <c r="G26" s="11">
        <f t="shared" si="2"/>
        <v>48</v>
      </c>
      <c r="H26" s="59">
        <f t="shared" si="3"/>
        <v>1.8655266226195177E-2</v>
      </c>
      <c r="I26" s="89"/>
    </row>
    <row r="27" spans="2:10" s="79" customFormat="1" ht="17.25">
      <c r="B27" s="166" t="s">
        <v>24</v>
      </c>
      <c r="C27" s="166"/>
      <c r="D27" s="167"/>
      <c r="E27" s="87">
        <f>Январь2014!F27</f>
        <v>4431</v>
      </c>
      <c r="F27" s="87">
        <v>4443</v>
      </c>
      <c r="G27" s="11">
        <f t="shared" si="2"/>
        <v>12</v>
      </c>
      <c r="H27" s="59">
        <f t="shared" si="3"/>
        <v>2.7081922816520887E-3</v>
      </c>
      <c r="I27" s="89"/>
    </row>
    <row r="28" spans="2:10" s="79" customFormat="1" ht="18" thickBot="1">
      <c r="B28" s="168" t="s">
        <v>3</v>
      </c>
      <c r="C28" s="168"/>
      <c r="D28" s="169"/>
      <c r="E28" s="87">
        <f>Январь2014!F28</f>
        <v>5189</v>
      </c>
      <c r="F28" s="87">
        <v>5217</v>
      </c>
      <c r="G28" s="11">
        <f t="shared" si="2"/>
        <v>28</v>
      </c>
      <c r="H28" s="59">
        <f t="shared" si="3"/>
        <v>5.3960300635960134E-3</v>
      </c>
      <c r="I28" s="89"/>
    </row>
    <row r="29" spans="2:10" s="70" customFormat="1" ht="18" thickBot="1">
      <c r="B29" s="60" t="s">
        <v>4</v>
      </c>
      <c r="C29" s="60"/>
      <c r="D29" s="61"/>
      <c r="E29" s="72">
        <f>Январь2014!F29</f>
        <v>914801</v>
      </c>
      <c r="F29" s="72">
        <v>918508</v>
      </c>
      <c r="G29" s="72">
        <f t="shared" si="2"/>
        <v>3707</v>
      </c>
      <c r="H29" s="69">
        <f t="shared" si="3"/>
        <v>4.0522474286757149E-3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41667</v>
      </c>
      <c r="F33" s="73">
        <f>EDATE(E33,1)</f>
        <v>41698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Январь2014!F34</f>
        <v>54578</v>
      </c>
      <c r="F34" s="81">
        <v>57539</v>
      </c>
      <c r="G34" s="11">
        <f t="shared" ref="G34:G40" si="4">F34-E34</f>
        <v>2961</v>
      </c>
      <c r="H34" s="59">
        <f t="shared" ref="H34:H40" si="5">F34/E34-1</f>
        <v>5.4252629264538887E-2</v>
      </c>
      <c r="I34" s="58"/>
    </row>
    <row r="35" spans="2:9" ht="17.25">
      <c r="B35" s="138" t="s">
        <v>1</v>
      </c>
      <c r="C35" s="138"/>
      <c r="D35" s="139"/>
      <c r="E35" s="81">
        <f>Январь2014!F35</f>
        <v>1156</v>
      </c>
      <c r="F35" s="81">
        <v>1323</v>
      </c>
      <c r="G35" s="11">
        <f t="shared" si="4"/>
        <v>167</v>
      </c>
      <c r="H35" s="59">
        <f t="shared" si="5"/>
        <v>0.14446366782006925</v>
      </c>
      <c r="I35" s="58"/>
    </row>
    <row r="36" spans="2:9" ht="17.25">
      <c r="B36" s="138" t="s">
        <v>2</v>
      </c>
      <c r="C36" s="138"/>
      <c r="D36" s="139"/>
      <c r="E36" s="81">
        <f>Январь2014!F36</f>
        <v>555</v>
      </c>
      <c r="F36" s="81">
        <v>602</v>
      </c>
      <c r="G36" s="11">
        <f t="shared" si="4"/>
        <v>47</v>
      </c>
      <c r="H36" s="59">
        <f t="shared" si="5"/>
        <v>8.4684684684684708E-2</v>
      </c>
      <c r="I36" s="58"/>
    </row>
    <row r="37" spans="2:9" ht="17.25">
      <c r="B37" s="164" t="s">
        <v>23</v>
      </c>
      <c r="C37" s="164"/>
      <c r="D37" s="165"/>
      <c r="E37" s="81">
        <f>Январь2014!F37</f>
        <v>146</v>
      </c>
      <c r="F37" s="81">
        <v>156</v>
      </c>
      <c r="G37" s="11">
        <f t="shared" si="4"/>
        <v>10</v>
      </c>
      <c r="H37" s="59">
        <f t="shared" si="5"/>
        <v>6.8493150684931559E-2</v>
      </c>
      <c r="I37" s="58"/>
    </row>
    <row r="38" spans="2:9" ht="17.25">
      <c r="B38" s="166" t="s">
        <v>24</v>
      </c>
      <c r="C38" s="166"/>
      <c r="D38" s="167"/>
      <c r="E38" s="81">
        <f>Январь2014!F38</f>
        <v>409</v>
      </c>
      <c r="F38" s="81">
        <v>446</v>
      </c>
      <c r="G38" s="11">
        <f t="shared" si="4"/>
        <v>37</v>
      </c>
      <c r="H38" s="59">
        <f t="shared" si="5"/>
        <v>9.0464547677261642E-2</v>
      </c>
      <c r="I38" s="58"/>
    </row>
    <row r="39" spans="2:9" ht="18" thickBot="1">
      <c r="B39" s="183" t="s">
        <v>3</v>
      </c>
      <c r="C39" s="183"/>
      <c r="D39" s="184"/>
      <c r="E39" s="81">
        <f>Январь2014!F39</f>
        <v>828</v>
      </c>
      <c r="F39" s="81">
        <v>764</v>
      </c>
      <c r="G39" s="11">
        <f t="shared" si="4"/>
        <v>-64</v>
      </c>
      <c r="H39" s="59">
        <f t="shared" si="5"/>
        <v>-7.7294685990338174E-2</v>
      </c>
      <c r="I39" s="58"/>
    </row>
    <row r="40" spans="2:9" s="70" customFormat="1" ht="18" thickBot="1">
      <c r="B40" s="60" t="s">
        <v>4</v>
      </c>
      <c r="C40" s="60"/>
      <c r="D40" s="61"/>
      <c r="E40" s="72">
        <f>Январь2014!F40</f>
        <v>57117</v>
      </c>
      <c r="F40" s="72">
        <v>60228</v>
      </c>
      <c r="G40" s="72">
        <f t="shared" si="4"/>
        <v>3111</v>
      </c>
      <c r="H40" s="69">
        <f t="shared" si="5"/>
        <v>5.4467146383738729E-2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41545</v>
      </c>
      <c r="D83" s="75">
        <f>EDATE(E83,-1)</f>
        <v>41575</v>
      </c>
      <c r="E83" s="75">
        <f>EDATE(F83,-1)</f>
        <v>41606</v>
      </c>
      <c r="F83" s="75">
        <f>EDATE(G83,-1)</f>
        <v>41636</v>
      </c>
      <c r="G83" s="75">
        <f>EDATE(H83,-1)</f>
        <v>41667</v>
      </c>
      <c r="H83" s="75">
        <f>EDATE(E11,1)</f>
        <v>41698</v>
      </c>
      <c r="I83"/>
      <c r="J83"/>
    </row>
    <row r="84" spans="2:11" ht="16.5" customHeight="1">
      <c r="B84" s="25" t="s">
        <v>0</v>
      </c>
      <c r="C84" s="63">
        <v>872709</v>
      </c>
      <c r="D84" s="63">
        <v>876196</v>
      </c>
      <c r="E84" s="63">
        <v>878908</v>
      </c>
      <c r="F84" s="83">
        <v>881844</v>
      </c>
      <c r="G84" s="83">
        <v>883068</v>
      </c>
      <c r="H84" s="83">
        <v>886594</v>
      </c>
    </row>
    <row r="85" spans="2:11" ht="16.5" customHeight="1">
      <c r="B85" s="26" t="s">
        <v>1</v>
      </c>
      <c r="C85" s="64">
        <v>19279</v>
      </c>
      <c r="D85" s="64">
        <v>19352</v>
      </c>
      <c r="E85" s="64">
        <v>19435</v>
      </c>
      <c r="F85" s="84">
        <v>19539</v>
      </c>
      <c r="G85" s="84">
        <v>19540</v>
      </c>
      <c r="H85" s="84">
        <v>19633</v>
      </c>
    </row>
    <row r="86" spans="2:11" ht="16.5" customHeight="1">
      <c r="B86" s="27" t="s">
        <v>2</v>
      </c>
      <c r="C86" s="65">
        <v>6763</v>
      </c>
      <c r="D86" s="65">
        <v>6810</v>
      </c>
      <c r="E86" s="65">
        <v>6874</v>
      </c>
      <c r="F86" s="86">
        <v>6957</v>
      </c>
      <c r="G86" s="86">
        <v>7004</v>
      </c>
      <c r="H86" s="86">
        <v>7064</v>
      </c>
    </row>
    <row r="87" spans="2:11" ht="16.5" customHeight="1" thickBot="1">
      <c r="B87" s="28" t="s">
        <v>3</v>
      </c>
      <c r="C87" s="66">
        <v>5254</v>
      </c>
      <c r="D87" s="66">
        <v>5157</v>
      </c>
      <c r="E87" s="66">
        <v>5205</v>
      </c>
      <c r="F87" s="82">
        <v>5182</v>
      </c>
      <c r="G87" s="82">
        <v>5189</v>
      </c>
      <c r="H87" s="82">
        <v>5217</v>
      </c>
    </row>
    <row r="88" spans="2:11" s="71" customFormat="1" ht="18" thickBot="1">
      <c r="B88" s="93" t="s">
        <v>4</v>
      </c>
      <c r="C88" s="67">
        <v>904005</v>
      </c>
      <c r="D88" s="67">
        <v>907515</v>
      </c>
      <c r="E88" s="67">
        <v>910422</v>
      </c>
      <c r="F88" s="85">
        <v>913522</v>
      </c>
      <c r="G88" s="85">
        <v>914801</v>
      </c>
      <c r="H88" s="85">
        <v>918508</v>
      </c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76">
        <v>41698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447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41698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44">
        <v>202792</v>
      </c>
      <c r="H139" s="145"/>
      <c r="I139" s="47"/>
      <c r="J139" s="50"/>
    </row>
    <row r="140" spans="2:10" ht="17.25">
      <c r="B140" s="138" t="s">
        <v>32</v>
      </c>
      <c r="C140" s="138"/>
      <c r="D140" s="138"/>
      <c r="E140" s="138"/>
      <c r="F140" s="139"/>
      <c r="G140" s="146">
        <v>182430</v>
      </c>
      <c r="H140" s="147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46">
        <v>116732</v>
      </c>
      <c r="H141" s="147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46">
        <v>111812</v>
      </c>
      <c r="H142" s="147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46">
        <v>60661</v>
      </c>
      <c r="H143" s="147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46">
        <v>44161</v>
      </c>
      <c r="H144" s="147"/>
      <c r="I144" s="51"/>
      <c r="J144" s="50"/>
    </row>
    <row r="145" spans="2:13" ht="17.25" customHeight="1">
      <c r="B145" s="138" t="s">
        <v>37</v>
      </c>
      <c r="C145" s="138"/>
      <c r="D145" s="138"/>
      <c r="E145" s="138"/>
      <c r="F145" s="139"/>
      <c r="G145" s="146">
        <v>41021</v>
      </c>
      <c r="H145" s="147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46">
        <v>29554</v>
      </c>
      <c r="H146" s="147"/>
      <c r="I146" s="47"/>
      <c r="J146" s="50"/>
    </row>
    <row r="147" spans="2:13" ht="17.25" customHeight="1">
      <c r="B147" s="140" t="s">
        <v>39</v>
      </c>
      <c r="C147" s="140"/>
      <c r="D147" s="140"/>
      <c r="E147" s="140"/>
      <c r="F147" s="141"/>
      <c r="G147" s="148">
        <v>20464</v>
      </c>
      <c r="H147" s="149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50">
        <v>19462</v>
      </c>
      <c r="H148" s="151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10296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9706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9193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6422</v>
      </c>
      <c r="H157" s="163"/>
      <c r="I157" s="53"/>
      <c r="J157" s="50"/>
      <c r="K157" s="49"/>
      <c r="L157"/>
      <c r="M157"/>
    </row>
    <row r="158" spans="2:13" ht="17.25" customHeight="1">
      <c r="B158" s="138" t="s">
        <v>35</v>
      </c>
      <c r="C158" s="138"/>
      <c r="D158" s="138"/>
      <c r="E158" s="138"/>
      <c r="F158" s="139"/>
      <c r="G158" s="162">
        <v>3777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37</v>
      </c>
      <c r="C159" s="138"/>
      <c r="D159" s="138"/>
      <c r="E159" s="138"/>
      <c r="F159" s="139"/>
      <c r="G159" s="162">
        <v>3608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2890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1708</v>
      </c>
      <c r="H161" s="163"/>
      <c r="I161" s="53"/>
      <c r="J161" s="50"/>
      <c r="K161" s="49"/>
      <c r="L161"/>
      <c r="M161"/>
    </row>
    <row r="162" spans="2:13" ht="17.25">
      <c r="B162" s="138" t="s">
        <v>38</v>
      </c>
      <c r="C162" s="138"/>
      <c r="D162" s="138"/>
      <c r="E162" s="138"/>
      <c r="F162" s="139"/>
      <c r="G162" s="162">
        <v>1574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47</v>
      </c>
      <c r="C163" s="142"/>
      <c r="D163" s="142"/>
      <c r="E163" s="142"/>
      <c r="F163" s="143"/>
      <c r="G163" s="196">
        <v>1305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70" t="s">
        <v>19</v>
      </c>
      <c r="C168" s="170"/>
      <c r="D168" s="170"/>
      <c r="E168" s="170"/>
      <c r="F168" s="171"/>
      <c r="G168" s="190" t="s">
        <v>9</v>
      </c>
      <c r="H168" s="190"/>
      <c r="I168" s="2"/>
      <c r="J168" s="2"/>
    </row>
    <row r="169" spans="2:13" ht="17.25" customHeight="1">
      <c r="B169" s="136" t="s">
        <v>37</v>
      </c>
      <c r="C169" s="136"/>
      <c r="D169" s="136"/>
      <c r="E169" s="136"/>
      <c r="F169" s="137"/>
      <c r="G169" s="160">
        <v>1067269146384</v>
      </c>
      <c r="H169" s="161"/>
      <c r="I169" s="55"/>
      <c r="J169" s="56"/>
    </row>
    <row r="170" spans="2:13" ht="17.25" customHeight="1">
      <c r="B170" s="138" t="s">
        <v>32</v>
      </c>
      <c r="C170" s="138"/>
      <c r="D170" s="138"/>
      <c r="E170" s="138"/>
      <c r="F170" s="139"/>
      <c r="G170" s="162">
        <v>965232935522</v>
      </c>
      <c r="H170" s="163"/>
      <c r="I170" s="55"/>
      <c r="J170" s="56"/>
    </row>
    <row r="171" spans="2:13" ht="17.25" customHeight="1">
      <c r="B171" s="138" t="s">
        <v>34</v>
      </c>
      <c r="C171" s="138"/>
      <c r="D171" s="138"/>
      <c r="E171" s="138"/>
      <c r="F171" s="139"/>
      <c r="G171" s="162">
        <v>899417858441</v>
      </c>
      <c r="H171" s="163"/>
      <c r="I171" s="55"/>
      <c r="J171" s="56"/>
    </row>
    <row r="172" spans="2:13" ht="17.25" customHeight="1">
      <c r="B172" s="138" t="s">
        <v>33</v>
      </c>
      <c r="C172" s="138"/>
      <c r="D172" s="138"/>
      <c r="E172" s="138"/>
      <c r="F172" s="139"/>
      <c r="G172" s="162">
        <v>345528173060</v>
      </c>
      <c r="H172" s="163"/>
      <c r="I172" s="55"/>
      <c r="J172" s="56"/>
    </row>
    <row r="173" spans="2:13" ht="17.25" customHeight="1">
      <c r="B173" s="138" t="s">
        <v>42</v>
      </c>
      <c r="C173" s="138"/>
      <c r="D173" s="138"/>
      <c r="E173" s="138"/>
      <c r="F173" s="139"/>
      <c r="G173" s="162">
        <v>294341396752</v>
      </c>
      <c r="H173" s="163"/>
      <c r="I173" s="57"/>
      <c r="J173" s="50"/>
    </row>
    <row r="174" spans="2:13" ht="17.25" customHeight="1">
      <c r="B174" s="138" t="s">
        <v>43</v>
      </c>
      <c r="C174" s="138"/>
      <c r="D174" s="138"/>
      <c r="E174" s="138"/>
      <c r="F174" s="139"/>
      <c r="G174" s="162">
        <v>288553254566</v>
      </c>
      <c r="H174" s="163"/>
      <c r="I174" s="55"/>
      <c r="J174" s="56"/>
    </row>
    <row r="175" spans="2:13" ht="17.25" customHeight="1">
      <c r="B175" s="138" t="s">
        <v>45</v>
      </c>
      <c r="C175" s="138"/>
      <c r="D175" s="138"/>
      <c r="E175" s="138"/>
      <c r="F175" s="139"/>
      <c r="G175" s="162">
        <v>169675732529</v>
      </c>
      <c r="H175" s="163"/>
      <c r="I175" s="55"/>
      <c r="J175" s="56"/>
    </row>
    <row r="176" spans="2:13" ht="17.25" customHeight="1">
      <c r="B176" s="138" t="s">
        <v>46</v>
      </c>
      <c r="C176" s="138"/>
      <c r="D176" s="138"/>
      <c r="E176" s="138"/>
      <c r="F176" s="139"/>
      <c r="G176" s="162">
        <v>165488333763</v>
      </c>
      <c r="H176" s="163"/>
      <c r="I176" s="55"/>
      <c r="J176" s="56"/>
    </row>
    <row r="177" spans="2:10" ht="17.25" customHeight="1">
      <c r="B177" s="138" t="s">
        <v>44</v>
      </c>
      <c r="C177" s="138"/>
      <c r="D177" s="138"/>
      <c r="E177" s="138"/>
      <c r="F177" s="139"/>
      <c r="G177" s="162">
        <v>143698884230</v>
      </c>
      <c r="H177" s="163"/>
      <c r="I177" s="55"/>
      <c r="J177" s="56"/>
    </row>
    <row r="178" spans="2:10" ht="18" customHeight="1" thickBot="1">
      <c r="B178" s="142" t="s">
        <v>38</v>
      </c>
      <c r="C178" s="142"/>
      <c r="D178" s="142"/>
      <c r="E178" s="142"/>
      <c r="F178" s="143"/>
      <c r="G178" s="196">
        <v>124731017896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29:F129"/>
    <mergeCell ref="G129:H129"/>
    <mergeCell ref="B138:F138"/>
    <mergeCell ref="G138:H138"/>
    <mergeCell ref="B139:F139"/>
    <mergeCell ref="G139:H139"/>
    <mergeCell ref="B54:D54"/>
    <mergeCell ref="B128:F128"/>
    <mergeCell ref="G128:H128"/>
    <mergeCell ref="B143:F143"/>
    <mergeCell ref="G143:H143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69:F169"/>
    <mergeCell ref="G169:H169"/>
    <mergeCell ref="B170:F170"/>
    <mergeCell ref="G170:H170"/>
    <mergeCell ref="B171:F171"/>
    <mergeCell ref="G171:H171"/>
    <mergeCell ref="B162:F162"/>
    <mergeCell ref="G162:H162"/>
    <mergeCell ref="B163:F163"/>
    <mergeCell ref="G163:H163"/>
    <mergeCell ref="B168:F168"/>
    <mergeCell ref="G168:H168"/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800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28001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7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41729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41729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41698</v>
      </c>
      <c r="F11" s="75">
        <f>EDATE(E11,1)</f>
        <v>41726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Февраль2014!F12</f>
        <v>1059586</v>
      </c>
      <c r="F12" s="87">
        <v>1067622</v>
      </c>
      <c r="G12" s="11">
        <f>F12-E12</f>
        <v>8036</v>
      </c>
      <c r="H12" s="59">
        <f>F12/E12-1</f>
        <v>7.5840941650795468E-3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Февраль2014!F13</f>
        <v>36016</v>
      </c>
      <c r="F13" s="87">
        <v>36005</v>
      </c>
      <c r="G13" s="11">
        <f t="shared" ref="G13:G17" si="0">F13-E13</f>
        <v>-11</v>
      </c>
      <c r="H13" s="59">
        <f t="shared" ref="H13:H18" si="1">F13/E13-1</f>
        <v>-3.0541981341625224E-4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Февраль2014!F14</f>
        <v>12879</v>
      </c>
      <c r="F14" s="87">
        <v>12078</v>
      </c>
      <c r="G14" s="11">
        <f t="shared" si="0"/>
        <v>-801</v>
      </c>
      <c r="H14" s="59">
        <f t="shared" si="1"/>
        <v>-6.2194269741439601E-2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Февраль2014!F15</f>
        <v>2693</v>
      </c>
      <c r="F15" s="87">
        <v>2708</v>
      </c>
      <c r="G15" s="11">
        <f t="shared" si="0"/>
        <v>15</v>
      </c>
      <c r="H15" s="59">
        <f t="shared" si="1"/>
        <v>5.5699962866690989E-3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Февраль2014!F16</f>
        <v>10186</v>
      </c>
      <c r="F16" s="87">
        <v>9370</v>
      </c>
      <c r="G16" s="11">
        <f t="shared" si="0"/>
        <v>-816</v>
      </c>
      <c r="H16" s="59">
        <f t="shared" si="1"/>
        <v>-8.0109954839976405E-2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Февраль2014!F17</f>
        <v>12831</v>
      </c>
      <c r="F17" s="87">
        <v>12896</v>
      </c>
      <c r="G17" s="11">
        <f t="shared" si="0"/>
        <v>65</v>
      </c>
      <c r="H17" s="59">
        <f t="shared" si="1"/>
        <v>5.0658561296859084E-3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Февраль2014!F18</f>
        <v>1121312</v>
      </c>
      <c r="F18" s="72">
        <v>1128601</v>
      </c>
      <c r="G18" s="72">
        <f>F18-E18</f>
        <v>7289</v>
      </c>
      <c r="H18" s="69">
        <f t="shared" si="1"/>
        <v>6.5004209354755371E-3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41698</v>
      </c>
      <c r="F22" s="75">
        <f>F11</f>
        <v>41726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Февраль2014!F23</f>
        <v>886594</v>
      </c>
      <c r="F23" s="87">
        <v>892693</v>
      </c>
      <c r="G23" s="11">
        <f>F23-E23</f>
        <v>6099</v>
      </c>
      <c r="H23" s="59">
        <f>F23/E23-1</f>
        <v>6.8791352073214185E-3</v>
      </c>
      <c r="I23" s="89"/>
    </row>
    <row r="24" spans="2:10" s="79" customFormat="1" ht="17.25">
      <c r="B24" s="158" t="s">
        <v>1</v>
      </c>
      <c r="C24" s="158"/>
      <c r="D24" s="159"/>
      <c r="E24" s="87">
        <f>Февраль2014!F24</f>
        <v>19633</v>
      </c>
      <c r="F24" s="87">
        <v>19706</v>
      </c>
      <c r="G24" s="11">
        <f t="shared" ref="G24:G29" si="2">F24-E24</f>
        <v>73</v>
      </c>
      <c r="H24" s="59">
        <f t="shared" ref="H24:H29" si="3">F24/E24-1</f>
        <v>3.7182295115367747E-3</v>
      </c>
      <c r="I24" s="89"/>
    </row>
    <row r="25" spans="2:10" s="79" customFormat="1" ht="17.25">
      <c r="B25" s="158" t="s">
        <v>2</v>
      </c>
      <c r="C25" s="158"/>
      <c r="D25" s="159"/>
      <c r="E25" s="87">
        <f>Февраль2014!F25</f>
        <v>7064</v>
      </c>
      <c r="F25" s="87">
        <v>6815</v>
      </c>
      <c r="G25" s="11">
        <f t="shared" si="2"/>
        <v>-249</v>
      </c>
      <c r="H25" s="59">
        <f t="shared" si="3"/>
        <v>-3.5249150622876591E-2</v>
      </c>
      <c r="I25" s="89"/>
    </row>
    <row r="26" spans="2:10" s="79" customFormat="1" ht="17.25">
      <c r="B26" s="164" t="s">
        <v>23</v>
      </c>
      <c r="C26" s="164"/>
      <c r="D26" s="165"/>
      <c r="E26" s="87">
        <f>Февраль2014!F26</f>
        <v>2621</v>
      </c>
      <c r="F26" s="87">
        <v>2639</v>
      </c>
      <c r="G26" s="11">
        <f t="shared" si="2"/>
        <v>18</v>
      </c>
      <c r="H26" s="59">
        <f t="shared" si="3"/>
        <v>6.867607783288765E-3</v>
      </c>
      <c r="I26" s="89"/>
    </row>
    <row r="27" spans="2:10" s="79" customFormat="1" ht="17.25">
      <c r="B27" s="166" t="s">
        <v>24</v>
      </c>
      <c r="C27" s="166"/>
      <c r="D27" s="167"/>
      <c r="E27" s="87">
        <f>Февраль2014!F27</f>
        <v>4443</v>
      </c>
      <c r="F27" s="87">
        <v>4176</v>
      </c>
      <c r="G27" s="11">
        <f t="shared" si="2"/>
        <v>-267</v>
      </c>
      <c r="H27" s="59">
        <f t="shared" si="3"/>
        <v>-6.0094530722484829E-2</v>
      </c>
      <c r="I27" s="89"/>
    </row>
    <row r="28" spans="2:10" s="79" customFormat="1" ht="18" thickBot="1">
      <c r="B28" s="168" t="s">
        <v>3</v>
      </c>
      <c r="C28" s="168"/>
      <c r="D28" s="169"/>
      <c r="E28" s="87">
        <f>Февраль2014!F28</f>
        <v>5217</v>
      </c>
      <c r="F28" s="87">
        <v>5226</v>
      </c>
      <c r="G28" s="11">
        <f t="shared" si="2"/>
        <v>9</v>
      </c>
      <c r="H28" s="59">
        <f t="shared" si="3"/>
        <v>1.7251293847038163E-3</v>
      </c>
      <c r="I28" s="89"/>
    </row>
    <row r="29" spans="2:10" s="70" customFormat="1" ht="18" thickBot="1">
      <c r="B29" s="60" t="s">
        <v>4</v>
      </c>
      <c r="C29" s="60"/>
      <c r="D29" s="61"/>
      <c r="E29" s="72">
        <f>Февраль2014!F29</f>
        <v>918508</v>
      </c>
      <c r="F29" s="72">
        <v>924440</v>
      </c>
      <c r="G29" s="72">
        <f t="shared" si="2"/>
        <v>5932</v>
      </c>
      <c r="H29" s="69">
        <f t="shared" si="3"/>
        <v>6.458299764400488E-3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41698</v>
      </c>
      <c r="F33" s="73">
        <f>EDATE(E33,1)</f>
        <v>41726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Февраль2014!F34</f>
        <v>57539</v>
      </c>
      <c r="F34" s="81">
        <v>75119</v>
      </c>
      <c r="G34" s="11">
        <f t="shared" ref="G34:G40" si="4">F34-E34</f>
        <v>17580</v>
      </c>
      <c r="H34" s="59">
        <f t="shared" ref="H34:H40" si="5">F34/E34-1</f>
        <v>0.30553190010253917</v>
      </c>
      <c r="I34" s="58"/>
    </row>
    <row r="35" spans="2:9" ht="17.25">
      <c r="B35" s="138" t="s">
        <v>1</v>
      </c>
      <c r="C35" s="138"/>
      <c r="D35" s="139"/>
      <c r="E35" s="81">
        <f>Февраль2014!F35</f>
        <v>1323</v>
      </c>
      <c r="F35" s="81">
        <v>1446</v>
      </c>
      <c r="G35" s="11">
        <f t="shared" si="4"/>
        <v>123</v>
      </c>
      <c r="H35" s="59">
        <f t="shared" si="5"/>
        <v>9.2970521541950069E-2</v>
      </c>
      <c r="I35" s="58"/>
    </row>
    <row r="36" spans="2:9" ht="17.25">
      <c r="B36" s="138" t="s">
        <v>2</v>
      </c>
      <c r="C36" s="138"/>
      <c r="D36" s="139"/>
      <c r="E36" s="81">
        <f>Февраль2014!F36</f>
        <v>602</v>
      </c>
      <c r="F36" s="81">
        <v>677</v>
      </c>
      <c r="G36" s="11">
        <f t="shared" si="4"/>
        <v>75</v>
      </c>
      <c r="H36" s="59">
        <f t="shared" si="5"/>
        <v>0.12458471760797352</v>
      </c>
      <c r="I36" s="58"/>
    </row>
    <row r="37" spans="2:9" ht="17.25">
      <c r="B37" s="164" t="s">
        <v>23</v>
      </c>
      <c r="C37" s="164"/>
      <c r="D37" s="165"/>
      <c r="E37" s="81">
        <f>Февраль2014!F37</f>
        <v>156</v>
      </c>
      <c r="F37" s="81">
        <v>221</v>
      </c>
      <c r="G37" s="11">
        <f t="shared" si="4"/>
        <v>65</v>
      </c>
      <c r="H37" s="59">
        <f t="shared" si="5"/>
        <v>0.41666666666666674</v>
      </c>
      <c r="I37" s="58"/>
    </row>
    <row r="38" spans="2:9" ht="17.25">
      <c r="B38" s="166" t="s">
        <v>24</v>
      </c>
      <c r="C38" s="166"/>
      <c r="D38" s="167"/>
      <c r="E38" s="81">
        <f>Февраль2014!F38</f>
        <v>446</v>
      </c>
      <c r="F38" s="81">
        <v>456</v>
      </c>
      <c r="G38" s="11">
        <f t="shared" si="4"/>
        <v>10</v>
      </c>
      <c r="H38" s="59">
        <f t="shared" si="5"/>
        <v>2.2421524663677195E-2</v>
      </c>
      <c r="I38" s="58"/>
    </row>
    <row r="39" spans="2:9" ht="18" thickBot="1">
      <c r="B39" s="183" t="s">
        <v>3</v>
      </c>
      <c r="C39" s="183"/>
      <c r="D39" s="184"/>
      <c r="E39" s="81">
        <f>Февраль2014!F39</f>
        <v>764</v>
      </c>
      <c r="F39" s="81">
        <v>785</v>
      </c>
      <c r="G39" s="11">
        <f t="shared" si="4"/>
        <v>21</v>
      </c>
      <c r="H39" s="59">
        <f t="shared" si="5"/>
        <v>2.7486910994764413E-2</v>
      </c>
      <c r="I39" s="58"/>
    </row>
    <row r="40" spans="2:9" s="70" customFormat="1" ht="18" thickBot="1">
      <c r="B40" s="60" t="s">
        <v>4</v>
      </c>
      <c r="C40" s="60"/>
      <c r="D40" s="61"/>
      <c r="E40" s="72">
        <f>Февраль2014!F40</f>
        <v>60228</v>
      </c>
      <c r="F40" s="72">
        <v>78027</v>
      </c>
      <c r="G40" s="72">
        <f t="shared" si="4"/>
        <v>17799</v>
      </c>
      <c r="H40" s="69">
        <f t="shared" si="5"/>
        <v>0.29552699740984267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41575</v>
      </c>
      <c r="D83" s="75">
        <f>EDATE(E83,-1)</f>
        <v>41606</v>
      </c>
      <c r="E83" s="75">
        <f>EDATE(F83,-1)</f>
        <v>41636</v>
      </c>
      <c r="F83" s="75">
        <f>EDATE(G83,-1)</f>
        <v>41667</v>
      </c>
      <c r="G83" s="75">
        <f>EDATE(H83,-1)</f>
        <v>41698</v>
      </c>
      <c r="H83" s="75">
        <f>EDATE(E11,1)</f>
        <v>41726</v>
      </c>
      <c r="I83"/>
      <c r="J83"/>
    </row>
    <row r="84" spans="2:11" ht="16.5" customHeight="1">
      <c r="B84" s="25" t="s">
        <v>0</v>
      </c>
      <c r="C84" s="63">
        <v>876196</v>
      </c>
      <c r="D84" s="63">
        <v>878908</v>
      </c>
      <c r="E84" s="83">
        <v>881844</v>
      </c>
      <c r="F84" s="83">
        <v>883068</v>
      </c>
      <c r="G84" s="83">
        <v>886594</v>
      </c>
      <c r="H84" s="83">
        <v>892693</v>
      </c>
    </row>
    <row r="85" spans="2:11" ht="16.5" customHeight="1">
      <c r="B85" s="26" t="s">
        <v>1</v>
      </c>
      <c r="C85" s="64">
        <v>19352</v>
      </c>
      <c r="D85" s="64">
        <v>19435</v>
      </c>
      <c r="E85" s="84">
        <v>19539</v>
      </c>
      <c r="F85" s="84">
        <v>19540</v>
      </c>
      <c r="G85" s="84">
        <v>19633</v>
      </c>
      <c r="H85" s="84">
        <v>19706</v>
      </c>
    </row>
    <row r="86" spans="2:11" ht="16.5" customHeight="1">
      <c r="B86" s="27" t="s">
        <v>2</v>
      </c>
      <c r="C86" s="65">
        <v>6810</v>
      </c>
      <c r="D86" s="65">
        <v>6874</v>
      </c>
      <c r="E86" s="86">
        <v>6957</v>
      </c>
      <c r="F86" s="86">
        <v>7004</v>
      </c>
      <c r="G86" s="86">
        <v>7064</v>
      </c>
      <c r="H86" s="86">
        <v>6815</v>
      </c>
    </row>
    <row r="87" spans="2:11" ht="16.5" customHeight="1" thickBot="1">
      <c r="B87" s="28" t="s">
        <v>3</v>
      </c>
      <c r="C87" s="66">
        <v>5157</v>
      </c>
      <c r="D87" s="66">
        <v>5205</v>
      </c>
      <c r="E87" s="82">
        <v>5182</v>
      </c>
      <c r="F87" s="82">
        <v>5189</v>
      </c>
      <c r="G87" s="82">
        <v>5217</v>
      </c>
      <c r="H87" s="82">
        <v>5226</v>
      </c>
    </row>
    <row r="88" spans="2:11" s="71" customFormat="1" ht="18" thickBot="1">
      <c r="B88" s="96" t="s">
        <v>4</v>
      </c>
      <c r="C88" s="67">
        <v>907515</v>
      </c>
      <c r="D88" s="67">
        <v>910422</v>
      </c>
      <c r="E88" s="85">
        <v>913522</v>
      </c>
      <c r="F88" s="85">
        <v>914801</v>
      </c>
      <c r="G88" s="85">
        <v>918508</v>
      </c>
      <c r="H88" s="85">
        <v>924440</v>
      </c>
      <c r="I88" s="7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49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451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41729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44">
        <v>204499</v>
      </c>
      <c r="H139" s="145"/>
      <c r="I139" s="47"/>
      <c r="J139" s="50"/>
    </row>
    <row r="140" spans="2:10" ht="17.25">
      <c r="B140" s="138" t="s">
        <v>32</v>
      </c>
      <c r="C140" s="138"/>
      <c r="D140" s="138"/>
      <c r="E140" s="138"/>
      <c r="F140" s="139"/>
      <c r="G140" s="146">
        <v>184533</v>
      </c>
      <c r="H140" s="147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46">
        <v>117755</v>
      </c>
      <c r="H141" s="147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46">
        <v>112852</v>
      </c>
      <c r="H142" s="147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46">
        <v>60923</v>
      </c>
      <c r="H143" s="147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46">
        <v>44393</v>
      </c>
      <c r="H144" s="147"/>
      <c r="I144" s="51"/>
      <c r="J144" s="50"/>
    </row>
    <row r="145" spans="2:13" ht="17.25" customHeight="1">
      <c r="B145" s="138" t="s">
        <v>37</v>
      </c>
      <c r="C145" s="138"/>
      <c r="D145" s="138"/>
      <c r="E145" s="138"/>
      <c r="F145" s="139"/>
      <c r="G145" s="146">
        <v>42223</v>
      </c>
      <c r="H145" s="147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46">
        <v>29651</v>
      </c>
      <c r="H146" s="147"/>
      <c r="I146" s="47"/>
      <c r="J146" s="50"/>
    </row>
    <row r="147" spans="2:13" ht="17.25" customHeight="1">
      <c r="B147" s="140" t="s">
        <v>39</v>
      </c>
      <c r="C147" s="140"/>
      <c r="D147" s="140"/>
      <c r="E147" s="140"/>
      <c r="F147" s="141"/>
      <c r="G147" s="148">
        <v>20591</v>
      </c>
      <c r="H147" s="149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50">
        <v>19462</v>
      </c>
      <c r="H148" s="151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13963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12487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11555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8753</v>
      </c>
      <c r="H157" s="163"/>
      <c r="I157" s="53"/>
      <c r="J157" s="50"/>
      <c r="K157" s="49"/>
      <c r="L157"/>
      <c r="M157"/>
    </row>
    <row r="158" spans="2:13" ht="17.25" customHeight="1">
      <c r="B158" s="138" t="s">
        <v>35</v>
      </c>
      <c r="C158" s="138"/>
      <c r="D158" s="138"/>
      <c r="E158" s="138"/>
      <c r="F158" s="139"/>
      <c r="G158" s="162">
        <v>5302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37</v>
      </c>
      <c r="C159" s="138"/>
      <c r="D159" s="138"/>
      <c r="E159" s="138"/>
      <c r="F159" s="139"/>
      <c r="G159" s="162">
        <v>4741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3763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2069</v>
      </c>
      <c r="H161" s="163"/>
      <c r="I161" s="53"/>
      <c r="J161" s="50"/>
      <c r="K161" s="49"/>
      <c r="L161"/>
      <c r="M161"/>
    </row>
    <row r="162" spans="2:13" ht="17.25">
      <c r="B162" s="138" t="s">
        <v>38</v>
      </c>
      <c r="C162" s="138"/>
      <c r="D162" s="138"/>
      <c r="E162" s="138"/>
      <c r="F162" s="139"/>
      <c r="G162" s="162">
        <v>2031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47</v>
      </c>
      <c r="C163" s="142"/>
      <c r="D163" s="142"/>
      <c r="E163" s="142"/>
      <c r="F163" s="143"/>
      <c r="G163" s="196">
        <v>1728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94" t="s">
        <v>19</v>
      </c>
      <c r="C168" s="94"/>
      <c r="D168" s="94"/>
      <c r="E168" s="94"/>
      <c r="F168" s="95"/>
      <c r="G168" s="190" t="s">
        <v>9</v>
      </c>
      <c r="H168" s="190"/>
      <c r="I168" s="2"/>
      <c r="J168" s="2"/>
    </row>
    <row r="169" spans="2:13" ht="17.25" customHeight="1">
      <c r="B169" s="136" t="s">
        <v>37</v>
      </c>
      <c r="C169" s="136"/>
      <c r="D169" s="136"/>
      <c r="E169" s="136"/>
      <c r="F169" s="137"/>
      <c r="G169" s="144">
        <v>1188338579989</v>
      </c>
      <c r="H169" s="145"/>
      <c r="I169" s="55"/>
      <c r="J169" s="56"/>
    </row>
    <row r="170" spans="2:13" ht="17.25" customHeight="1">
      <c r="B170" s="138" t="s">
        <v>34</v>
      </c>
      <c r="C170" s="138"/>
      <c r="D170" s="138"/>
      <c r="E170" s="138"/>
      <c r="F170" s="139"/>
      <c r="G170" s="146">
        <v>1128403242380</v>
      </c>
      <c r="H170" s="147"/>
      <c r="I170" s="55"/>
      <c r="J170" s="56"/>
    </row>
    <row r="171" spans="2:13" ht="17.25" customHeight="1">
      <c r="B171" s="138" t="s">
        <v>32</v>
      </c>
      <c r="C171" s="138"/>
      <c r="D171" s="138"/>
      <c r="E171" s="138"/>
      <c r="F171" s="139"/>
      <c r="G171" s="146">
        <v>1030966558200</v>
      </c>
      <c r="H171" s="147"/>
      <c r="I171" s="55"/>
      <c r="J171" s="56"/>
    </row>
    <row r="172" spans="2:13" ht="17.25" customHeight="1">
      <c r="B172" s="138" t="s">
        <v>33</v>
      </c>
      <c r="C172" s="138"/>
      <c r="D172" s="138"/>
      <c r="E172" s="138"/>
      <c r="F172" s="139"/>
      <c r="G172" s="146">
        <v>416114026090</v>
      </c>
      <c r="H172" s="147"/>
      <c r="I172" s="55"/>
      <c r="J172" s="56"/>
    </row>
    <row r="173" spans="2:13" ht="17.25" customHeight="1">
      <c r="B173" s="138" t="s">
        <v>42</v>
      </c>
      <c r="C173" s="138"/>
      <c r="D173" s="138"/>
      <c r="E173" s="138"/>
      <c r="F173" s="139"/>
      <c r="G173" s="146">
        <v>336136799403</v>
      </c>
      <c r="H173" s="147"/>
      <c r="I173" s="57"/>
      <c r="J173" s="50"/>
    </row>
    <row r="174" spans="2:13" ht="17.25" customHeight="1">
      <c r="B174" s="138" t="s">
        <v>43</v>
      </c>
      <c r="C174" s="138"/>
      <c r="D174" s="138"/>
      <c r="E174" s="138"/>
      <c r="F174" s="139"/>
      <c r="G174" s="146">
        <v>227720308881</v>
      </c>
      <c r="H174" s="147"/>
      <c r="I174" s="55"/>
      <c r="J174" s="56"/>
    </row>
    <row r="175" spans="2:13" ht="17.25" customHeight="1">
      <c r="B175" s="138" t="s">
        <v>36</v>
      </c>
      <c r="C175" s="138"/>
      <c r="D175" s="138"/>
      <c r="E175" s="138"/>
      <c r="F175" s="139"/>
      <c r="G175" s="146">
        <v>156093730483</v>
      </c>
      <c r="H175" s="147"/>
      <c r="I175" s="55"/>
      <c r="J175" s="56"/>
    </row>
    <row r="176" spans="2:13" ht="17.25" customHeight="1">
      <c r="B176" s="138" t="s">
        <v>45</v>
      </c>
      <c r="C176" s="138"/>
      <c r="D176" s="138"/>
      <c r="E176" s="138"/>
      <c r="F176" s="139"/>
      <c r="G176" s="146">
        <v>147386508543</v>
      </c>
      <c r="H176" s="147"/>
      <c r="I176" s="55"/>
      <c r="J176" s="56"/>
    </row>
    <row r="177" spans="2:10" ht="17.25" customHeight="1">
      <c r="B177" s="140" t="s">
        <v>48</v>
      </c>
      <c r="C177" s="140"/>
      <c r="D177" s="140"/>
      <c r="E177" s="140"/>
      <c r="F177" s="141"/>
      <c r="G177" s="146">
        <v>136876440028</v>
      </c>
      <c r="H177" s="147"/>
      <c r="I177" s="55"/>
      <c r="J177" s="56"/>
    </row>
    <row r="178" spans="2:10" ht="18" customHeight="1" thickBot="1">
      <c r="B178" s="142" t="s">
        <v>31</v>
      </c>
      <c r="C178" s="142"/>
      <c r="D178" s="142"/>
      <c r="E178" s="142"/>
      <c r="F178" s="143"/>
      <c r="G178" s="150">
        <v>129759646717</v>
      </c>
      <c r="H178" s="151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54:F154"/>
    <mergeCell ref="B155:F155"/>
    <mergeCell ref="B161:F161"/>
    <mergeCell ref="G154:H154"/>
    <mergeCell ref="G155:H155"/>
    <mergeCell ref="G156:H156"/>
    <mergeCell ref="G157:H157"/>
    <mergeCell ref="G158:H158"/>
    <mergeCell ref="B175:F175"/>
    <mergeCell ref="G175:H175"/>
    <mergeCell ref="B176:F176"/>
    <mergeCell ref="G176:H176"/>
    <mergeCell ref="B177:F177"/>
    <mergeCell ref="G177:H177"/>
    <mergeCell ref="B170:F170"/>
    <mergeCell ref="G170:H170"/>
    <mergeCell ref="B171:F171"/>
    <mergeCell ref="G171:H171"/>
    <mergeCell ref="B162:F162"/>
    <mergeCell ref="G162:H162"/>
    <mergeCell ref="B163:F163"/>
    <mergeCell ref="G163:H163"/>
    <mergeCell ref="G168:H168"/>
    <mergeCell ref="B169:F169"/>
    <mergeCell ref="G169:H169"/>
    <mergeCell ref="G159:H159"/>
    <mergeCell ref="G160:H160"/>
    <mergeCell ref="G161:H161"/>
    <mergeCell ref="B153:F153"/>
    <mergeCell ref="G153:H153"/>
    <mergeCell ref="B159:F159"/>
    <mergeCell ref="B160:F160"/>
    <mergeCell ref="B156:F156"/>
    <mergeCell ref="B157:F157"/>
    <mergeCell ref="B158:F158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29:F129"/>
    <mergeCell ref="G129:H129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54:D54"/>
    <mergeCell ref="B128:F128"/>
    <mergeCell ref="G128:H128"/>
    <mergeCell ref="H48:I48"/>
    <mergeCell ref="B49:D49"/>
    <mergeCell ref="B50:D50"/>
    <mergeCell ref="B51:D51"/>
    <mergeCell ref="B52:D52"/>
    <mergeCell ref="B53:D53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2902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29025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8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41759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41759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41729</v>
      </c>
      <c r="F11" s="75">
        <f>EDATE(E11,1)</f>
        <v>41759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Март2014!F12</f>
        <v>1067622</v>
      </c>
      <c r="F12" s="87">
        <v>1070790</v>
      </c>
      <c r="G12" s="11">
        <f>F12-E12</f>
        <v>3168</v>
      </c>
      <c r="H12" s="59">
        <f>F12/E12-1</f>
        <v>2.9673423739862148E-3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Март2014!F13</f>
        <v>36005</v>
      </c>
      <c r="F13" s="87">
        <v>36048</v>
      </c>
      <c r="G13" s="11">
        <f t="shared" ref="G13:G17" si="0">F13-E13</f>
        <v>43</v>
      </c>
      <c r="H13" s="59">
        <f t="shared" ref="H13:H18" si="1">F13/E13-1</f>
        <v>1.194278572420604E-3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Март2014!F14</f>
        <v>12078</v>
      </c>
      <c r="F14" s="87">
        <v>12203</v>
      </c>
      <c r="G14" s="11">
        <f t="shared" si="0"/>
        <v>125</v>
      </c>
      <c r="H14" s="59">
        <f t="shared" si="1"/>
        <v>1.0349395595297128E-2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Март2014!F15</f>
        <v>2708</v>
      </c>
      <c r="F15" s="87">
        <v>2745</v>
      </c>
      <c r="G15" s="11">
        <f t="shared" si="0"/>
        <v>37</v>
      </c>
      <c r="H15" s="59">
        <f t="shared" si="1"/>
        <v>1.3663220088626193E-2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Март2014!F16</f>
        <v>9370</v>
      </c>
      <c r="F16" s="87">
        <v>9458</v>
      </c>
      <c r="G16" s="11">
        <f t="shared" si="0"/>
        <v>88</v>
      </c>
      <c r="H16" s="59">
        <f t="shared" si="1"/>
        <v>9.3916755602987401E-3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Март2014!F17</f>
        <v>12896</v>
      </c>
      <c r="F17" s="87">
        <v>12887</v>
      </c>
      <c r="G17" s="11">
        <f t="shared" si="0"/>
        <v>-9</v>
      </c>
      <c r="H17" s="59">
        <f t="shared" si="1"/>
        <v>-6.9789081885851534E-4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Март2014!F18</f>
        <v>1128601</v>
      </c>
      <c r="F18" s="72">
        <v>1131928</v>
      </c>
      <c r="G18" s="72">
        <f>F18-E18</f>
        <v>3327</v>
      </c>
      <c r="H18" s="69">
        <f t="shared" si="1"/>
        <v>2.9478974411683012E-3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41729</v>
      </c>
      <c r="F22" s="75">
        <f>F11</f>
        <v>41759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Март2014!F23</f>
        <v>892693</v>
      </c>
      <c r="F23" s="87">
        <v>896413</v>
      </c>
      <c r="G23" s="11">
        <f>F23-E23</f>
        <v>3720</v>
      </c>
      <c r="H23" s="59">
        <f>F23/E23-1</f>
        <v>4.1671660918143338E-3</v>
      </c>
      <c r="I23" s="89"/>
    </row>
    <row r="24" spans="2:10" s="79" customFormat="1" ht="17.25">
      <c r="B24" s="158" t="s">
        <v>1</v>
      </c>
      <c r="C24" s="158"/>
      <c r="D24" s="159"/>
      <c r="E24" s="87">
        <f>Март2014!F24</f>
        <v>19706</v>
      </c>
      <c r="F24" s="87">
        <v>19733</v>
      </c>
      <c r="G24" s="11">
        <f t="shared" ref="G24:G29" si="2">F24-E24</f>
        <v>27</v>
      </c>
      <c r="H24" s="59">
        <f t="shared" ref="H24:H29" si="3">F24/E24-1</f>
        <v>1.3701410737845254E-3</v>
      </c>
      <c r="I24" s="89"/>
    </row>
    <row r="25" spans="2:10" s="79" customFormat="1" ht="17.25">
      <c r="B25" s="158" t="s">
        <v>2</v>
      </c>
      <c r="C25" s="158"/>
      <c r="D25" s="159"/>
      <c r="E25" s="87">
        <f>Март2014!F25</f>
        <v>6815</v>
      </c>
      <c r="F25" s="87">
        <v>6885</v>
      </c>
      <c r="G25" s="11">
        <f t="shared" si="2"/>
        <v>70</v>
      </c>
      <c r="H25" s="59">
        <f t="shared" si="3"/>
        <v>1.0271460014673606E-2</v>
      </c>
      <c r="I25" s="89"/>
    </row>
    <row r="26" spans="2:10" s="79" customFormat="1" ht="17.25">
      <c r="B26" s="164" t="s">
        <v>23</v>
      </c>
      <c r="C26" s="164"/>
      <c r="D26" s="165"/>
      <c r="E26" s="87">
        <f>Март2014!F26</f>
        <v>2639</v>
      </c>
      <c r="F26" s="87">
        <v>2677</v>
      </c>
      <c r="G26" s="11">
        <f t="shared" si="2"/>
        <v>38</v>
      </c>
      <c r="H26" s="59">
        <f t="shared" si="3"/>
        <v>1.4399393709738639E-2</v>
      </c>
      <c r="I26" s="89"/>
    </row>
    <row r="27" spans="2:10" s="79" customFormat="1" ht="17.25">
      <c r="B27" s="166" t="s">
        <v>24</v>
      </c>
      <c r="C27" s="166"/>
      <c r="D27" s="167"/>
      <c r="E27" s="87">
        <f>Март2014!F27</f>
        <v>4176</v>
      </c>
      <c r="F27" s="87">
        <v>4208</v>
      </c>
      <c r="G27" s="11">
        <f t="shared" si="2"/>
        <v>32</v>
      </c>
      <c r="H27" s="59">
        <f t="shared" si="3"/>
        <v>7.6628352490422103E-3</v>
      </c>
      <c r="I27" s="89"/>
    </row>
    <row r="28" spans="2:10" s="79" customFormat="1" ht="18" thickBot="1">
      <c r="B28" s="168" t="s">
        <v>3</v>
      </c>
      <c r="C28" s="168"/>
      <c r="D28" s="169"/>
      <c r="E28" s="87">
        <f>Март2014!F28</f>
        <v>5226</v>
      </c>
      <c r="F28" s="87">
        <v>5192</v>
      </c>
      <c r="G28" s="11">
        <f t="shared" si="2"/>
        <v>-34</v>
      </c>
      <c r="H28" s="59">
        <f t="shared" si="3"/>
        <v>-6.5059318790662291E-3</v>
      </c>
      <c r="I28" s="89"/>
    </row>
    <row r="29" spans="2:10" s="70" customFormat="1" ht="18" thickBot="1">
      <c r="B29" s="60" t="s">
        <v>4</v>
      </c>
      <c r="C29" s="60"/>
      <c r="D29" s="61"/>
      <c r="E29" s="72">
        <f>Март2014!F29</f>
        <v>924440</v>
      </c>
      <c r="F29" s="72">
        <v>928223</v>
      </c>
      <c r="G29" s="72">
        <f t="shared" si="2"/>
        <v>3783</v>
      </c>
      <c r="H29" s="69">
        <f t="shared" si="3"/>
        <v>4.0922071740729926E-3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41728</v>
      </c>
      <c r="F33" s="73">
        <f>EDATE(E33,1)</f>
        <v>41759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Март2014!F34</f>
        <v>75119</v>
      </c>
      <c r="F34" s="81">
        <v>60315</v>
      </c>
      <c r="G34" s="11">
        <f t="shared" ref="G34:G40" si="4">F34-E34</f>
        <v>-14804</v>
      </c>
      <c r="H34" s="59">
        <f t="shared" ref="H34:H40" si="5">F34/E34-1</f>
        <v>-0.19707397595814635</v>
      </c>
      <c r="I34" s="58"/>
    </row>
    <row r="35" spans="2:9" ht="17.25">
      <c r="B35" s="138" t="s">
        <v>1</v>
      </c>
      <c r="C35" s="138"/>
      <c r="D35" s="139"/>
      <c r="E35" s="81">
        <f>Март2014!F35</f>
        <v>1446</v>
      </c>
      <c r="F35" s="81">
        <v>1272</v>
      </c>
      <c r="G35" s="11">
        <f t="shared" si="4"/>
        <v>-174</v>
      </c>
      <c r="H35" s="59">
        <f t="shared" si="5"/>
        <v>-0.1203319502074689</v>
      </c>
      <c r="I35" s="58"/>
    </row>
    <row r="36" spans="2:9" ht="17.25">
      <c r="B36" s="138" t="s">
        <v>2</v>
      </c>
      <c r="C36" s="138"/>
      <c r="D36" s="139"/>
      <c r="E36" s="81">
        <f>Март2014!F36</f>
        <v>677</v>
      </c>
      <c r="F36" s="81">
        <v>581</v>
      </c>
      <c r="G36" s="11">
        <f t="shared" si="4"/>
        <v>-96</v>
      </c>
      <c r="H36" s="59">
        <f t="shared" si="5"/>
        <v>-0.14180206794682426</v>
      </c>
      <c r="I36" s="58"/>
    </row>
    <row r="37" spans="2:9" ht="17.25">
      <c r="B37" s="164" t="s">
        <v>23</v>
      </c>
      <c r="C37" s="164"/>
      <c r="D37" s="165"/>
      <c r="E37" s="81">
        <f>Март2014!F37</f>
        <v>221</v>
      </c>
      <c r="F37" s="81">
        <v>177</v>
      </c>
      <c r="G37" s="11">
        <f t="shared" si="4"/>
        <v>-44</v>
      </c>
      <c r="H37" s="59">
        <f t="shared" si="5"/>
        <v>-0.19909502262443435</v>
      </c>
      <c r="I37" s="58"/>
    </row>
    <row r="38" spans="2:9" ht="17.25">
      <c r="B38" s="166" t="s">
        <v>24</v>
      </c>
      <c r="C38" s="166"/>
      <c r="D38" s="167"/>
      <c r="E38" s="81">
        <f>Март2014!F38</f>
        <v>456</v>
      </c>
      <c r="F38" s="81">
        <v>404</v>
      </c>
      <c r="G38" s="11">
        <f t="shared" si="4"/>
        <v>-52</v>
      </c>
      <c r="H38" s="59">
        <f t="shared" si="5"/>
        <v>-0.11403508771929827</v>
      </c>
      <c r="I38" s="58"/>
    </row>
    <row r="39" spans="2:9" ht="18" thickBot="1">
      <c r="B39" s="183" t="s">
        <v>3</v>
      </c>
      <c r="C39" s="183"/>
      <c r="D39" s="184"/>
      <c r="E39" s="81">
        <f>Март2014!F39</f>
        <v>785</v>
      </c>
      <c r="F39" s="81">
        <v>740</v>
      </c>
      <c r="G39" s="11">
        <f t="shared" si="4"/>
        <v>-45</v>
      </c>
      <c r="H39" s="59">
        <f t="shared" si="5"/>
        <v>-5.7324840764331197E-2</v>
      </c>
      <c r="I39" s="58"/>
    </row>
    <row r="40" spans="2:9" s="70" customFormat="1" ht="18" thickBot="1">
      <c r="B40" s="60" t="s">
        <v>4</v>
      </c>
      <c r="C40" s="60"/>
      <c r="D40" s="61"/>
      <c r="E40" s="72">
        <f>Март2014!F40</f>
        <v>78027</v>
      </c>
      <c r="F40" s="72">
        <v>62908</v>
      </c>
      <c r="G40" s="72">
        <f t="shared" si="4"/>
        <v>-15119</v>
      </c>
      <c r="H40" s="69">
        <f t="shared" si="5"/>
        <v>-0.19376626039704203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41606</v>
      </c>
      <c r="D83" s="75">
        <f>EDATE(E83,-1)</f>
        <v>41636</v>
      </c>
      <c r="E83" s="75">
        <f>EDATE(F83,-1)</f>
        <v>41667</v>
      </c>
      <c r="F83" s="75">
        <f>EDATE(G83,-1)</f>
        <v>41698</v>
      </c>
      <c r="G83" s="75">
        <f>EDATE(H83,-1)</f>
        <v>41728</v>
      </c>
      <c r="H83" s="75">
        <f>EDATE(E11,1)</f>
        <v>41759</v>
      </c>
      <c r="I83"/>
      <c r="J83"/>
    </row>
    <row r="84" spans="2:11" ht="16.5" customHeight="1">
      <c r="B84" s="25" t="s">
        <v>0</v>
      </c>
      <c r="C84" s="63">
        <v>878908</v>
      </c>
      <c r="D84" s="63">
        <v>881844</v>
      </c>
      <c r="E84" s="83">
        <v>883068</v>
      </c>
      <c r="F84" s="83">
        <v>886594</v>
      </c>
      <c r="G84" s="83">
        <v>892693</v>
      </c>
      <c r="H84" s="83">
        <v>896413</v>
      </c>
    </row>
    <row r="85" spans="2:11" ht="16.5" customHeight="1">
      <c r="B85" s="26" t="s">
        <v>1</v>
      </c>
      <c r="C85" s="64">
        <v>19435</v>
      </c>
      <c r="D85" s="64">
        <v>19539</v>
      </c>
      <c r="E85" s="84">
        <v>19540</v>
      </c>
      <c r="F85" s="84">
        <v>19633</v>
      </c>
      <c r="G85" s="84">
        <v>19706</v>
      </c>
      <c r="H85" s="84">
        <v>19733</v>
      </c>
    </row>
    <row r="86" spans="2:11" ht="16.5" customHeight="1">
      <c r="B86" s="27" t="s">
        <v>2</v>
      </c>
      <c r="C86" s="65">
        <v>6874</v>
      </c>
      <c r="D86" s="65">
        <v>6957</v>
      </c>
      <c r="E86" s="86">
        <v>7004</v>
      </c>
      <c r="F86" s="86">
        <v>7064</v>
      </c>
      <c r="G86" s="86">
        <v>6815</v>
      </c>
      <c r="H86" s="86">
        <v>6885</v>
      </c>
    </row>
    <row r="87" spans="2:11" ht="16.5" customHeight="1" thickBot="1">
      <c r="B87" s="28" t="s">
        <v>3</v>
      </c>
      <c r="C87" s="66">
        <v>5205</v>
      </c>
      <c r="D87" s="66">
        <v>5182</v>
      </c>
      <c r="E87" s="82">
        <v>5189</v>
      </c>
      <c r="F87" s="82">
        <v>5217</v>
      </c>
      <c r="G87" s="82">
        <v>5226</v>
      </c>
      <c r="H87" s="82">
        <v>5192</v>
      </c>
    </row>
    <row r="88" spans="2:11" s="71" customFormat="1" ht="18" thickBot="1">
      <c r="B88" s="101" t="s">
        <v>4</v>
      </c>
      <c r="C88" s="67">
        <v>910422</v>
      </c>
      <c r="D88" s="67">
        <v>913522</v>
      </c>
      <c r="E88" s="85">
        <v>914801</v>
      </c>
      <c r="F88" s="85">
        <v>918508</v>
      </c>
      <c r="G88" s="85">
        <v>924440</v>
      </c>
      <c r="H88" s="85">
        <v>928223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54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449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41759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44">
        <v>205346</v>
      </c>
      <c r="H139" s="145"/>
      <c r="I139" s="47"/>
      <c r="J139" s="50"/>
    </row>
    <row r="140" spans="2:10" ht="17.25">
      <c r="B140" s="138" t="s">
        <v>32</v>
      </c>
      <c r="C140" s="138"/>
      <c r="D140" s="138"/>
      <c r="E140" s="138"/>
      <c r="F140" s="139"/>
      <c r="G140" s="146">
        <v>183927</v>
      </c>
      <c r="H140" s="147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46">
        <v>118314</v>
      </c>
      <c r="H141" s="147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46">
        <v>113406</v>
      </c>
      <c r="H142" s="147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46">
        <v>60967</v>
      </c>
      <c r="H143" s="147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46">
        <v>44561</v>
      </c>
      <c r="H144" s="147"/>
      <c r="I144" s="51"/>
      <c r="J144" s="50"/>
    </row>
    <row r="145" spans="2:13" ht="17.25" customHeight="1">
      <c r="B145" s="138" t="s">
        <v>37</v>
      </c>
      <c r="C145" s="138"/>
      <c r="D145" s="138"/>
      <c r="E145" s="138"/>
      <c r="F145" s="139"/>
      <c r="G145" s="146">
        <v>43040</v>
      </c>
      <c r="H145" s="147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46">
        <v>29741</v>
      </c>
      <c r="H146" s="147"/>
      <c r="I146" s="47"/>
      <c r="J146" s="50"/>
    </row>
    <row r="147" spans="2:13" ht="17.25" customHeight="1">
      <c r="B147" s="140" t="s">
        <v>39</v>
      </c>
      <c r="C147" s="140"/>
      <c r="D147" s="140"/>
      <c r="E147" s="140"/>
      <c r="F147" s="141"/>
      <c r="G147" s="148">
        <v>20713</v>
      </c>
      <c r="H147" s="149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50">
        <v>19624</v>
      </c>
      <c r="H148" s="151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11002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9589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9566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7043</v>
      </c>
      <c r="H157" s="163"/>
      <c r="I157" s="53"/>
      <c r="J157" s="50"/>
      <c r="K157" s="49"/>
      <c r="L157"/>
      <c r="M157"/>
    </row>
    <row r="158" spans="2:13" ht="17.25" customHeight="1">
      <c r="B158" s="138" t="s">
        <v>35</v>
      </c>
      <c r="C158" s="138"/>
      <c r="D158" s="138"/>
      <c r="E158" s="138"/>
      <c r="F158" s="139"/>
      <c r="G158" s="162">
        <v>4175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37</v>
      </c>
      <c r="C159" s="138"/>
      <c r="D159" s="138"/>
      <c r="E159" s="138"/>
      <c r="F159" s="139"/>
      <c r="G159" s="162">
        <v>4022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2951</v>
      </c>
      <c r="H160" s="163"/>
      <c r="I160" s="53"/>
      <c r="J160" s="50"/>
      <c r="K160" s="49"/>
      <c r="L160"/>
      <c r="M160"/>
    </row>
    <row r="161" spans="2:13" ht="17.25" customHeight="1">
      <c r="B161" s="138" t="s">
        <v>38</v>
      </c>
      <c r="C161" s="138"/>
      <c r="D161" s="138"/>
      <c r="E161" s="138"/>
      <c r="F161" s="139"/>
      <c r="G161" s="162">
        <v>1997</v>
      </c>
      <c r="H161" s="163"/>
      <c r="I161" s="53"/>
      <c r="J161" s="50"/>
      <c r="K161" s="49"/>
      <c r="L161"/>
      <c r="M161"/>
    </row>
    <row r="162" spans="2:13" ht="17.25">
      <c r="B162" s="138" t="s">
        <v>41</v>
      </c>
      <c r="C162" s="138"/>
      <c r="D162" s="138"/>
      <c r="E162" s="138"/>
      <c r="F162" s="139"/>
      <c r="G162" s="162">
        <v>1814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/>
      <c r="D163" s="142"/>
      <c r="E163" s="142"/>
      <c r="F163" s="143"/>
      <c r="G163" s="196">
        <v>1297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99" t="s">
        <v>19</v>
      </c>
      <c r="C168" s="99"/>
      <c r="D168" s="99"/>
      <c r="E168" s="99"/>
      <c r="F168" s="100"/>
      <c r="G168" s="190" t="s">
        <v>9</v>
      </c>
      <c r="H168" s="190"/>
      <c r="I168" s="2"/>
      <c r="J168" s="2"/>
    </row>
    <row r="169" spans="2:13" ht="17.25" customHeight="1">
      <c r="B169" s="105" t="s">
        <v>37</v>
      </c>
      <c r="C169" s="105"/>
      <c r="D169" s="105"/>
      <c r="E169" s="105"/>
      <c r="F169" s="106"/>
      <c r="G169" s="144">
        <v>1080198210932</v>
      </c>
      <c r="H169" s="145"/>
      <c r="I169" s="55"/>
      <c r="J169" s="56"/>
    </row>
    <row r="170" spans="2:13" ht="17.25" customHeight="1">
      <c r="B170" s="107" t="s">
        <v>34</v>
      </c>
      <c r="C170" s="107"/>
      <c r="D170" s="107"/>
      <c r="E170" s="107"/>
      <c r="F170" s="108"/>
      <c r="G170" s="146">
        <v>759135666017</v>
      </c>
      <c r="H170" s="147"/>
      <c r="I170" s="55"/>
      <c r="J170" s="56"/>
    </row>
    <row r="171" spans="2:13" ht="17.25" customHeight="1">
      <c r="B171" s="107" t="s">
        <v>32</v>
      </c>
      <c r="C171" s="107"/>
      <c r="D171" s="107"/>
      <c r="E171" s="107"/>
      <c r="F171" s="108"/>
      <c r="G171" s="146">
        <v>749728056526</v>
      </c>
      <c r="H171" s="147"/>
      <c r="I171" s="55"/>
      <c r="J171" s="56"/>
    </row>
    <row r="172" spans="2:13" ht="17.25" customHeight="1">
      <c r="B172" s="107" t="s">
        <v>33</v>
      </c>
      <c r="C172" s="107"/>
      <c r="D172" s="107"/>
      <c r="E172" s="107"/>
      <c r="F172" s="108"/>
      <c r="G172" s="146">
        <v>425738188731</v>
      </c>
      <c r="H172" s="147"/>
      <c r="I172" s="55"/>
      <c r="J172" s="56"/>
    </row>
    <row r="173" spans="2:13" ht="17.25" customHeight="1">
      <c r="B173" s="107" t="s">
        <v>42</v>
      </c>
      <c r="C173" s="107"/>
      <c r="D173" s="107"/>
      <c r="E173" s="107"/>
      <c r="F173" s="108"/>
      <c r="G173" s="146">
        <v>374815260421</v>
      </c>
      <c r="H173" s="147"/>
      <c r="I173" s="57"/>
      <c r="J173" s="50"/>
    </row>
    <row r="174" spans="2:13" ht="17.25" customHeight="1">
      <c r="B174" s="107" t="s">
        <v>43</v>
      </c>
      <c r="C174" s="107"/>
      <c r="D174" s="107"/>
      <c r="E174" s="107"/>
      <c r="F174" s="108"/>
      <c r="G174" s="146">
        <v>238904786404</v>
      </c>
      <c r="H174" s="147"/>
      <c r="I174" s="55"/>
      <c r="J174" s="56"/>
    </row>
    <row r="175" spans="2:13" ht="17.25" customHeight="1">
      <c r="B175" s="107" t="s">
        <v>46</v>
      </c>
      <c r="C175" s="107"/>
      <c r="D175" s="107"/>
      <c r="E175" s="107"/>
      <c r="F175" s="108"/>
      <c r="G175" s="146">
        <v>225178335041</v>
      </c>
      <c r="H175" s="147"/>
      <c r="I175" s="55"/>
      <c r="J175" s="56"/>
    </row>
    <row r="176" spans="2:13" ht="17.25" customHeight="1">
      <c r="B176" s="107" t="s">
        <v>45</v>
      </c>
      <c r="C176" s="107"/>
      <c r="D176" s="107"/>
      <c r="E176" s="107"/>
      <c r="F176" s="108"/>
      <c r="G176" s="146">
        <v>153215848866</v>
      </c>
      <c r="H176" s="147"/>
      <c r="I176" s="55"/>
      <c r="J176" s="56"/>
    </row>
    <row r="177" spans="2:10" ht="17.25" customHeight="1">
      <c r="B177" s="109" t="s">
        <v>38</v>
      </c>
      <c r="C177" s="109"/>
      <c r="D177" s="109"/>
      <c r="E177" s="109"/>
      <c r="F177" s="110"/>
      <c r="G177" s="146">
        <v>122191086744</v>
      </c>
      <c r="H177" s="147"/>
      <c r="I177" s="55"/>
      <c r="J177" s="56"/>
    </row>
    <row r="178" spans="2:10" ht="18" customHeight="1" thickBot="1">
      <c r="B178" s="111" t="s">
        <v>36</v>
      </c>
      <c r="C178" s="111"/>
      <c r="D178" s="111"/>
      <c r="E178" s="111"/>
      <c r="F178" s="112"/>
      <c r="G178" s="150">
        <v>120918262444</v>
      </c>
      <c r="H178" s="151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90">
    <mergeCell ref="G176:H176"/>
    <mergeCell ref="G177:H177"/>
    <mergeCell ref="G178:H178"/>
    <mergeCell ref="G173:H173"/>
    <mergeCell ref="G174:H174"/>
    <mergeCell ref="G175:H175"/>
    <mergeCell ref="G170:H170"/>
    <mergeCell ref="G171:H171"/>
    <mergeCell ref="G172:H172"/>
    <mergeCell ref="B162:F162"/>
    <mergeCell ref="G162:H162"/>
    <mergeCell ref="B163:F163"/>
    <mergeCell ref="G163:H163"/>
    <mergeCell ref="G168:H168"/>
    <mergeCell ref="G169:H169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144:F144"/>
    <mergeCell ref="G144:H144"/>
    <mergeCell ref="B129:F129"/>
    <mergeCell ref="G129:H129"/>
    <mergeCell ref="B138:F138"/>
    <mergeCell ref="G138:H138"/>
    <mergeCell ref="B139:F139"/>
    <mergeCell ref="G139:H139"/>
    <mergeCell ref="B54:D54"/>
    <mergeCell ref="B128:F128"/>
    <mergeCell ref="G128:H128"/>
    <mergeCell ref="B143:F143"/>
    <mergeCell ref="G143:H143"/>
    <mergeCell ref="B53:D53"/>
    <mergeCell ref="B34:D34"/>
    <mergeCell ref="B35:D35"/>
    <mergeCell ref="B36:D36"/>
    <mergeCell ref="B37:D37"/>
    <mergeCell ref="B38:D38"/>
    <mergeCell ref="B39:D39"/>
    <mergeCell ref="H48:I48"/>
    <mergeCell ref="B49:D49"/>
    <mergeCell ref="B50:D50"/>
    <mergeCell ref="B51:D51"/>
    <mergeCell ref="B52:D52"/>
    <mergeCell ref="B28:D28"/>
    <mergeCell ref="B33:D33"/>
    <mergeCell ref="B14:D14"/>
    <mergeCell ref="B15:D15"/>
    <mergeCell ref="B16:D16"/>
    <mergeCell ref="B17:D17"/>
    <mergeCell ref="B22:D22"/>
    <mergeCell ref="B23:D23"/>
    <mergeCell ref="B13:D13"/>
    <mergeCell ref="B24:D24"/>
    <mergeCell ref="B25:D25"/>
    <mergeCell ref="B26:D26"/>
    <mergeCell ref="B27:D27"/>
    <mergeCell ref="B2:H2"/>
    <mergeCell ref="B3:H3"/>
    <mergeCell ref="I3:N3"/>
    <mergeCell ref="B11:D11"/>
    <mergeCell ref="B12:D1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004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004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89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41789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41789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41759</v>
      </c>
      <c r="F11" s="75">
        <f>EDATE(E11,1)</f>
        <v>41789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Апрель2014!F12</f>
        <v>1070790</v>
      </c>
      <c r="F12" s="87">
        <v>1072436</v>
      </c>
      <c r="G12" s="11">
        <f>F12-E12</f>
        <v>1646</v>
      </c>
      <c r="H12" s="59">
        <f>F12/E12-1</f>
        <v>1.5371828276320443E-3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Апрель2014!F13</f>
        <v>36048</v>
      </c>
      <c r="F13" s="87">
        <v>36077</v>
      </c>
      <c r="G13" s="11">
        <f t="shared" ref="G13:G17" si="0">F13-E13</f>
        <v>29</v>
      </c>
      <c r="H13" s="59">
        <f t="shared" ref="H13:H18" si="1">F13/E13-1</f>
        <v>8.0448291167334318E-4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Апрель2014!F14</f>
        <v>12203</v>
      </c>
      <c r="F14" s="87">
        <v>12366</v>
      </c>
      <c r="G14" s="11">
        <f t="shared" si="0"/>
        <v>163</v>
      </c>
      <c r="H14" s="59">
        <f t="shared" si="1"/>
        <v>1.3357371138244645E-2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Апрель2014!F15</f>
        <v>2745</v>
      </c>
      <c r="F15" s="87">
        <v>2784</v>
      </c>
      <c r="G15" s="11">
        <f t="shared" si="0"/>
        <v>39</v>
      </c>
      <c r="H15" s="59">
        <f t="shared" si="1"/>
        <v>1.4207650273224015E-2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Апрель2014!F16</f>
        <v>9458</v>
      </c>
      <c r="F16" s="87">
        <v>9582</v>
      </c>
      <c r="G16" s="11">
        <f t="shared" si="0"/>
        <v>124</v>
      </c>
      <c r="H16" s="59">
        <f t="shared" si="1"/>
        <v>1.3110594205963277E-2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Апрель2014!F17</f>
        <v>12887</v>
      </c>
      <c r="F17" s="87">
        <v>12871</v>
      </c>
      <c r="G17" s="11">
        <f t="shared" si="0"/>
        <v>-16</v>
      </c>
      <c r="H17" s="59">
        <f t="shared" si="1"/>
        <v>-1.2415612632885598E-3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Апрель2014!F18</f>
        <v>1131928</v>
      </c>
      <c r="F18" s="72">
        <v>1133750</v>
      </c>
      <c r="G18" s="72">
        <f>F18-E18</f>
        <v>1822</v>
      </c>
      <c r="H18" s="69">
        <f t="shared" si="1"/>
        <v>1.6096430161636199E-3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41759</v>
      </c>
      <c r="F22" s="75">
        <f>F11</f>
        <v>41789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Апрель2014!F23</f>
        <v>896413</v>
      </c>
      <c r="F23" s="87">
        <v>897706</v>
      </c>
      <c r="G23" s="11">
        <f>F23-E23</f>
        <v>1293</v>
      </c>
      <c r="H23" s="59">
        <f>F23/E23-1</f>
        <v>1.4424154937511258E-3</v>
      </c>
      <c r="I23" s="89"/>
    </row>
    <row r="24" spans="2:10" s="79" customFormat="1" ht="17.25">
      <c r="B24" s="158" t="s">
        <v>1</v>
      </c>
      <c r="C24" s="158"/>
      <c r="D24" s="159"/>
      <c r="E24" s="87">
        <f>Апрель2014!F24</f>
        <v>19733</v>
      </c>
      <c r="F24" s="87">
        <v>19759</v>
      </c>
      <c r="G24" s="11">
        <f t="shared" ref="G24:G29" si="2">F24-E24</f>
        <v>26</v>
      </c>
      <c r="H24" s="59">
        <f t="shared" ref="H24:H29" si="3">F24/E24-1</f>
        <v>1.3175898241524209E-3</v>
      </c>
      <c r="I24" s="89"/>
    </row>
    <row r="25" spans="2:10" s="79" customFormat="1" ht="17.25">
      <c r="B25" s="158" t="s">
        <v>2</v>
      </c>
      <c r="C25" s="158"/>
      <c r="D25" s="159"/>
      <c r="E25" s="87">
        <f>Апрель2014!F25</f>
        <v>6885</v>
      </c>
      <c r="F25" s="87">
        <v>6946</v>
      </c>
      <c r="G25" s="11">
        <f t="shared" si="2"/>
        <v>61</v>
      </c>
      <c r="H25" s="59">
        <f t="shared" si="3"/>
        <v>8.8598402323891712E-3</v>
      </c>
      <c r="I25" s="89"/>
    </row>
    <row r="26" spans="2:10" s="79" customFormat="1" ht="17.25">
      <c r="B26" s="164" t="s">
        <v>23</v>
      </c>
      <c r="C26" s="164"/>
      <c r="D26" s="165"/>
      <c r="E26" s="87">
        <f>Апрель2014!F26</f>
        <v>2677</v>
      </c>
      <c r="F26" s="87">
        <v>2713</v>
      </c>
      <c r="G26" s="11">
        <f t="shared" si="2"/>
        <v>36</v>
      </c>
      <c r="H26" s="59">
        <f t="shared" si="3"/>
        <v>1.3447889428464643E-2</v>
      </c>
      <c r="I26" s="89"/>
    </row>
    <row r="27" spans="2:10" s="79" customFormat="1" ht="17.25">
      <c r="B27" s="166" t="s">
        <v>24</v>
      </c>
      <c r="C27" s="166"/>
      <c r="D27" s="167"/>
      <c r="E27" s="87">
        <f>Апрель2014!F27</f>
        <v>4208</v>
      </c>
      <c r="F27" s="87">
        <v>4233</v>
      </c>
      <c r="G27" s="11">
        <f t="shared" si="2"/>
        <v>25</v>
      </c>
      <c r="H27" s="59">
        <f t="shared" si="3"/>
        <v>5.9410646387831889E-3</v>
      </c>
      <c r="I27" s="89"/>
    </row>
    <row r="28" spans="2:10" s="79" customFormat="1" ht="18" thickBot="1">
      <c r="B28" s="168" t="s">
        <v>3</v>
      </c>
      <c r="C28" s="168"/>
      <c r="D28" s="169"/>
      <c r="E28" s="87">
        <f>Апрель2014!F28</f>
        <v>5192</v>
      </c>
      <c r="F28" s="87">
        <v>5159</v>
      </c>
      <c r="G28" s="11">
        <f t="shared" si="2"/>
        <v>-33</v>
      </c>
      <c r="H28" s="59">
        <f t="shared" si="3"/>
        <v>-6.3559322033898136E-3</v>
      </c>
      <c r="I28" s="89"/>
    </row>
    <row r="29" spans="2:10" s="70" customFormat="1" ht="18" thickBot="1">
      <c r="B29" s="60" t="s">
        <v>4</v>
      </c>
      <c r="C29" s="60"/>
      <c r="D29" s="61"/>
      <c r="E29" s="72">
        <f>Апрель2014!F29</f>
        <v>928223</v>
      </c>
      <c r="F29" s="72">
        <v>929570</v>
      </c>
      <c r="G29" s="72">
        <f t="shared" si="2"/>
        <v>1347</v>
      </c>
      <c r="H29" s="69">
        <f t="shared" si="3"/>
        <v>1.4511599044626511E-3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41759</v>
      </c>
      <c r="F33" s="73">
        <f>EDATE(E33,1)</f>
        <v>41789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7">
        <f>Апрель2014!F34</f>
        <v>60315</v>
      </c>
      <c r="F34" s="81">
        <v>57039</v>
      </c>
      <c r="G34" s="11">
        <f t="shared" ref="G34:G40" si="4">F34-E34</f>
        <v>-3276</v>
      </c>
      <c r="H34" s="59">
        <f t="shared" ref="H34:H40" si="5">F34/E34-1</f>
        <v>-5.4314847052971849E-2</v>
      </c>
      <c r="I34" s="58"/>
    </row>
    <row r="35" spans="2:9" ht="17.25">
      <c r="B35" s="138" t="s">
        <v>1</v>
      </c>
      <c r="C35" s="138"/>
      <c r="D35" s="139"/>
      <c r="E35" s="87">
        <f>Апрель2014!F35</f>
        <v>1272</v>
      </c>
      <c r="F35" s="81">
        <v>1201</v>
      </c>
      <c r="G35" s="11">
        <f t="shared" si="4"/>
        <v>-71</v>
      </c>
      <c r="H35" s="59">
        <f t="shared" si="5"/>
        <v>-5.5817610062893097E-2</v>
      </c>
      <c r="I35" s="58"/>
    </row>
    <row r="36" spans="2:9" ht="17.25">
      <c r="B36" s="138" t="s">
        <v>2</v>
      </c>
      <c r="C36" s="138"/>
      <c r="D36" s="139"/>
      <c r="E36" s="87">
        <f>Апрель2014!F36</f>
        <v>581</v>
      </c>
      <c r="F36" s="81">
        <v>569</v>
      </c>
      <c r="G36" s="11">
        <f t="shared" si="4"/>
        <v>-12</v>
      </c>
      <c r="H36" s="59">
        <f t="shared" si="5"/>
        <v>-2.0654044750430312E-2</v>
      </c>
      <c r="I36" s="58"/>
    </row>
    <row r="37" spans="2:9" ht="17.25">
      <c r="B37" s="164" t="s">
        <v>23</v>
      </c>
      <c r="C37" s="164"/>
      <c r="D37" s="165"/>
      <c r="E37" s="87">
        <f>Апрель2014!F37</f>
        <v>177</v>
      </c>
      <c r="F37" s="81">
        <v>163</v>
      </c>
      <c r="G37" s="11">
        <f t="shared" si="4"/>
        <v>-14</v>
      </c>
      <c r="H37" s="59">
        <f t="shared" si="5"/>
        <v>-7.9096045197740161E-2</v>
      </c>
      <c r="I37" s="58"/>
    </row>
    <row r="38" spans="2:9" ht="17.25">
      <c r="B38" s="166" t="s">
        <v>24</v>
      </c>
      <c r="C38" s="166"/>
      <c r="D38" s="167"/>
      <c r="E38" s="87">
        <f>Апрель2014!F38</f>
        <v>404</v>
      </c>
      <c r="F38" s="81">
        <v>406</v>
      </c>
      <c r="G38" s="11">
        <f t="shared" si="4"/>
        <v>2</v>
      </c>
      <c r="H38" s="59">
        <f t="shared" si="5"/>
        <v>4.9504950495049549E-3</v>
      </c>
      <c r="I38" s="58"/>
    </row>
    <row r="39" spans="2:9" ht="18" thickBot="1">
      <c r="B39" s="183" t="s">
        <v>3</v>
      </c>
      <c r="C39" s="183"/>
      <c r="D39" s="184"/>
      <c r="E39" s="87">
        <f>Апрель2014!F39</f>
        <v>740</v>
      </c>
      <c r="F39" s="81">
        <v>699</v>
      </c>
      <c r="G39" s="11">
        <f t="shared" si="4"/>
        <v>-41</v>
      </c>
      <c r="H39" s="59">
        <f t="shared" si="5"/>
        <v>-5.5405405405405395E-2</v>
      </c>
      <c r="I39" s="58"/>
    </row>
    <row r="40" spans="2:9" s="70" customFormat="1" ht="18" thickBot="1">
      <c r="B40" s="60" t="s">
        <v>4</v>
      </c>
      <c r="C40" s="60"/>
      <c r="D40" s="61"/>
      <c r="E40" s="72">
        <f>Апрель2014!F40</f>
        <v>62908</v>
      </c>
      <c r="F40" s="72">
        <v>59508</v>
      </c>
      <c r="G40" s="72">
        <f t="shared" si="4"/>
        <v>-3400</v>
      </c>
      <c r="H40" s="69">
        <f t="shared" si="5"/>
        <v>-5.4047180008901852E-2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41636</v>
      </c>
      <c r="D83" s="75">
        <f>EDATE(E83,-1)</f>
        <v>41667</v>
      </c>
      <c r="E83" s="75">
        <f>EDATE(F83,-1)</f>
        <v>41698</v>
      </c>
      <c r="F83" s="75">
        <f>EDATE(G83,-1)</f>
        <v>41728</v>
      </c>
      <c r="G83" s="75">
        <f>EDATE(H83,-1)</f>
        <v>41759</v>
      </c>
      <c r="H83" s="75">
        <f>EDATE(E11,1)</f>
        <v>41789</v>
      </c>
      <c r="I83"/>
      <c r="J83"/>
    </row>
    <row r="84" spans="2:11" ht="16.5" customHeight="1">
      <c r="B84" s="25" t="s">
        <v>0</v>
      </c>
      <c r="C84" s="63">
        <v>881844</v>
      </c>
      <c r="D84" s="83">
        <v>883068</v>
      </c>
      <c r="E84" s="83">
        <v>886594</v>
      </c>
      <c r="F84" s="83">
        <v>892693</v>
      </c>
      <c r="G84" s="83">
        <v>896413</v>
      </c>
      <c r="H84" s="83">
        <v>897706</v>
      </c>
    </row>
    <row r="85" spans="2:11" ht="16.5" customHeight="1">
      <c r="B85" s="26" t="s">
        <v>1</v>
      </c>
      <c r="C85" s="64">
        <v>19539</v>
      </c>
      <c r="D85" s="84">
        <v>19540</v>
      </c>
      <c r="E85" s="84">
        <v>19633</v>
      </c>
      <c r="F85" s="84">
        <v>19706</v>
      </c>
      <c r="G85" s="84">
        <v>19733</v>
      </c>
      <c r="H85" s="84">
        <v>19759</v>
      </c>
    </row>
    <row r="86" spans="2:11" ht="16.5" customHeight="1">
      <c r="B86" s="27" t="s">
        <v>2</v>
      </c>
      <c r="C86" s="65">
        <v>6957</v>
      </c>
      <c r="D86" s="86">
        <v>7004</v>
      </c>
      <c r="E86" s="86">
        <v>7064</v>
      </c>
      <c r="F86" s="86">
        <v>6815</v>
      </c>
      <c r="G86" s="86">
        <v>6885</v>
      </c>
      <c r="H86" s="86">
        <v>6946</v>
      </c>
    </row>
    <row r="87" spans="2:11" ht="16.5" customHeight="1" thickBot="1">
      <c r="B87" s="28" t="s">
        <v>3</v>
      </c>
      <c r="C87" s="66">
        <v>5182</v>
      </c>
      <c r="D87" s="82">
        <v>5189</v>
      </c>
      <c r="E87" s="82">
        <v>5217</v>
      </c>
      <c r="F87" s="82">
        <v>5226</v>
      </c>
      <c r="G87" s="82">
        <v>5192</v>
      </c>
      <c r="H87" s="82">
        <v>5159</v>
      </c>
    </row>
    <row r="88" spans="2:11" s="71" customFormat="1" ht="18" thickBot="1">
      <c r="B88" s="104" t="s">
        <v>4</v>
      </c>
      <c r="C88" s="67">
        <v>913522</v>
      </c>
      <c r="D88" s="85">
        <v>914801</v>
      </c>
      <c r="E88" s="85">
        <v>918508</v>
      </c>
      <c r="F88" s="85">
        <v>924440</v>
      </c>
      <c r="G88" s="85">
        <v>928223</v>
      </c>
      <c r="H88" s="85">
        <v>929570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55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441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41789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44">
        <v>206094</v>
      </c>
      <c r="H139" s="145"/>
      <c r="I139" s="47"/>
      <c r="J139" s="50"/>
    </row>
    <row r="140" spans="2:10" ht="17.25">
      <c r="B140" s="138" t="s">
        <v>32</v>
      </c>
      <c r="C140" s="138"/>
      <c r="D140" s="138"/>
      <c r="E140" s="138"/>
      <c r="F140" s="139"/>
      <c r="G140" s="146">
        <v>183376</v>
      </c>
      <c r="H140" s="147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46">
        <v>118725</v>
      </c>
      <c r="H141" s="147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46">
        <v>113818</v>
      </c>
      <c r="H142" s="147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46">
        <v>60959</v>
      </c>
      <c r="H143" s="147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46">
        <v>44686</v>
      </c>
      <c r="H144" s="147"/>
      <c r="I144" s="51"/>
      <c r="J144" s="50"/>
    </row>
    <row r="145" spans="2:13" ht="17.25" customHeight="1">
      <c r="B145" s="138" t="s">
        <v>56</v>
      </c>
      <c r="C145" s="138"/>
      <c r="D145" s="138"/>
      <c r="E145" s="138"/>
      <c r="F145" s="139"/>
      <c r="G145" s="146">
        <v>43604</v>
      </c>
      <c r="H145" s="147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46">
        <v>29828</v>
      </c>
      <c r="H146" s="147"/>
      <c r="I146" s="47"/>
      <c r="J146" s="50"/>
    </row>
    <row r="147" spans="2:13" ht="17.25" customHeight="1">
      <c r="B147" s="140" t="s">
        <v>39</v>
      </c>
      <c r="C147" s="140"/>
      <c r="D147" s="140"/>
      <c r="E147" s="140"/>
      <c r="F147" s="141"/>
      <c r="G147" s="148">
        <v>20785</v>
      </c>
      <c r="H147" s="149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50">
        <v>19631</v>
      </c>
      <c r="H148" s="151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10517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9264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9153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6632</v>
      </c>
      <c r="H157" s="163"/>
      <c r="I157" s="53"/>
      <c r="J157" s="50"/>
      <c r="K157" s="49"/>
      <c r="L157"/>
      <c r="M157"/>
    </row>
    <row r="158" spans="2:13" ht="17.25" customHeight="1">
      <c r="B158" s="138" t="s">
        <v>56</v>
      </c>
      <c r="C158" s="138"/>
      <c r="D158" s="138"/>
      <c r="E158" s="138"/>
      <c r="F158" s="139"/>
      <c r="G158" s="162">
        <v>3902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/>
      <c r="D159" s="138"/>
      <c r="E159" s="138"/>
      <c r="F159" s="139"/>
      <c r="G159" s="162">
        <v>3772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2690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1800</v>
      </c>
      <c r="H161" s="163"/>
      <c r="I161" s="53"/>
      <c r="J161" s="50"/>
      <c r="K161" s="49"/>
      <c r="L161"/>
      <c r="M161"/>
    </row>
    <row r="162" spans="2:13" ht="17.25">
      <c r="B162" s="138" t="s">
        <v>38</v>
      </c>
      <c r="C162" s="138"/>
      <c r="D162" s="138"/>
      <c r="E162" s="138"/>
      <c r="F162" s="139"/>
      <c r="G162" s="162">
        <v>1355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/>
      <c r="D163" s="142"/>
      <c r="E163" s="142"/>
      <c r="F163" s="143"/>
      <c r="G163" s="196">
        <v>1241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02" t="s">
        <v>19</v>
      </c>
      <c r="C168" s="102"/>
      <c r="D168" s="102"/>
      <c r="E168" s="102"/>
      <c r="F168" s="103"/>
      <c r="G168" s="190" t="s">
        <v>9</v>
      </c>
      <c r="H168" s="190"/>
      <c r="I168" s="2"/>
      <c r="J168" s="2"/>
    </row>
    <row r="169" spans="2:13" ht="17.25" customHeight="1">
      <c r="B169" s="136" t="s">
        <v>56</v>
      </c>
      <c r="C169" s="136"/>
      <c r="D169" s="136"/>
      <c r="E169" s="136"/>
      <c r="F169" s="137"/>
      <c r="G169" s="144">
        <v>914025489392.18201</v>
      </c>
      <c r="H169" s="145"/>
      <c r="I169" s="55"/>
      <c r="J169" s="56"/>
    </row>
    <row r="170" spans="2:13" ht="17.25" customHeight="1">
      <c r="B170" s="138" t="s">
        <v>32</v>
      </c>
      <c r="C170" s="138"/>
      <c r="D170" s="138"/>
      <c r="E170" s="138"/>
      <c r="F170" s="139"/>
      <c r="G170" s="146">
        <v>736163960489.22803</v>
      </c>
      <c r="H170" s="147"/>
      <c r="I170" s="55"/>
      <c r="J170" s="56"/>
    </row>
    <row r="171" spans="2:13" ht="17.25" customHeight="1">
      <c r="B171" s="138" t="s">
        <v>34</v>
      </c>
      <c r="C171" s="138"/>
      <c r="D171" s="138"/>
      <c r="E171" s="138"/>
      <c r="F171" s="139"/>
      <c r="G171" s="146">
        <v>657136662390.39905</v>
      </c>
      <c r="H171" s="147"/>
      <c r="I171" s="55"/>
      <c r="J171" s="56"/>
    </row>
    <row r="172" spans="2:13" ht="17.25" customHeight="1">
      <c r="B172" s="138" t="s">
        <v>42</v>
      </c>
      <c r="C172" s="138"/>
      <c r="D172" s="138"/>
      <c r="E172" s="138"/>
      <c r="F172" s="139"/>
      <c r="G172" s="146">
        <v>400197315844.73999</v>
      </c>
      <c r="H172" s="147"/>
      <c r="I172" s="55"/>
      <c r="J172" s="56"/>
    </row>
    <row r="173" spans="2:13" ht="17.25" customHeight="1">
      <c r="B173" s="138" t="s">
        <v>33</v>
      </c>
      <c r="C173" s="138"/>
      <c r="D173" s="138"/>
      <c r="E173" s="138"/>
      <c r="F173" s="139"/>
      <c r="G173" s="146">
        <v>305834057481.22998</v>
      </c>
      <c r="H173" s="147"/>
      <c r="I173" s="57"/>
      <c r="J173" s="50"/>
    </row>
    <row r="174" spans="2:13" ht="17.25" customHeight="1">
      <c r="B174" s="138" t="s">
        <v>43</v>
      </c>
      <c r="C174" s="138"/>
      <c r="D174" s="138"/>
      <c r="E174" s="138"/>
      <c r="F174" s="139"/>
      <c r="G174" s="146">
        <v>201845843896.5</v>
      </c>
      <c r="H174" s="147"/>
      <c r="I174" s="55"/>
      <c r="J174" s="56"/>
    </row>
    <row r="175" spans="2:13" ht="17.25" customHeight="1">
      <c r="B175" s="138" t="s">
        <v>46</v>
      </c>
      <c r="C175" s="138"/>
      <c r="D175" s="138"/>
      <c r="E175" s="138"/>
      <c r="F175" s="139"/>
      <c r="G175" s="146">
        <v>172519725696.20001</v>
      </c>
      <c r="H175" s="147"/>
      <c r="I175" s="55"/>
      <c r="J175" s="56"/>
    </row>
    <row r="176" spans="2:13" ht="17.25" customHeight="1">
      <c r="B176" s="138" t="s">
        <v>45</v>
      </c>
      <c r="C176" s="138"/>
      <c r="D176" s="138"/>
      <c r="E176" s="138"/>
      <c r="F176" s="139"/>
      <c r="G176" s="146">
        <v>126078815946.07001</v>
      </c>
      <c r="H176" s="147"/>
      <c r="I176" s="55"/>
      <c r="J176" s="56"/>
    </row>
    <row r="177" spans="2:10" ht="17.25" customHeight="1">
      <c r="B177" s="140" t="s">
        <v>41</v>
      </c>
      <c r="C177" s="140"/>
      <c r="D177" s="140"/>
      <c r="E177" s="140"/>
      <c r="F177" s="141"/>
      <c r="G177" s="146">
        <v>122748785346.28999</v>
      </c>
      <c r="H177" s="147"/>
      <c r="I177" s="55"/>
      <c r="J177" s="56"/>
    </row>
    <row r="178" spans="2:10" ht="18" customHeight="1" thickBot="1">
      <c r="B178" s="142" t="s">
        <v>38</v>
      </c>
      <c r="C178" s="142"/>
      <c r="D178" s="142"/>
      <c r="E178" s="142"/>
      <c r="F178" s="143"/>
      <c r="G178" s="150">
        <v>122216198796.868</v>
      </c>
      <c r="H178" s="151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G170:H170"/>
    <mergeCell ref="G171:H171"/>
    <mergeCell ref="G172:H172"/>
    <mergeCell ref="G173:H173"/>
    <mergeCell ref="G174:H174"/>
    <mergeCell ref="B170:F170"/>
    <mergeCell ref="B171:F171"/>
    <mergeCell ref="B172:F172"/>
    <mergeCell ref="B173:F173"/>
    <mergeCell ref="B174:F174"/>
    <mergeCell ref="B175:F175"/>
    <mergeCell ref="B176:F176"/>
    <mergeCell ref="B177:F177"/>
    <mergeCell ref="B178:F178"/>
    <mergeCell ref="G176:H176"/>
    <mergeCell ref="G177:H177"/>
    <mergeCell ref="G178:H178"/>
    <mergeCell ref="G175:H175"/>
    <mergeCell ref="G169:H169"/>
    <mergeCell ref="B159:F159"/>
    <mergeCell ref="G159:H159"/>
    <mergeCell ref="B160:F160"/>
    <mergeCell ref="G160:H160"/>
    <mergeCell ref="B161:F161"/>
    <mergeCell ref="G161:H161"/>
    <mergeCell ref="B169:F169"/>
    <mergeCell ref="B162:F162"/>
    <mergeCell ref="G162:H162"/>
    <mergeCell ref="B163:F163"/>
    <mergeCell ref="G163:H163"/>
    <mergeCell ref="G168:H16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29:F129"/>
    <mergeCell ref="G129:H129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54:D54"/>
    <mergeCell ref="B128:F128"/>
    <mergeCell ref="G128:H128"/>
    <mergeCell ref="H48:I48"/>
    <mergeCell ref="B49:D49"/>
    <mergeCell ref="B50:D50"/>
    <mergeCell ref="B51:D51"/>
    <mergeCell ref="B52:D52"/>
    <mergeCell ref="B53:D53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107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1073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0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41820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41820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41789</v>
      </c>
      <c r="F11" s="75">
        <f>EDATE(E11,1)</f>
        <v>41820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1">
        <f>Май2014!F12</f>
        <v>1072436</v>
      </c>
      <c r="F12" s="87">
        <v>1077132</v>
      </c>
      <c r="G12" s="11">
        <f>F12-E12</f>
        <v>4696</v>
      </c>
      <c r="H12" s="59">
        <f>F12/E12-1</f>
        <v>4.378816078535186E-3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1">
        <f>Май2014!F13</f>
        <v>36077</v>
      </c>
      <c r="F13" s="87">
        <v>36150</v>
      </c>
      <c r="G13" s="11">
        <f t="shared" ref="G13:G17" si="0">F13-E13</f>
        <v>73</v>
      </c>
      <c r="H13" s="59">
        <f t="shared" ref="H13:H18" si="1">F13/E13-1</f>
        <v>2.0234498433904236E-3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1">
        <f>Май2014!F14</f>
        <v>12366</v>
      </c>
      <c r="F14" s="87">
        <v>13333</v>
      </c>
      <c r="G14" s="11">
        <f t="shared" si="0"/>
        <v>967</v>
      </c>
      <c r="H14" s="59">
        <f t="shared" si="1"/>
        <v>7.819828562186637E-2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1">
        <f>Май2014!F15</f>
        <v>2784</v>
      </c>
      <c r="F15" s="87">
        <v>2830</v>
      </c>
      <c r="G15" s="11">
        <f t="shared" si="0"/>
        <v>46</v>
      </c>
      <c r="H15" s="59">
        <f t="shared" si="1"/>
        <v>1.6522988505747183E-2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1">
        <f>Май2014!F16</f>
        <v>9582</v>
      </c>
      <c r="F16" s="87">
        <v>10503</v>
      </c>
      <c r="G16" s="11">
        <f t="shared" si="0"/>
        <v>921</v>
      </c>
      <c r="H16" s="59">
        <f t="shared" si="1"/>
        <v>9.6117720726361933E-2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1">
        <f>Май2014!F17</f>
        <v>12871</v>
      </c>
      <c r="F17" s="87">
        <v>12925</v>
      </c>
      <c r="G17" s="11">
        <f t="shared" si="0"/>
        <v>54</v>
      </c>
      <c r="H17" s="59">
        <f t="shared" si="1"/>
        <v>4.1954782068216456E-3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Май2014!F18</f>
        <v>1133750</v>
      </c>
      <c r="F18" s="72">
        <v>1139540</v>
      </c>
      <c r="G18" s="72">
        <f>F18-E18</f>
        <v>5790</v>
      </c>
      <c r="H18" s="69">
        <f t="shared" si="1"/>
        <v>5.106945975744237E-3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41789</v>
      </c>
      <c r="F22" s="75">
        <f>F11</f>
        <v>41820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1">
        <f>Май2014!F23</f>
        <v>897706</v>
      </c>
      <c r="F23" s="87">
        <v>900250</v>
      </c>
      <c r="G23" s="11">
        <f>F23-E23</f>
        <v>2544</v>
      </c>
      <c r="H23" s="59">
        <f>F23/E23-1</f>
        <v>2.8338899372399862E-3</v>
      </c>
      <c r="I23" s="89"/>
    </row>
    <row r="24" spans="2:10" s="79" customFormat="1" ht="17.25">
      <c r="B24" s="158" t="s">
        <v>1</v>
      </c>
      <c r="C24" s="158"/>
      <c r="D24" s="159"/>
      <c r="E24" s="81">
        <f>Май2014!F24</f>
        <v>19759</v>
      </c>
      <c r="F24" s="87">
        <v>19811</v>
      </c>
      <c r="G24" s="11">
        <f t="shared" ref="G24:G29" si="2">F24-E24</f>
        <v>52</v>
      </c>
      <c r="H24" s="59">
        <f t="shared" ref="H24:H29" si="3">F24/E24-1</f>
        <v>2.6317121311807412E-3</v>
      </c>
      <c r="I24" s="89"/>
    </row>
    <row r="25" spans="2:10" s="79" customFormat="1" ht="17.25">
      <c r="B25" s="158" t="s">
        <v>2</v>
      </c>
      <c r="C25" s="158"/>
      <c r="D25" s="159"/>
      <c r="E25" s="81">
        <f>Май2014!F25</f>
        <v>6946</v>
      </c>
      <c r="F25" s="87">
        <v>7125</v>
      </c>
      <c r="G25" s="11">
        <f t="shared" si="2"/>
        <v>179</v>
      </c>
      <c r="H25" s="59">
        <f t="shared" si="3"/>
        <v>2.5770227469047002E-2</v>
      </c>
      <c r="I25" s="89"/>
    </row>
    <row r="26" spans="2:10" s="79" customFormat="1" ht="17.25">
      <c r="B26" s="164" t="s">
        <v>23</v>
      </c>
      <c r="C26" s="164"/>
      <c r="D26" s="165"/>
      <c r="E26" s="81">
        <f>Май2014!F26</f>
        <v>2713</v>
      </c>
      <c r="F26" s="87">
        <v>2753</v>
      </c>
      <c r="G26" s="11">
        <f t="shared" si="2"/>
        <v>40</v>
      </c>
      <c r="H26" s="59">
        <f t="shared" si="3"/>
        <v>1.4743826022852957E-2</v>
      </c>
      <c r="I26" s="89"/>
    </row>
    <row r="27" spans="2:10" s="79" customFormat="1" ht="17.25">
      <c r="B27" s="166" t="s">
        <v>24</v>
      </c>
      <c r="C27" s="166"/>
      <c r="D27" s="167"/>
      <c r="E27" s="81">
        <f>Май2014!F27</f>
        <v>4233</v>
      </c>
      <c r="F27" s="87">
        <v>4372</v>
      </c>
      <c r="G27" s="11">
        <f t="shared" si="2"/>
        <v>139</v>
      </c>
      <c r="H27" s="59">
        <f t="shared" si="3"/>
        <v>3.283723127805338E-2</v>
      </c>
      <c r="I27" s="89"/>
    </row>
    <row r="28" spans="2:10" s="79" customFormat="1" ht="18" thickBot="1">
      <c r="B28" s="168" t="s">
        <v>3</v>
      </c>
      <c r="C28" s="168"/>
      <c r="D28" s="169"/>
      <c r="E28" s="81">
        <f>Май2014!F28</f>
        <v>5159</v>
      </c>
      <c r="F28" s="87">
        <v>5175</v>
      </c>
      <c r="G28" s="11">
        <f t="shared" si="2"/>
        <v>16</v>
      </c>
      <c r="H28" s="59">
        <f t="shared" si="3"/>
        <v>3.1013762357046115E-3</v>
      </c>
      <c r="I28" s="89"/>
    </row>
    <row r="29" spans="2:10" s="70" customFormat="1" ht="18" thickBot="1">
      <c r="B29" s="60" t="s">
        <v>4</v>
      </c>
      <c r="C29" s="60"/>
      <c r="D29" s="61"/>
      <c r="E29" s="72">
        <f>Май2014!F29</f>
        <v>929570</v>
      </c>
      <c r="F29" s="72">
        <v>932361</v>
      </c>
      <c r="G29" s="72">
        <f t="shared" si="2"/>
        <v>2791</v>
      </c>
      <c r="H29" s="69">
        <f t="shared" si="3"/>
        <v>3.0024635046310699E-3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41789</v>
      </c>
      <c r="F33" s="73">
        <f>EDATE(E33,1)</f>
        <v>41820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Май2014!F34</f>
        <v>57039</v>
      </c>
      <c r="F34" s="81">
        <v>54480</v>
      </c>
      <c r="G34" s="11">
        <f t="shared" ref="G34:G40" si="4">F34-E34</f>
        <v>-2559</v>
      </c>
      <c r="H34" s="59">
        <f t="shared" ref="H34:H40" si="5">F34/E34-1</f>
        <v>-4.4864040393415072E-2</v>
      </c>
      <c r="I34" s="58"/>
    </row>
    <row r="35" spans="2:9" ht="17.25">
      <c r="B35" s="138" t="s">
        <v>1</v>
      </c>
      <c r="C35" s="138"/>
      <c r="D35" s="139"/>
      <c r="E35" s="81">
        <f>Май2014!F35</f>
        <v>1201</v>
      </c>
      <c r="F35" s="81">
        <v>1276</v>
      </c>
      <c r="G35" s="11">
        <f t="shared" si="4"/>
        <v>75</v>
      </c>
      <c r="H35" s="59">
        <f t="shared" si="5"/>
        <v>6.2447960033305661E-2</v>
      </c>
      <c r="I35" s="58"/>
    </row>
    <row r="36" spans="2:9" ht="17.25">
      <c r="B36" s="138" t="s">
        <v>2</v>
      </c>
      <c r="C36" s="138"/>
      <c r="D36" s="139"/>
      <c r="E36" s="81">
        <f>Май2014!F36</f>
        <v>569</v>
      </c>
      <c r="F36" s="81">
        <v>581</v>
      </c>
      <c r="G36" s="11">
        <f t="shared" si="4"/>
        <v>12</v>
      </c>
      <c r="H36" s="59">
        <f t="shared" si="5"/>
        <v>2.1089630931458769E-2</v>
      </c>
      <c r="I36" s="58"/>
    </row>
    <row r="37" spans="2:9" ht="17.25">
      <c r="B37" s="164" t="s">
        <v>23</v>
      </c>
      <c r="C37" s="164"/>
      <c r="D37" s="165"/>
      <c r="E37" s="81">
        <f>Май2014!F37</f>
        <v>163</v>
      </c>
      <c r="F37" s="81">
        <v>174</v>
      </c>
      <c r="G37" s="11">
        <f t="shared" si="4"/>
        <v>11</v>
      </c>
      <c r="H37" s="59">
        <f t="shared" si="5"/>
        <v>6.7484662576687171E-2</v>
      </c>
      <c r="I37" s="58"/>
    </row>
    <row r="38" spans="2:9" ht="17.25">
      <c r="B38" s="166" t="s">
        <v>24</v>
      </c>
      <c r="C38" s="166"/>
      <c r="D38" s="167"/>
      <c r="E38" s="81">
        <f>Май2014!F38</f>
        <v>406</v>
      </c>
      <c r="F38" s="81">
        <v>407</v>
      </c>
      <c r="G38" s="11">
        <f t="shared" si="4"/>
        <v>1</v>
      </c>
      <c r="H38" s="59">
        <f t="shared" si="5"/>
        <v>2.4630541871921707E-3</v>
      </c>
      <c r="I38" s="58"/>
    </row>
    <row r="39" spans="2:9" ht="18" thickBot="1">
      <c r="B39" s="183" t="s">
        <v>3</v>
      </c>
      <c r="C39" s="183"/>
      <c r="D39" s="184"/>
      <c r="E39" s="81">
        <f>Май2014!F39</f>
        <v>699</v>
      </c>
      <c r="F39" s="81">
        <v>723</v>
      </c>
      <c r="G39" s="11">
        <f t="shared" si="4"/>
        <v>24</v>
      </c>
      <c r="H39" s="59">
        <f t="shared" si="5"/>
        <v>3.4334763948497882E-2</v>
      </c>
      <c r="I39" s="58"/>
    </row>
    <row r="40" spans="2:9" s="70" customFormat="1" ht="18" thickBot="1">
      <c r="B40" s="60" t="s">
        <v>4</v>
      </c>
      <c r="C40" s="60"/>
      <c r="D40" s="61"/>
      <c r="E40" s="72">
        <f>Май2014!F40</f>
        <v>59508</v>
      </c>
      <c r="F40" s="72">
        <v>57060</v>
      </c>
      <c r="G40" s="72">
        <f t="shared" si="4"/>
        <v>-2448</v>
      </c>
      <c r="H40" s="69">
        <f t="shared" si="5"/>
        <v>-4.1137326073805158E-2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41667</v>
      </c>
      <c r="D83" s="75">
        <f>EDATE(E83,-1)</f>
        <v>41698</v>
      </c>
      <c r="E83" s="75">
        <f>EDATE(F83,-1)</f>
        <v>41728</v>
      </c>
      <c r="F83" s="75">
        <f>EDATE(G83,-1)</f>
        <v>41759</v>
      </c>
      <c r="G83" s="75">
        <f>EDATE(H83,-1)</f>
        <v>41789</v>
      </c>
      <c r="H83" s="75">
        <f>EDATE(E11,1)</f>
        <v>41820</v>
      </c>
      <c r="I83"/>
      <c r="J83"/>
    </row>
    <row r="84" spans="2:11" ht="16.5" customHeight="1">
      <c r="B84" s="25" t="s">
        <v>0</v>
      </c>
      <c r="C84" s="83">
        <v>883068</v>
      </c>
      <c r="D84" s="83">
        <v>886594</v>
      </c>
      <c r="E84" s="83">
        <v>892693</v>
      </c>
      <c r="F84" s="83">
        <v>896413</v>
      </c>
      <c r="G84" s="83">
        <v>897706</v>
      </c>
      <c r="H84" s="83">
        <v>900250</v>
      </c>
    </row>
    <row r="85" spans="2:11" ht="16.5" customHeight="1">
      <c r="B85" s="26" t="s">
        <v>1</v>
      </c>
      <c r="C85" s="84">
        <v>19540</v>
      </c>
      <c r="D85" s="84">
        <v>19633</v>
      </c>
      <c r="E85" s="84">
        <v>19706</v>
      </c>
      <c r="F85" s="84">
        <v>19733</v>
      </c>
      <c r="G85" s="84">
        <v>19759</v>
      </c>
      <c r="H85" s="84">
        <v>19811</v>
      </c>
    </row>
    <row r="86" spans="2:11" ht="16.5" customHeight="1">
      <c r="B86" s="27" t="s">
        <v>2</v>
      </c>
      <c r="C86" s="86">
        <v>7004</v>
      </c>
      <c r="D86" s="86">
        <v>7064</v>
      </c>
      <c r="E86" s="86">
        <v>6815</v>
      </c>
      <c r="F86" s="86">
        <v>6885</v>
      </c>
      <c r="G86" s="86">
        <v>6946</v>
      </c>
      <c r="H86" s="86">
        <v>7125</v>
      </c>
    </row>
    <row r="87" spans="2:11" ht="16.5" customHeight="1" thickBot="1">
      <c r="B87" s="28" t="s">
        <v>3</v>
      </c>
      <c r="C87" s="82">
        <v>5189</v>
      </c>
      <c r="D87" s="82">
        <v>5217</v>
      </c>
      <c r="E87" s="82">
        <v>5226</v>
      </c>
      <c r="F87" s="82">
        <v>5192</v>
      </c>
      <c r="G87" s="82">
        <v>5159</v>
      </c>
      <c r="H87" s="82">
        <v>5175</v>
      </c>
    </row>
    <row r="88" spans="2:11" s="71" customFormat="1" ht="18" thickBot="1">
      <c r="B88" s="115" t="s">
        <v>4</v>
      </c>
      <c r="C88" s="85">
        <v>914801</v>
      </c>
      <c r="D88" s="85">
        <v>918508</v>
      </c>
      <c r="E88" s="85">
        <v>924440</v>
      </c>
      <c r="F88" s="85">
        <v>928223</v>
      </c>
      <c r="G88" s="85">
        <v>929570</v>
      </c>
      <c r="H88" s="85">
        <v>932361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57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440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41820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60">
        <v>207160</v>
      </c>
      <c r="H139" s="161"/>
      <c r="I139" s="47"/>
      <c r="J139" s="50"/>
    </row>
    <row r="140" spans="2:10" ht="13.5" customHeight="1">
      <c r="B140" s="138" t="s">
        <v>32</v>
      </c>
      <c r="C140" s="138"/>
      <c r="D140" s="138"/>
      <c r="E140" s="138"/>
      <c r="F140" s="139"/>
      <c r="G140" s="162">
        <v>181819</v>
      </c>
      <c r="H140" s="163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62">
        <v>119083</v>
      </c>
      <c r="H141" s="163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62">
        <v>115387</v>
      </c>
      <c r="H142" s="163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62">
        <v>60985</v>
      </c>
      <c r="H143" s="163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62">
        <v>44792</v>
      </c>
      <c r="H144" s="163"/>
      <c r="I144" s="51"/>
      <c r="J144" s="50"/>
    </row>
    <row r="145" spans="2:13" ht="17.25" customHeight="1">
      <c r="B145" s="138" t="s">
        <v>56</v>
      </c>
      <c r="C145" s="138"/>
      <c r="D145" s="138"/>
      <c r="E145" s="138"/>
      <c r="F145" s="139"/>
      <c r="G145" s="162">
        <v>44199</v>
      </c>
      <c r="H145" s="163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62">
        <v>30263</v>
      </c>
      <c r="H146" s="163"/>
      <c r="I146" s="47"/>
      <c r="J146" s="50"/>
    </row>
    <row r="147" spans="2:13" ht="17.25" customHeight="1">
      <c r="B147" s="138" t="s">
        <v>39</v>
      </c>
      <c r="C147" s="138"/>
      <c r="D147" s="138"/>
      <c r="E147" s="138"/>
      <c r="F147" s="139"/>
      <c r="G147" s="162">
        <v>20867</v>
      </c>
      <c r="H147" s="163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96">
        <v>19645</v>
      </c>
      <c r="H148" s="197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10175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8748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8392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6341</v>
      </c>
      <c r="H157" s="163"/>
      <c r="I157" s="53"/>
      <c r="J157" s="50"/>
      <c r="K157" s="49"/>
      <c r="L157"/>
      <c r="M157"/>
    </row>
    <row r="158" spans="2:13" ht="17.25" customHeight="1">
      <c r="B158" s="138" t="s">
        <v>56</v>
      </c>
      <c r="C158" s="138"/>
      <c r="D158" s="138"/>
      <c r="E158" s="138"/>
      <c r="F158" s="139"/>
      <c r="G158" s="162">
        <v>3966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/>
      <c r="D159" s="138"/>
      <c r="E159" s="138"/>
      <c r="F159" s="139"/>
      <c r="G159" s="162">
        <v>3569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2624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1757</v>
      </c>
      <c r="H161" s="163"/>
      <c r="I161" s="53"/>
      <c r="J161" s="50"/>
      <c r="K161" s="49"/>
      <c r="L161"/>
      <c r="M161"/>
    </row>
    <row r="162" spans="2:13" ht="17.25">
      <c r="B162" s="138" t="s">
        <v>47</v>
      </c>
      <c r="C162" s="138"/>
      <c r="D162" s="138"/>
      <c r="E162" s="138"/>
      <c r="F162" s="139"/>
      <c r="G162" s="162">
        <v>1441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38</v>
      </c>
      <c r="C163" s="142"/>
      <c r="D163" s="142"/>
      <c r="E163" s="142"/>
      <c r="F163" s="143"/>
      <c r="G163" s="196">
        <v>1301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3" t="s">
        <v>19</v>
      </c>
      <c r="C168" s="113"/>
      <c r="D168" s="113"/>
      <c r="E168" s="113"/>
      <c r="F168" s="114"/>
      <c r="G168" s="190" t="s">
        <v>9</v>
      </c>
      <c r="H168" s="190"/>
      <c r="I168" s="2"/>
      <c r="J168" s="2"/>
    </row>
    <row r="169" spans="2:13" ht="17.25" customHeight="1">
      <c r="B169" s="136" t="s">
        <v>56</v>
      </c>
      <c r="C169" s="136"/>
      <c r="D169" s="136"/>
      <c r="E169" s="136"/>
      <c r="F169" s="137"/>
      <c r="G169" s="160">
        <v>781169210878.73999</v>
      </c>
      <c r="H169" s="161"/>
      <c r="I169" s="55"/>
      <c r="J169" s="56"/>
    </row>
    <row r="170" spans="2:13" ht="17.25" customHeight="1">
      <c r="B170" s="138" t="s">
        <v>34</v>
      </c>
      <c r="C170" s="138"/>
      <c r="D170" s="138"/>
      <c r="E170" s="138"/>
      <c r="F170" s="139"/>
      <c r="G170" s="162">
        <v>561038525916.54004</v>
      </c>
      <c r="H170" s="163"/>
      <c r="I170" s="55"/>
      <c r="J170" s="56"/>
    </row>
    <row r="171" spans="2:13" ht="17.25" customHeight="1">
      <c r="B171" s="138" t="s">
        <v>32</v>
      </c>
      <c r="C171" s="138"/>
      <c r="D171" s="138"/>
      <c r="E171" s="138"/>
      <c r="F171" s="139"/>
      <c r="G171" s="162">
        <v>522810814617.45001</v>
      </c>
      <c r="H171" s="163"/>
      <c r="I171" s="55"/>
      <c r="J171" s="56"/>
    </row>
    <row r="172" spans="2:13" ht="17.25" customHeight="1">
      <c r="B172" s="138" t="s">
        <v>42</v>
      </c>
      <c r="C172" s="138"/>
      <c r="D172" s="138"/>
      <c r="E172" s="138"/>
      <c r="F172" s="139"/>
      <c r="G172" s="162">
        <v>318613106293.46997</v>
      </c>
      <c r="H172" s="163"/>
      <c r="I172" s="55"/>
      <c r="J172" s="56"/>
    </row>
    <row r="173" spans="2:13" ht="17.25" customHeight="1">
      <c r="B173" s="138" t="s">
        <v>33</v>
      </c>
      <c r="C173" s="138"/>
      <c r="D173" s="138"/>
      <c r="E173" s="138"/>
      <c r="F173" s="139"/>
      <c r="G173" s="162">
        <v>274850317658.78</v>
      </c>
      <c r="H173" s="163"/>
      <c r="I173" s="57"/>
      <c r="J173" s="50"/>
    </row>
    <row r="174" spans="2:13" ht="17.25" customHeight="1">
      <c r="B174" s="138" t="s">
        <v>46</v>
      </c>
      <c r="C174" s="138"/>
      <c r="D174" s="138"/>
      <c r="E174" s="138"/>
      <c r="F174" s="139"/>
      <c r="G174" s="162">
        <v>226532721193.26001</v>
      </c>
      <c r="H174" s="163"/>
      <c r="I174" s="55"/>
      <c r="J174" s="56"/>
    </row>
    <row r="175" spans="2:13" ht="17.25" customHeight="1">
      <c r="B175" s="138" t="s">
        <v>45</v>
      </c>
      <c r="C175" s="138"/>
      <c r="D175" s="138"/>
      <c r="E175" s="138"/>
      <c r="F175" s="139"/>
      <c r="G175" s="162">
        <v>194957576742.48999</v>
      </c>
      <c r="H175" s="163"/>
      <c r="I175" s="55"/>
      <c r="J175" s="56"/>
    </row>
    <row r="176" spans="2:13" ht="17.25" customHeight="1">
      <c r="B176" s="138" t="s">
        <v>58</v>
      </c>
      <c r="C176" s="138"/>
      <c r="D176" s="138"/>
      <c r="E176" s="138"/>
      <c r="F176" s="139"/>
      <c r="G176" s="162">
        <v>160245209091.32001</v>
      </c>
      <c r="H176" s="163"/>
      <c r="I176" s="55"/>
      <c r="J176" s="56"/>
    </row>
    <row r="177" spans="2:10" ht="17.25" customHeight="1">
      <c r="B177" s="138" t="s">
        <v>43</v>
      </c>
      <c r="C177" s="138"/>
      <c r="D177" s="138"/>
      <c r="E177" s="138"/>
      <c r="F177" s="139"/>
      <c r="G177" s="162">
        <v>142432255081.12</v>
      </c>
      <c r="H177" s="163"/>
      <c r="I177" s="55"/>
      <c r="J177" s="56"/>
    </row>
    <row r="178" spans="2:10" ht="18" customHeight="1" thickBot="1">
      <c r="B178" s="142" t="s">
        <v>38</v>
      </c>
      <c r="C178" s="142"/>
      <c r="D178" s="142"/>
      <c r="E178" s="142"/>
      <c r="F178" s="143"/>
      <c r="G178" s="196">
        <v>135411294885.03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3:F173"/>
    <mergeCell ref="G173:H173"/>
    <mergeCell ref="B174:F174"/>
    <mergeCell ref="G174:H174"/>
    <mergeCell ref="B175:F175"/>
    <mergeCell ref="G175:H175"/>
    <mergeCell ref="B169:F169"/>
    <mergeCell ref="G169:H169"/>
    <mergeCell ref="B176:F176"/>
    <mergeCell ref="G176:H176"/>
    <mergeCell ref="B177:F177"/>
    <mergeCell ref="G177:H177"/>
    <mergeCell ref="B162:F162"/>
    <mergeCell ref="G162:H162"/>
    <mergeCell ref="B163:F163"/>
    <mergeCell ref="G163:H163"/>
    <mergeCell ref="G168:H168"/>
    <mergeCell ref="B170:F170"/>
    <mergeCell ref="G170:H170"/>
    <mergeCell ref="B171:F171"/>
    <mergeCell ref="G171:H171"/>
    <mergeCell ref="B172:F172"/>
    <mergeCell ref="G172:H172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B155:F155"/>
    <mergeCell ref="G155:H155"/>
    <mergeCell ref="B159:F159"/>
    <mergeCell ref="G159:H159"/>
    <mergeCell ref="B160:F160"/>
    <mergeCell ref="G160:H160"/>
    <mergeCell ref="B142:F142"/>
    <mergeCell ref="G142:H142"/>
    <mergeCell ref="B153:F153"/>
    <mergeCell ref="G153:H153"/>
    <mergeCell ref="B154:F154"/>
    <mergeCell ref="G154:H154"/>
    <mergeCell ref="B23:D23"/>
    <mergeCell ref="G129:H129"/>
    <mergeCell ref="B138:F138"/>
    <mergeCell ref="G138:H138"/>
    <mergeCell ref="B54:D54"/>
    <mergeCell ref="B128:F128"/>
    <mergeCell ref="G128:H128"/>
    <mergeCell ref="B39:D39"/>
    <mergeCell ref="B129:F129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14:D14"/>
    <mergeCell ref="B15:D15"/>
    <mergeCell ref="B16:D16"/>
    <mergeCell ref="B17:D17"/>
    <mergeCell ref="B22:D22"/>
    <mergeCell ref="B148:F148"/>
    <mergeCell ref="G148:H148"/>
    <mergeCell ref="B2:H2"/>
    <mergeCell ref="B3:H3"/>
    <mergeCell ref="B33:D3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139:F139"/>
    <mergeCell ref="G139:H139"/>
    <mergeCell ref="B146:F146"/>
    <mergeCell ref="G146:H146"/>
    <mergeCell ref="B147:F147"/>
    <mergeCell ref="G147:H147"/>
    <mergeCell ref="B143:F143"/>
    <mergeCell ref="G143:H143"/>
    <mergeCell ref="B144:F144"/>
    <mergeCell ref="G144:H144"/>
    <mergeCell ref="B145:F145"/>
    <mergeCell ref="G145:H145"/>
    <mergeCell ref="B140:F140"/>
    <mergeCell ref="G140:H140"/>
    <mergeCell ref="B141:F141"/>
    <mergeCell ref="G141:H141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209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2097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1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41851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41851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41820</v>
      </c>
      <c r="F11" s="75">
        <f>EDATE(E11,1)</f>
        <v>41850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Июнь2014!F12</f>
        <v>1077132</v>
      </c>
      <c r="F12" s="87">
        <v>1078961</v>
      </c>
      <c r="G12" s="11">
        <f>F12-E12</f>
        <v>1829</v>
      </c>
      <c r="H12" s="59">
        <f>F12/E12-1</f>
        <v>1.6980277254783349E-3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Июнь2014!F13</f>
        <v>36150</v>
      </c>
      <c r="F13" s="87">
        <v>36135</v>
      </c>
      <c r="G13" s="11">
        <f t="shared" ref="G13:G17" si="0">F13-E13</f>
        <v>-15</v>
      </c>
      <c r="H13" s="59">
        <f t="shared" ref="H13:H18" si="1">F13/E13-1</f>
        <v>-4.1493775933609811E-4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Июнь2014!F14</f>
        <v>13333</v>
      </c>
      <c r="F14" s="87">
        <v>12581</v>
      </c>
      <c r="G14" s="11">
        <f t="shared" si="0"/>
        <v>-752</v>
      </c>
      <c r="H14" s="59">
        <f t="shared" si="1"/>
        <v>-5.6401410035250898E-2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Июнь2014!F15</f>
        <v>2830</v>
      </c>
      <c r="F15" s="87">
        <v>2873</v>
      </c>
      <c r="G15" s="11">
        <f t="shared" si="0"/>
        <v>43</v>
      </c>
      <c r="H15" s="59">
        <f t="shared" si="1"/>
        <v>1.5194346289752581E-2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Июнь2014!F16</f>
        <v>10503</v>
      </c>
      <c r="F16" s="87">
        <v>9708</v>
      </c>
      <c r="G16" s="11">
        <f t="shared" si="0"/>
        <v>-795</v>
      </c>
      <c r="H16" s="59">
        <f t="shared" si="1"/>
        <v>-7.5692659240217064E-2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Июнь2014!F17</f>
        <v>12925</v>
      </c>
      <c r="F17" s="87">
        <v>13018</v>
      </c>
      <c r="G17" s="11">
        <f t="shared" si="0"/>
        <v>93</v>
      </c>
      <c r="H17" s="59">
        <f t="shared" si="1"/>
        <v>7.1953578336556578E-3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Июнь2014!F18</f>
        <v>1139540</v>
      </c>
      <c r="F18" s="72">
        <v>1140695</v>
      </c>
      <c r="G18" s="72">
        <f>F18-E18</f>
        <v>1155</v>
      </c>
      <c r="H18" s="69">
        <f t="shared" si="1"/>
        <v>1.0135668778630258E-3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41820</v>
      </c>
      <c r="F22" s="75">
        <f>F11</f>
        <v>41850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Июнь2014!F23</f>
        <v>900250</v>
      </c>
      <c r="F23" s="87">
        <v>901853</v>
      </c>
      <c r="G23" s="11">
        <f>F23-E23</f>
        <v>1603</v>
      </c>
      <c r="H23" s="59">
        <f>F23/E23-1</f>
        <v>1.7806164954179415E-3</v>
      </c>
      <c r="I23" s="89"/>
    </row>
    <row r="24" spans="2:10" s="79" customFormat="1" ht="17.25">
      <c r="B24" s="158" t="s">
        <v>1</v>
      </c>
      <c r="C24" s="158"/>
      <c r="D24" s="159"/>
      <c r="E24" s="87">
        <f>Июнь2014!F24</f>
        <v>19811</v>
      </c>
      <c r="F24" s="87">
        <v>19846</v>
      </c>
      <c r="G24" s="11">
        <f t="shared" ref="G24:G29" si="2">F24-E24</f>
        <v>35</v>
      </c>
      <c r="H24" s="59">
        <f t="shared" ref="H24:H29" si="3">F24/E24-1</f>
        <v>1.7666952703043748E-3</v>
      </c>
      <c r="I24" s="89"/>
    </row>
    <row r="25" spans="2:10" s="79" customFormat="1" ht="17.25">
      <c r="B25" s="158" t="s">
        <v>2</v>
      </c>
      <c r="C25" s="158"/>
      <c r="D25" s="159"/>
      <c r="E25" s="87">
        <f>Июнь2014!F25</f>
        <v>7125</v>
      </c>
      <c r="F25" s="87">
        <v>7169</v>
      </c>
      <c r="G25" s="11">
        <f t="shared" si="2"/>
        <v>44</v>
      </c>
      <c r="H25" s="59">
        <f t="shared" si="3"/>
        <v>6.1754385964911673E-3</v>
      </c>
      <c r="I25" s="89"/>
    </row>
    <row r="26" spans="2:10" s="79" customFormat="1" ht="17.25">
      <c r="B26" s="164" t="s">
        <v>23</v>
      </c>
      <c r="C26" s="164"/>
      <c r="D26" s="165"/>
      <c r="E26" s="87">
        <f>Июнь2014!F26</f>
        <v>2753</v>
      </c>
      <c r="F26" s="87">
        <v>2800</v>
      </c>
      <c r="G26" s="11">
        <f t="shared" si="2"/>
        <v>47</v>
      </c>
      <c r="H26" s="59">
        <f t="shared" si="3"/>
        <v>1.707228478023981E-2</v>
      </c>
      <c r="I26" s="89"/>
    </row>
    <row r="27" spans="2:10" s="79" customFormat="1" ht="17.25">
      <c r="B27" s="166" t="s">
        <v>24</v>
      </c>
      <c r="C27" s="166"/>
      <c r="D27" s="167"/>
      <c r="E27" s="87">
        <f>Июнь2014!F27</f>
        <v>4372</v>
      </c>
      <c r="F27" s="87">
        <v>4369</v>
      </c>
      <c r="G27" s="11">
        <f t="shared" si="2"/>
        <v>-3</v>
      </c>
      <c r="H27" s="59">
        <f t="shared" si="3"/>
        <v>-6.8618481244286933E-4</v>
      </c>
      <c r="I27" s="89"/>
    </row>
    <row r="28" spans="2:10" s="79" customFormat="1" ht="18" thickBot="1">
      <c r="B28" s="168" t="s">
        <v>3</v>
      </c>
      <c r="C28" s="168"/>
      <c r="D28" s="169"/>
      <c r="E28" s="87">
        <f>Июнь2014!F28</f>
        <v>5175</v>
      </c>
      <c r="F28" s="87">
        <v>5207</v>
      </c>
      <c r="G28" s="11">
        <f t="shared" si="2"/>
        <v>32</v>
      </c>
      <c r="H28" s="59">
        <f t="shared" si="3"/>
        <v>6.1835748792271605E-3</v>
      </c>
      <c r="I28" s="89"/>
    </row>
    <row r="29" spans="2:10" s="70" customFormat="1" ht="18" thickBot="1">
      <c r="B29" s="60" t="s">
        <v>4</v>
      </c>
      <c r="C29" s="60"/>
      <c r="D29" s="61"/>
      <c r="E29" s="72">
        <f>Июнь2014!F29</f>
        <v>932361</v>
      </c>
      <c r="F29" s="72">
        <v>934075</v>
      </c>
      <c r="G29" s="72">
        <f t="shared" si="2"/>
        <v>1714</v>
      </c>
      <c r="H29" s="69">
        <f t="shared" si="3"/>
        <v>1.8383437316662476E-3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41820</v>
      </c>
      <c r="F33" s="73">
        <f>EDATE(E33,1)</f>
        <v>41850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7">
        <f>Июнь2014!F34</f>
        <v>54480</v>
      </c>
      <c r="F34" s="81">
        <v>57118</v>
      </c>
      <c r="G34" s="11">
        <f t="shared" ref="G34:G40" si="4">F34-E34</f>
        <v>2638</v>
      </c>
      <c r="H34" s="59">
        <f t="shared" ref="H34:H40" si="5">F34/E34-1</f>
        <v>4.8421439060205573E-2</v>
      </c>
      <c r="I34" s="58"/>
    </row>
    <row r="35" spans="2:9" ht="17.25">
      <c r="B35" s="138" t="s">
        <v>1</v>
      </c>
      <c r="C35" s="138"/>
      <c r="D35" s="139"/>
      <c r="E35" s="87">
        <f>Июнь2014!F35</f>
        <v>1276</v>
      </c>
      <c r="F35" s="81">
        <v>1191</v>
      </c>
      <c r="G35" s="11">
        <f t="shared" si="4"/>
        <v>-85</v>
      </c>
      <c r="H35" s="59">
        <f t="shared" si="5"/>
        <v>-6.6614420062695912E-2</v>
      </c>
      <c r="I35" s="58"/>
    </row>
    <row r="36" spans="2:9" ht="17.25">
      <c r="B36" s="138" t="s">
        <v>2</v>
      </c>
      <c r="C36" s="138"/>
      <c r="D36" s="139"/>
      <c r="E36" s="87">
        <f>Июнь2014!F36</f>
        <v>581</v>
      </c>
      <c r="F36" s="81">
        <v>578</v>
      </c>
      <c r="G36" s="11">
        <f t="shared" si="4"/>
        <v>-3</v>
      </c>
      <c r="H36" s="59">
        <f t="shared" si="5"/>
        <v>-5.1635111876076056E-3</v>
      </c>
      <c r="I36" s="58"/>
    </row>
    <row r="37" spans="2:9" ht="17.25">
      <c r="B37" s="164" t="s">
        <v>23</v>
      </c>
      <c r="C37" s="164"/>
      <c r="D37" s="165"/>
      <c r="E37" s="87">
        <f>Июнь2014!F37</f>
        <v>174</v>
      </c>
      <c r="F37" s="81">
        <v>171</v>
      </c>
      <c r="G37" s="11">
        <f t="shared" si="4"/>
        <v>-3</v>
      </c>
      <c r="H37" s="59">
        <f t="shared" si="5"/>
        <v>-1.7241379310344862E-2</v>
      </c>
      <c r="I37" s="58"/>
    </row>
    <row r="38" spans="2:9" ht="17.25">
      <c r="B38" s="166" t="s">
        <v>24</v>
      </c>
      <c r="C38" s="166"/>
      <c r="D38" s="167"/>
      <c r="E38" s="87">
        <f>Июнь2014!F38</f>
        <v>407</v>
      </c>
      <c r="F38" s="81">
        <v>407</v>
      </c>
      <c r="G38" s="11">
        <f t="shared" si="4"/>
        <v>0</v>
      </c>
      <c r="H38" s="59">
        <f t="shared" si="5"/>
        <v>0</v>
      </c>
      <c r="I38" s="58"/>
    </row>
    <row r="39" spans="2:9" ht="18" thickBot="1">
      <c r="B39" s="183" t="s">
        <v>3</v>
      </c>
      <c r="C39" s="183"/>
      <c r="D39" s="184"/>
      <c r="E39" s="87">
        <f>Июнь2014!F39</f>
        <v>723</v>
      </c>
      <c r="F39" s="81">
        <v>727</v>
      </c>
      <c r="G39" s="11">
        <f t="shared" si="4"/>
        <v>4</v>
      </c>
      <c r="H39" s="59">
        <f t="shared" si="5"/>
        <v>5.5325034578146415E-3</v>
      </c>
      <c r="I39" s="58"/>
    </row>
    <row r="40" spans="2:9" s="70" customFormat="1" ht="18" thickBot="1">
      <c r="B40" s="60" t="s">
        <v>4</v>
      </c>
      <c r="C40" s="60"/>
      <c r="D40" s="61"/>
      <c r="E40" s="72">
        <f>Июнь2014!F40</f>
        <v>57060</v>
      </c>
      <c r="F40" s="72">
        <v>59614</v>
      </c>
      <c r="G40" s="72">
        <f t="shared" si="4"/>
        <v>2554</v>
      </c>
      <c r="H40" s="69">
        <f t="shared" si="5"/>
        <v>4.4759901857693629E-2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41698</v>
      </c>
      <c r="D83" s="75">
        <f>EDATE(E83,-1)</f>
        <v>41728</v>
      </c>
      <c r="E83" s="75">
        <f>EDATE(F83,-1)</f>
        <v>41759</v>
      </c>
      <c r="F83" s="75">
        <f>EDATE(G83,-1)</f>
        <v>41789</v>
      </c>
      <c r="G83" s="75">
        <f>EDATE(H83,-1)</f>
        <v>41820</v>
      </c>
      <c r="H83" s="75">
        <f>EDATE(E11,1)</f>
        <v>41850</v>
      </c>
      <c r="I83"/>
      <c r="J83"/>
    </row>
    <row r="84" spans="2:11" ht="16.5" customHeight="1">
      <c r="B84" s="25" t="s">
        <v>0</v>
      </c>
      <c r="C84" s="83">
        <v>886594</v>
      </c>
      <c r="D84" s="83">
        <v>892693</v>
      </c>
      <c r="E84" s="83">
        <v>896413</v>
      </c>
      <c r="F84" s="83">
        <v>897706</v>
      </c>
      <c r="G84" s="83">
        <v>900250</v>
      </c>
      <c r="H84" s="83">
        <v>901853</v>
      </c>
    </row>
    <row r="85" spans="2:11" ht="16.5" customHeight="1">
      <c r="B85" s="26" t="s">
        <v>1</v>
      </c>
      <c r="C85" s="84">
        <v>19633</v>
      </c>
      <c r="D85" s="84">
        <v>19706</v>
      </c>
      <c r="E85" s="84">
        <v>19733</v>
      </c>
      <c r="F85" s="84">
        <v>19759</v>
      </c>
      <c r="G85" s="84">
        <v>19811</v>
      </c>
      <c r="H85" s="84">
        <v>19846</v>
      </c>
    </row>
    <row r="86" spans="2:11" ht="16.5" customHeight="1">
      <c r="B86" s="27" t="s">
        <v>2</v>
      </c>
      <c r="C86" s="86">
        <v>7064</v>
      </c>
      <c r="D86" s="86">
        <v>6815</v>
      </c>
      <c r="E86" s="86">
        <v>6885</v>
      </c>
      <c r="F86" s="86">
        <v>6946</v>
      </c>
      <c r="G86" s="86">
        <v>7125</v>
      </c>
      <c r="H86" s="86">
        <v>7169</v>
      </c>
    </row>
    <row r="87" spans="2:11" ht="16.5" customHeight="1" thickBot="1">
      <c r="B87" s="28" t="s">
        <v>3</v>
      </c>
      <c r="C87" s="82">
        <v>5217</v>
      </c>
      <c r="D87" s="82">
        <v>5226</v>
      </c>
      <c r="E87" s="82">
        <v>5192</v>
      </c>
      <c r="F87" s="82">
        <v>5159</v>
      </c>
      <c r="G87" s="82">
        <v>5175</v>
      </c>
      <c r="H87" s="82">
        <v>5207</v>
      </c>
    </row>
    <row r="88" spans="2:11" s="71" customFormat="1" ht="18" thickBot="1">
      <c r="B88" s="118" t="s">
        <v>4</v>
      </c>
      <c r="C88" s="85">
        <v>918508</v>
      </c>
      <c r="D88" s="85">
        <v>924440</v>
      </c>
      <c r="E88" s="85">
        <v>928223</v>
      </c>
      <c r="F88" s="85">
        <v>929570</v>
      </c>
      <c r="G88" s="85">
        <v>932361</v>
      </c>
      <c r="H88" s="85">
        <v>934075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59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438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41851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60">
        <v>207953</v>
      </c>
      <c r="H139" s="161"/>
      <c r="I139" s="47"/>
      <c r="J139" s="50"/>
    </row>
    <row r="140" spans="2:10" ht="13.5" customHeight="1">
      <c r="B140" s="138" t="s">
        <v>32</v>
      </c>
      <c r="C140" s="138"/>
      <c r="D140" s="138"/>
      <c r="E140" s="138"/>
      <c r="F140" s="139"/>
      <c r="G140" s="162">
        <v>181643</v>
      </c>
      <c r="H140" s="163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62">
        <v>119528</v>
      </c>
      <c r="H141" s="163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62">
        <v>115909</v>
      </c>
      <c r="H142" s="163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62">
        <v>61072</v>
      </c>
      <c r="H143" s="163"/>
      <c r="I143" s="47"/>
      <c r="J143" s="50"/>
    </row>
    <row r="144" spans="2:10" ht="13.5" customHeight="1">
      <c r="B144" s="138" t="s">
        <v>36</v>
      </c>
      <c r="C144" s="138"/>
      <c r="D144" s="138"/>
      <c r="E144" s="138"/>
      <c r="F144" s="139"/>
      <c r="G144" s="162">
        <v>44911</v>
      </c>
      <c r="H144" s="163"/>
      <c r="I144" s="51"/>
      <c r="J144" s="50"/>
    </row>
    <row r="145" spans="2:13" ht="17.25" customHeight="1">
      <c r="B145" s="138" t="s">
        <v>56</v>
      </c>
      <c r="C145" s="138"/>
      <c r="D145" s="138"/>
      <c r="E145" s="138"/>
      <c r="F145" s="139"/>
      <c r="G145" s="162">
        <v>44759</v>
      </c>
      <c r="H145" s="163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62">
        <v>30321</v>
      </c>
      <c r="H146" s="163"/>
      <c r="I146" s="47"/>
      <c r="J146" s="50"/>
    </row>
    <row r="147" spans="2:13" ht="17.25" customHeight="1">
      <c r="B147" s="138" t="s">
        <v>39</v>
      </c>
      <c r="C147" s="138"/>
      <c r="D147" s="138"/>
      <c r="E147" s="138"/>
      <c r="F147" s="139"/>
      <c r="G147" s="162">
        <v>20946</v>
      </c>
      <c r="H147" s="163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96">
        <v>19659</v>
      </c>
      <c r="H148" s="197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10947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9184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8726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6578</v>
      </c>
      <c r="H157" s="163"/>
      <c r="I157" s="53"/>
      <c r="J157" s="50"/>
      <c r="K157" s="49"/>
      <c r="L157"/>
      <c r="M157"/>
    </row>
    <row r="158" spans="2:13" ht="17.25" customHeight="1">
      <c r="B158" s="138" t="s">
        <v>56</v>
      </c>
      <c r="C158" s="138"/>
      <c r="D158" s="138"/>
      <c r="E158" s="138"/>
      <c r="F158" s="139"/>
      <c r="G158" s="162">
        <v>4194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/>
      <c r="D159" s="138"/>
      <c r="E159" s="138"/>
      <c r="F159" s="139"/>
      <c r="G159" s="162">
        <v>3653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2661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1854</v>
      </c>
      <c r="H161" s="163"/>
      <c r="I161" s="53"/>
      <c r="J161" s="50"/>
      <c r="K161" s="49"/>
      <c r="L161"/>
      <c r="M161"/>
    </row>
    <row r="162" spans="2:13" ht="17.25">
      <c r="B162" s="138" t="s">
        <v>38</v>
      </c>
      <c r="C162" s="138"/>
      <c r="D162" s="138"/>
      <c r="E162" s="138"/>
      <c r="F162" s="139"/>
      <c r="G162" s="162">
        <v>1331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47</v>
      </c>
      <c r="C163" s="142"/>
      <c r="D163" s="142"/>
      <c r="E163" s="142"/>
      <c r="F163" s="143"/>
      <c r="G163" s="196">
        <v>1324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6" t="s">
        <v>19</v>
      </c>
      <c r="C168" s="116"/>
      <c r="D168" s="116"/>
      <c r="E168" s="116"/>
      <c r="F168" s="117"/>
      <c r="G168" s="190" t="s">
        <v>9</v>
      </c>
      <c r="H168" s="190"/>
      <c r="I168" s="2"/>
      <c r="J168" s="2"/>
    </row>
    <row r="169" spans="2:13" ht="17.25" customHeight="1">
      <c r="B169" s="136" t="s">
        <v>56</v>
      </c>
      <c r="C169" s="136"/>
      <c r="D169" s="136"/>
      <c r="E169" s="136"/>
      <c r="F169" s="137"/>
      <c r="G169" s="160">
        <v>1122448458623.26</v>
      </c>
      <c r="H169" s="161"/>
      <c r="I169" s="55"/>
      <c r="J169" s="56"/>
    </row>
    <row r="170" spans="2:13" ht="17.25" customHeight="1">
      <c r="B170" s="138" t="s">
        <v>34</v>
      </c>
      <c r="C170" s="138"/>
      <c r="D170" s="138"/>
      <c r="E170" s="138"/>
      <c r="F170" s="139"/>
      <c r="G170" s="162">
        <v>742509183283.04797</v>
      </c>
      <c r="H170" s="163"/>
      <c r="I170" s="55"/>
      <c r="J170" s="56"/>
    </row>
    <row r="171" spans="2:13" ht="17.25" customHeight="1">
      <c r="B171" s="138" t="s">
        <v>32</v>
      </c>
      <c r="C171" s="138"/>
      <c r="D171" s="138"/>
      <c r="E171" s="138"/>
      <c r="F171" s="139"/>
      <c r="G171" s="162">
        <v>631442391329.92004</v>
      </c>
      <c r="H171" s="163"/>
      <c r="I171" s="55"/>
      <c r="J171" s="56"/>
    </row>
    <row r="172" spans="2:13" ht="17.25" customHeight="1">
      <c r="B172" s="138" t="s">
        <v>42</v>
      </c>
      <c r="C172" s="138"/>
      <c r="D172" s="138"/>
      <c r="E172" s="138"/>
      <c r="F172" s="139"/>
      <c r="G172" s="162">
        <v>424256201171.61499</v>
      </c>
      <c r="H172" s="163"/>
      <c r="I172" s="55"/>
      <c r="J172" s="56"/>
    </row>
    <row r="173" spans="2:13" ht="17.25" customHeight="1">
      <c r="B173" s="138" t="s">
        <v>33</v>
      </c>
      <c r="C173" s="138"/>
      <c r="D173" s="138"/>
      <c r="E173" s="138"/>
      <c r="F173" s="139"/>
      <c r="G173" s="162">
        <v>371811200916.69598</v>
      </c>
      <c r="H173" s="163"/>
      <c r="I173" s="57"/>
      <c r="J173" s="50"/>
    </row>
    <row r="174" spans="2:13" ht="17.25" customHeight="1">
      <c r="B174" s="138" t="s">
        <v>46</v>
      </c>
      <c r="C174" s="138"/>
      <c r="D174" s="138"/>
      <c r="E174" s="138"/>
      <c r="F174" s="139"/>
      <c r="G174" s="162">
        <v>318081722302.33002</v>
      </c>
      <c r="H174" s="163"/>
      <c r="I174" s="55"/>
      <c r="J174" s="56"/>
    </row>
    <row r="175" spans="2:13" ht="17.25" customHeight="1">
      <c r="B175" s="138" t="s">
        <v>45</v>
      </c>
      <c r="C175" s="138"/>
      <c r="D175" s="138"/>
      <c r="E175" s="138"/>
      <c r="F175" s="139"/>
      <c r="G175" s="162">
        <v>171286409256.89999</v>
      </c>
      <c r="H175" s="163"/>
      <c r="I175" s="55"/>
      <c r="J175" s="56"/>
    </row>
    <row r="176" spans="2:13" ht="17.25" customHeight="1">
      <c r="B176" s="138" t="s">
        <v>38</v>
      </c>
      <c r="C176" s="138"/>
      <c r="D176" s="138"/>
      <c r="E176" s="138"/>
      <c r="F176" s="139"/>
      <c r="G176" s="162">
        <v>142318806520.41101</v>
      </c>
      <c r="H176" s="163"/>
      <c r="I176" s="55"/>
      <c r="J176" s="56"/>
    </row>
    <row r="177" spans="2:10" ht="17.25" customHeight="1">
      <c r="B177" s="138" t="s">
        <v>48</v>
      </c>
      <c r="C177" s="138"/>
      <c r="D177" s="138"/>
      <c r="E177" s="138"/>
      <c r="F177" s="139"/>
      <c r="G177" s="162">
        <v>135441092279.02</v>
      </c>
      <c r="H177" s="163"/>
      <c r="I177" s="55"/>
      <c r="J177" s="56"/>
    </row>
    <row r="178" spans="2:10" ht="18" customHeight="1" thickBot="1">
      <c r="B178" s="142" t="s">
        <v>41</v>
      </c>
      <c r="C178" s="142"/>
      <c r="D178" s="142"/>
      <c r="E178" s="142"/>
      <c r="F178" s="143"/>
      <c r="G178" s="196">
        <v>129435406213.87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3:D13"/>
    <mergeCell ref="B24:D24"/>
    <mergeCell ref="B25:D25"/>
    <mergeCell ref="B26:D26"/>
    <mergeCell ref="B2:H2"/>
    <mergeCell ref="B3:H3"/>
    <mergeCell ref="I3:N3"/>
    <mergeCell ref="B11:D11"/>
    <mergeCell ref="B12:D12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34:D34"/>
    <mergeCell ref="B35:D35"/>
    <mergeCell ref="B36:D36"/>
    <mergeCell ref="B37:D37"/>
    <mergeCell ref="B38:D38"/>
    <mergeCell ref="B54:D54"/>
    <mergeCell ref="B128:F128"/>
    <mergeCell ref="G128:H128"/>
    <mergeCell ref="H48:I48"/>
    <mergeCell ref="B49:D49"/>
    <mergeCell ref="B50:D50"/>
    <mergeCell ref="B51:D51"/>
    <mergeCell ref="B52:D52"/>
    <mergeCell ref="B53:D53"/>
    <mergeCell ref="B129:F129"/>
    <mergeCell ref="G129:H129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69:F169"/>
    <mergeCell ref="G169:H169"/>
    <mergeCell ref="B159:F159"/>
    <mergeCell ref="G159:H159"/>
    <mergeCell ref="B160:F160"/>
    <mergeCell ref="G160:H160"/>
    <mergeCell ref="B161:F161"/>
    <mergeCell ref="G161:H161"/>
    <mergeCell ref="B162:F162"/>
    <mergeCell ref="G162:H162"/>
    <mergeCell ref="B163:F163"/>
    <mergeCell ref="G163:H163"/>
    <mergeCell ref="G168:H168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B174:F174"/>
    <mergeCell ref="G174:H174"/>
    <mergeCell ref="B175:F175"/>
    <mergeCell ref="G175:H175"/>
    <mergeCell ref="B176:F176"/>
    <mergeCell ref="G176:H176"/>
    <mergeCell ref="B177:F177"/>
    <mergeCell ref="G177:H177"/>
    <mergeCell ref="B178:F178"/>
    <mergeCell ref="G178:H178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312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3121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2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41882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41882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41851</v>
      </c>
      <c r="F11" s="75">
        <f>EDATE(E11,1)</f>
        <v>41882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1">
        <f>Июль2014!F12</f>
        <v>1078961</v>
      </c>
      <c r="F12" s="87">
        <v>1093326</v>
      </c>
      <c r="G12" s="11">
        <f t="shared" ref="G12:G18" si="0">F12-E12</f>
        <v>14365</v>
      </c>
      <c r="H12" s="59">
        <f t="shared" ref="H12:H18" si="1">F12/E12-1</f>
        <v>1.3313734231357843E-2</v>
      </c>
      <c r="I12" s="88"/>
      <c r="J12" s="89"/>
    </row>
    <row r="13" spans="2:14" s="79" customFormat="1" ht="17.25">
      <c r="B13" s="158" t="s">
        <v>1</v>
      </c>
      <c r="C13" s="158"/>
      <c r="D13" s="159"/>
      <c r="E13" s="81">
        <f>Июль2014!F13</f>
        <v>36135</v>
      </c>
      <c r="F13" s="87">
        <v>35687</v>
      </c>
      <c r="G13" s="11">
        <f t="shared" si="0"/>
        <v>-448</v>
      </c>
      <c r="H13" s="59">
        <f t="shared" si="1"/>
        <v>-1.2397952123979539E-2</v>
      </c>
      <c r="I13" s="88"/>
      <c r="J13" s="89"/>
    </row>
    <row r="14" spans="2:14" s="79" customFormat="1" ht="17.25">
      <c r="B14" s="158" t="s">
        <v>2</v>
      </c>
      <c r="C14" s="158"/>
      <c r="D14" s="159"/>
      <c r="E14" s="81">
        <f>Июль2014!F14</f>
        <v>12581</v>
      </c>
      <c r="F14" s="87">
        <v>12704</v>
      </c>
      <c r="G14" s="11">
        <f t="shared" si="0"/>
        <v>123</v>
      </c>
      <c r="H14" s="59">
        <f t="shared" si="1"/>
        <v>9.7766473253317887E-3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1">
        <f>Июль2014!F15</f>
        <v>2873</v>
      </c>
      <c r="F15" s="87">
        <v>2995</v>
      </c>
      <c r="G15" s="11">
        <f t="shared" si="0"/>
        <v>122</v>
      </c>
      <c r="H15" s="59">
        <f t="shared" si="1"/>
        <v>4.2464323007309401E-2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1">
        <f>Июль2014!F16</f>
        <v>9708</v>
      </c>
      <c r="F16" s="87">
        <v>9709</v>
      </c>
      <c r="G16" s="11">
        <f t="shared" si="0"/>
        <v>1</v>
      </c>
      <c r="H16" s="59">
        <f t="shared" si="1"/>
        <v>1.0300782859506974E-4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1">
        <f>Июль2014!F17</f>
        <v>13018</v>
      </c>
      <c r="F17" s="87">
        <v>12967</v>
      </c>
      <c r="G17" s="11">
        <f t="shared" si="0"/>
        <v>-51</v>
      </c>
      <c r="H17" s="59">
        <f t="shared" si="1"/>
        <v>-3.9176524811799229E-3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Июль2014!F18</f>
        <v>1140695</v>
      </c>
      <c r="F18" s="72">
        <v>1154684</v>
      </c>
      <c r="G18" s="72">
        <f t="shared" si="0"/>
        <v>13989</v>
      </c>
      <c r="H18" s="69">
        <f t="shared" si="1"/>
        <v>1.226357615313467E-2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41851</v>
      </c>
      <c r="F22" s="75">
        <f>F11</f>
        <v>41882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1">
        <f>Июль2014!F23</f>
        <v>901853</v>
      </c>
      <c r="F23" s="87">
        <v>915943</v>
      </c>
      <c r="G23" s="11">
        <f>F23-E23</f>
        <v>14090</v>
      </c>
      <c r="H23" s="59">
        <f>F23/E23-1</f>
        <v>1.5623388734084198E-2</v>
      </c>
      <c r="I23" s="89"/>
    </row>
    <row r="24" spans="2:10" s="79" customFormat="1" ht="17.25">
      <c r="B24" s="158" t="s">
        <v>1</v>
      </c>
      <c r="C24" s="158"/>
      <c r="D24" s="159"/>
      <c r="E24" s="81">
        <f>Июль2014!F24</f>
        <v>19846</v>
      </c>
      <c r="F24" s="87">
        <v>19872</v>
      </c>
      <c r="G24" s="11">
        <f t="shared" ref="G24:G29" si="2">F24-E24</f>
        <v>26</v>
      </c>
      <c r="H24" s="59">
        <f t="shared" ref="H24:H29" si="3">F24/E24-1</f>
        <v>1.3100876750982149E-3</v>
      </c>
      <c r="I24" s="89"/>
    </row>
    <row r="25" spans="2:10" s="79" customFormat="1" ht="17.25">
      <c r="B25" s="158" t="s">
        <v>2</v>
      </c>
      <c r="C25" s="158"/>
      <c r="D25" s="159"/>
      <c r="E25" s="81">
        <f>Июль2014!F25</f>
        <v>7169</v>
      </c>
      <c r="F25" s="87">
        <v>7273</v>
      </c>
      <c r="G25" s="11">
        <f t="shared" si="2"/>
        <v>104</v>
      </c>
      <c r="H25" s="59">
        <f t="shared" si="3"/>
        <v>1.4506904728692982E-2</v>
      </c>
      <c r="I25" s="89"/>
    </row>
    <row r="26" spans="2:10" s="79" customFormat="1" ht="17.25">
      <c r="B26" s="164" t="s">
        <v>23</v>
      </c>
      <c r="C26" s="164"/>
      <c r="D26" s="165"/>
      <c r="E26" s="81">
        <f>Июль2014!F26</f>
        <v>2800</v>
      </c>
      <c r="F26" s="87">
        <v>2920</v>
      </c>
      <c r="G26" s="11">
        <f t="shared" si="2"/>
        <v>120</v>
      </c>
      <c r="H26" s="59">
        <f t="shared" si="3"/>
        <v>4.2857142857142927E-2</v>
      </c>
      <c r="I26" s="89"/>
    </row>
    <row r="27" spans="2:10" s="79" customFormat="1" ht="17.25">
      <c r="B27" s="166" t="s">
        <v>24</v>
      </c>
      <c r="C27" s="166"/>
      <c r="D27" s="167"/>
      <c r="E27" s="81">
        <f>Июль2014!F27</f>
        <v>4369</v>
      </c>
      <c r="F27" s="87">
        <v>4353</v>
      </c>
      <c r="G27" s="11">
        <f t="shared" si="2"/>
        <v>-16</v>
      </c>
      <c r="H27" s="59">
        <f t="shared" si="3"/>
        <v>-3.6621652552071282E-3</v>
      </c>
      <c r="I27" s="89"/>
    </row>
    <row r="28" spans="2:10" s="79" customFormat="1" ht="18" thickBot="1">
      <c r="B28" s="168" t="s">
        <v>3</v>
      </c>
      <c r="C28" s="168"/>
      <c r="D28" s="169"/>
      <c r="E28" s="81">
        <f>Июль2014!F28</f>
        <v>5207</v>
      </c>
      <c r="F28" s="87">
        <v>5173</v>
      </c>
      <c r="G28" s="11">
        <f t="shared" si="2"/>
        <v>-34</v>
      </c>
      <c r="H28" s="59">
        <f t="shared" si="3"/>
        <v>-6.5296715959285434E-3</v>
      </c>
      <c r="I28" s="89"/>
    </row>
    <row r="29" spans="2:10" s="70" customFormat="1" ht="18" thickBot="1">
      <c r="B29" s="60" t="s">
        <v>4</v>
      </c>
      <c r="C29" s="60"/>
      <c r="D29" s="61"/>
      <c r="E29" s="72">
        <f>Июль2014!F29</f>
        <v>934075</v>
      </c>
      <c r="F29" s="72">
        <v>948261</v>
      </c>
      <c r="G29" s="72">
        <f t="shared" si="2"/>
        <v>14186</v>
      </c>
      <c r="H29" s="69">
        <f t="shared" si="3"/>
        <v>1.518721730053807E-2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41851</v>
      </c>
      <c r="F33" s="73">
        <f>EDATE(E33,1)</f>
        <v>41882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Июль2014!F34</f>
        <v>57118</v>
      </c>
      <c r="F34" s="81">
        <v>56112</v>
      </c>
      <c r="G34" s="11">
        <f t="shared" ref="G34:G40" si="4">F34-E34</f>
        <v>-1006</v>
      </c>
      <c r="H34" s="59">
        <f t="shared" ref="H34:H40" si="5">F34/E34-1</f>
        <v>-1.7612661507755867E-2</v>
      </c>
      <c r="I34" s="58"/>
    </row>
    <row r="35" spans="2:9" ht="17.25">
      <c r="B35" s="138" t="s">
        <v>1</v>
      </c>
      <c r="C35" s="138"/>
      <c r="D35" s="139"/>
      <c r="E35" s="81">
        <f>Июль2014!F35</f>
        <v>1191</v>
      </c>
      <c r="F35" s="81">
        <v>1143</v>
      </c>
      <c r="G35" s="11">
        <f t="shared" si="4"/>
        <v>-48</v>
      </c>
      <c r="H35" s="59">
        <f t="shared" si="5"/>
        <v>-4.0302267002518932E-2</v>
      </c>
      <c r="I35" s="58"/>
    </row>
    <row r="36" spans="2:9" ht="17.25">
      <c r="B36" s="138" t="s">
        <v>2</v>
      </c>
      <c r="C36" s="138"/>
      <c r="D36" s="139"/>
      <c r="E36" s="81">
        <f>Июль2014!F36</f>
        <v>578</v>
      </c>
      <c r="F36" s="81">
        <v>565</v>
      </c>
      <c r="G36" s="11">
        <f t="shared" si="4"/>
        <v>-13</v>
      </c>
      <c r="H36" s="59">
        <f t="shared" si="5"/>
        <v>-2.249134948096887E-2</v>
      </c>
      <c r="I36" s="58"/>
    </row>
    <row r="37" spans="2:9" ht="17.25">
      <c r="B37" s="164" t="s">
        <v>23</v>
      </c>
      <c r="C37" s="164"/>
      <c r="D37" s="165"/>
      <c r="E37" s="81">
        <f>Июль2014!F37</f>
        <v>171</v>
      </c>
      <c r="F37" s="81">
        <v>183</v>
      </c>
      <c r="G37" s="11">
        <f t="shared" si="4"/>
        <v>12</v>
      </c>
      <c r="H37" s="59">
        <f t="shared" si="5"/>
        <v>7.0175438596491224E-2</v>
      </c>
      <c r="I37" s="58"/>
    </row>
    <row r="38" spans="2:9" ht="17.25">
      <c r="B38" s="166" t="s">
        <v>24</v>
      </c>
      <c r="C38" s="166"/>
      <c r="D38" s="167"/>
      <c r="E38" s="81">
        <f>Июль2014!F38</f>
        <v>407</v>
      </c>
      <c r="F38" s="81">
        <v>382</v>
      </c>
      <c r="G38" s="11">
        <f t="shared" si="4"/>
        <v>-25</v>
      </c>
      <c r="H38" s="59">
        <f t="shared" si="5"/>
        <v>-6.1425061425061434E-2</v>
      </c>
      <c r="I38" s="58"/>
    </row>
    <row r="39" spans="2:9" ht="18" thickBot="1">
      <c r="B39" s="183" t="s">
        <v>3</v>
      </c>
      <c r="C39" s="183"/>
      <c r="D39" s="184"/>
      <c r="E39" s="81">
        <f>Июль2014!F39</f>
        <v>727</v>
      </c>
      <c r="F39" s="81">
        <v>667</v>
      </c>
      <c r="G39" s="11">
        <f t="shared" si="4"/>
        <v>-60</v>
      </c>
      <c r="H39" s="59">
        <f t="shared" si="5"/>
        <v>-8.2530949105914742E-2</v>
      </c>
      <c r="I39" s="58"/>
    </row>
    <row r="40" spans="2:9" s="70" customFormat="1" ht="18" thickBot="1">
      <c r="B40" s="60" t="s">
        <v>4</v>
      </c>
      <c r="C40" s="60"/>
      <c r="D40" s="61"/>
      <c r="E40" s="72">
        <f>Июль2014!F40</f>
        <v>59614</v>
      </c>
      <c r="F40" s="72">
        <v>58487</v>
      </c>
      <c r="G40" s="72">
        <f t="shared" si="4"/>
        <v>-1127</v>
      </c>
      <c r="H40" s="69">
        <f t="shared" si="5"/>
        <v>-1.8904955211862973E-2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41728</v>
      </c>
      <c r="D83" s="75">
        <f>EDATE(E83,-1)</f>
        <v>41759</v>
      </c>
      <c r="E83" s="75">
        <f>EDATE(F83,-1)</f>
        <v>41789</v>
      </c>
      <c r="F83" s="75">
        <f>EDATE(G83,-1)</f>
        <v>41820</v>
      </c>
      <c r="G83" s="75">
        <f>EDATE(H83,-1)</f>
        <v>41851</v>
      </c>
      <c r="H83" s="75">
        <f>EDATE(E11,1)</f>
        <v>41882</v>
      </c>
      <c r="I83"/>
      <c r="J83"/>
    </row>
    <row r="84" spans="2:11" ht="16.5" customHeight="1">
      <c r="B84" s="25" t="s">
        <v>0</v>
      </c>
      <c r="C84" s="83">
        <v>892693</v>
      </c>
      <c r="D84" s="83">
        <v>896413</v>
      </c>
      <c r="E84" s="83">
        <v>897706</v>
      </c>
      <c r="F84" s="83">
        <v>900250</v>
      </c>
      <c r="G84" s="83">
        <v>901853</v>
      </c>
      <c r="H84" s="83">
        <v>915943</v>
      </c>
    </row>
    <row r="85" spans="2:11" ht="16.5" customHeight="1">
      <c r="B85" s="26" t="s">
        <v>1</v>
      </c>
      <c r="C85" s="84">
        <v>19706</v>
      </c>
      <c r="D85" s="84">
        <v>19733</v>
      </c>
      <c r="E85" s="84">
        <v>19759</v>
      </c>
      <c r="F85" s="84">
        <v>19811</v>
      </c>
      <c r="G85" s="84">
        <v>19846</v>
      </c>
      <c r="H85" s="84">
        <v>19872</v>
      </c>
    </row>
    <row r="86" spans="2:11" ht="16.5" customHeight="1">
      <c r="B86" s="27" t="s">
        <v>2</v>
      </c>
      <c r="C86" s="86">
        <v>6815</v>
      </c>
      <c r="D86" s="86">
        <v>6885</v>
      </c>
      <c r="E86" s="86">
        <v>6946</v>
      </c>
      <c r="F86" s="86">
        <v>7125</v>
      </c>
      <c r="G86" s="86">
        <v>7169</v>
      </c>
      <c r="H86" s="86">
        <v>7273</v>
      </c>
    </row>
    <row r="87" spans="2:11" ht="16.5" customHeight="1" thickBot="1">
      <c r="B87" s="28" t="s">
        <v>3</v>
      </c>
      <c r="C87" s="82">
        <v>5226</v>
      </c>
      <c r="D87" s="82">
        <v>5192</v>
      </c>
      <c r="E87" s="82">
        <v>5159</v>
      </c>
      <c r="F87" s="82">
        <v>5175</v>
      </c>
      <c r="G87" s="82">
        <v>5207</v>
      </c>
      <c r="H87" s="82">
        <v>5173</v>
      </c>
    </row>
    <row r="88" spans="2:11" s="71" customFormat="1" ht="18" thickBot="1">
      <c r="B88" s="121" t="s">
        <v>4</v>
      </c>
      <c r="C88" s="85">
        <v>924440</v>
      </c>
      <c r="D88" s="85">
        <v>928223</v>
      </c>
      <c r="E88" s="85">
        <v>929570</v>
      </c>
      <c r="F88" s="85">
        <v>932361</v>
      </c>
      <c r="G88" s="85">
        <v>934075</v>
      </c>
      <c r="H88" s="85">
        <v>948261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60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432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41882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60">
        <v>208753</v>
      </c>
      <c r="H139" s="161"/>
      <c r="I139" s="47"/>
      <c r="J139" s="50"/>
    </row>
    <row r="140" spans="2:10" ht="13.5" customHeight="1">
      <c r="B140" s="138" t="s">
        <v>32</v>
      </c>
      <c r="C140" s="138"/>
      <c r="D140" s="138"/>
      <c r="E140" s="138"/>
      <c r="F140" s="139"/>
      <c r="G140" s="162">
        <v>173330</v>
      </c>
      <c r="H140" s="163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62">
        <v>120034</v>
      </c>
      <c r="H141" s="163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62">
        <v>116442</v>
      </c>
      <c r="H142" s="163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62">
        <v>61152</v>
      </c>
      <c r="H143" s="163"/>
      <c r="I143" s="47"/>
      <c r="J143" s="50"/>
    </row>
    <row r="144" spans="2:10" ht="13.5" customHeight="1">
      <c r="B144" s="138" t="s">
        <v>56</v>
      </c>
      <c r="C144" s="138"/>
      <c r="D144" s="138"/>
      <c r="E144" s="138"/>
      <c r="F144" s="139"/>
      <c r="G144" s="162">
        <v>45330</v>
      </c>
      <c r="H144" s="163"/>
      <c r="I144" s="51"/>
      <c r="J144" s="50"/>
    </row>
    <row r="145" spans="2:13" ht="17.25" customHeight="1">
      <c r="B145" s="138" t="s">
        <v>36</v>
      </c>
      <c r="C145" s="138"/>
      <c r="D145" s="138"/>
      <c r="E145" s="138"/>
      <c r="F145" s="139"/>
      <c r="G145" s="162">
        <v>45031</v>
      </c>
      <c r="H145" s="163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62">
        <v>30370</v>
      </c>
      <c r="H146" s="163"/>
      <c r="I146" s="47"/>
      <c r="J146" s="50"/>
    </row>
    <row r="147" spans="2:13" ht="17.25" customHeight="1">
      <c r="B147" s="138" t="s">
        <v>39</v>
      </c>
      <c r="C147" s="138"/>
      <c r="D147" s="138"/>
      <c r="E147" s="138"/>
      <c r="F147" s="139"/>
      <c r="G147" s="162">
        <v>21007</v>
      </c>
      <c r="H147" s="163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96">
        <v>19668</v>
      </c>
      <c r="H148" s="197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34</v>
      </c>
      <c r="C154" s="136"/>
      <c r="D154" s="136"/>
      <c r="E154" s="136"/>
      <c r="F154" s="137"/>
      <c r="G154" s="160">
        <v>11669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32</v>
      </c>
      <c r="C155" s="138"/>
      <c r="D155" s="138"/>
      <c r="E155" s="138"/>
      <c r="F155" s="139"/>
      <c r="G155" s="162">
        <v>9390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33</v>
      </c>
      <c r="C156" s="138"/>
      <c r="D156" s="138"/>
      <c r="E156" s="138"/>
      <c r="F156" s="139"/>
      <c r="G156" s="162">
        <v>8445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6290</v>
      </c>
      <c r="H157" s="163"/>
      <c r="I157" s="53"/>
      <c r="J157" s="50"/>
      <c r="K157" s="49"/>
      <c r="L157"/>
      <c r="M157"/>
    </row>
    <row r="158" spans="2:13" ht="17.25" customHeight="1">
      <c r="B158" s="138" t="s">
        <v>56</v>
      </c>
      <c r="C158" s="138"/>
      <c r="D158" s="138"/>
      <c r="E158" s="138"/>
      <c r="F158" s="139"/>
      <c r="G158" s="162">
        <v>4064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/>
      <c r="D159" s="138"/>
      <c r="E159" s="138"/>
      <c r="F159" s="139"/>
      <c r="G159" s="162">
        <v>3588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2500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1650</v>
      </c>
      <c r="H161" s="163"/>
      <c r="I161" s="53"/>
      <c r="J161" s="50"/>
      <c r="K161" s="49"/>
      <c r="L161"/>
      <c r="M161"/>
    </row>
    <row r="162" spans="2:13" ht="17.25">
      <c r="B162" s="138" t="s">
        <v>39</v>
      </c>
      <c r="C162" s="138"/>
      <c r="D162" s="138"/>
      <c r="E162" s="138"/>
      <c r="F162" s="139"/>
      <c r="G162" s="162">
        <v>1235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38</v>
      </c>
      <c r="C163" s="142"/>
      <c r="D163" s="142"/>
      <c r="E163" s="142"/>
      <c r="F163" s="143"/>
      <c r="G163" s="196">
        <v>1225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19" t="s">
        <v>19</v>
      </c>
      <c r="C168" s="119"/>
      <c r="D168" s="119"/>
      <c r="E168" s="119"/>
      <c r="F168" s="120"/>
      <c r="G168" s="190" t="s">
        <v>9</v>
      </c>
      <c r="H168" s="190"/>
      <c r="I168" s="2"/>
      <c r="J168" s="2"/>
    </row>
    <row r="169" spans="2:13" ht="17.25" customHeight="1">
      <c r="B169" s="105" t="s">
        <v>56</v>
      </c>
      <c r="C169" s="105"/>
      <c r="D169" s="105"/>
      <c r="E169" s="105"/>
      <c r="F169" s="106"/>
      <c r="G169" s="160">
        <v>916854246939</v>
      </c>
      <c r="H169" s="161"/>
      <c r="I169" s="55"/>
      <c r="J169" s="56"/>
    </row>
    <row r="170" spans="2:13" ht="17.25" customHeight="1">
      <c r="B170" s="107" t="s">
        <v>34</v>
      </c>
      <c r="C170" s="107"/>
      <c r="D170" s="107"/>
      <c r="E170" s="107"/>
      <c r="F170" s="108"/>
      <c r="G170" s="162">
        <v>699416801100</v>
      </c>
      <c r="H170" s="163"/>
      <c r="I170" s="55"/>
      <c r="J170" s="56"/>
    </row>
    <row r="171" spans="2:13" ht="17.25" customHeight="1">
      <c r="B171" s="107" t="s">
        <v>61</v>
      </c>
      <c r="C171" s="107"/>
      <c r="D171" s="107"/>
      <c r="E171" s="107"/>
      <c r="F171" s="108"/>
      <c r="G171" s="162">
        <v>520848303114</v>
      </c>
      <c r="H171" s="163"/>
      <c r="I171" s="55"/>
      <c r="J171" s="56"/>
    </row>
    <row r="172" spans="2:13" ht="17.25" customHeight="1">
      <c r="B172" s="107" t="s">
        <v>32</v>
      </c>
      <c r="C172" s="107"/>
      <c r="D172" s="107"/>
      <c r="E172" s="107"/>
      <c r="F172" s="108"/>
      <c r="G172" s="162">
        <v>445777398980</v>
      </c>
      <c r="H172" s="163"/>
      <c r="I172" s="55"/>
      <c r="J172" s="56"/>
    </row>
    <row r="173" spans="2:13" ht="17.25" customHeight="1">
      <c r="B173" s="107" t="s">
        <v>33</v>
      </c>
      <c r="C173" s="107"/>
      <c r="D173" s="107"/>
      <c r="E173" s="107"/>
      <c r="F173" s="108"/>
      <c r="G173" s="162">
        <v>309530012743</v>
      </c>
      <c r="H173" s="163"/>
      <c r="I173" s="57"/>
      <c r="J173" s="50"/>
    </row>
    <row r="174" spans="2:13" ht="17.25" customHeight="1">
      <c r="B174" s="107" t="s">
        <v>46</v>
      </c>
      <c r="C174" s="107"/>
      <c r="D174" s="107"/>
      <c r="E174" s="107"/>
      <c r="F174" s="108"/>
      <c r="G174" s="162">
        <v>255043911692</v>
      </c>
      <c r="H174" s="163"/>
      <c r="I174" s="55"/>
      <c r="J174" s="56"/>
    </row>
    <row r="175" spans="2:13" ht="17.25" customHeight="1">
      <c r="B175" s="107" t="s">
        <v>45</v>
      </c>
      <c r="C175" s="107"/>
      <c r="D175" s="107"/>
      <c r="E175" s="107"/>
      <c r="F175" s="108"/>
      <c r="G175" s="162">
        <v>162002037127</v>
      </c>
      <c r="H175" s="163"/>
      <c r="I175" s="55"/>
      <c r="J175" s="56"/>
    </row>
    <row r="176" spans="2:13" ht="17.25" customHeight="1">
      <c r="B176" s="107" t="s">
        <v>62</v>
      </c>
      <c r="C176" s="107"/>
      <c r="D176" s="107"/>
      <c r="E176" s="107"/>
      <c r="F176" s="108"/>
      <c r="G176" s="162">
        <v>121420943155</v>
      </c>
      <c r="H176" s="163"/>
      <c r="I176" s="55"/>
      <c r="J176" s="56"/>
    </row>
    <row r="177" spans="2:10" ht="17.25" customHeight="1">
      <c r="B177" s="107" t="s">
        <v>48</v>
      </c>
      <c r="C177" s="107"/>
      <c r="D177" s="107"/>
      <c r="E177" s="107"/>
      <c r="F177" s="108"/>
      <c r="G177" s="162">
        <v>115040473244</v>
      </c>
      <c r="H177" s="163"/>
      <c r="I177" s="55"/>
      <c r="J177" s="56"/>
    </row>
    <row r="178" spans="2:10" ht="18" customHeight="1" thickBot="1">
      <c r="B178" s="111" t="s">
        <v>41</v>
      </c>
      <c r="C178" s="111"/>
      <c r="D178" s="111"/>
      <c r="E178" s="111"/>
      <c r="F178" s="112"/>
      <c r="G178" s="196">
        <v>110328485716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90">
    <mergeCell ref="G144:H144"/>
    <mergeCell ref="G145:H145"/>
    <mergeCell ref="B2:H2"/>
    <mergeCell ref="B3:H3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I3:N3"/>
    <mergeCell ref="B11:D11"/>
    <mergeCell ref="B12:D12"/>
    <mergeCell ref="B13:D13"/>
    <mergeCell ref="G140:H140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38:D38"/>
    <mergeCell ref="G141:H141"/>
    <mergeCell ref="G142:H142"/>
    <mergeCell ref="G143:H143"/>
    <mergeCell ref="B39:D39"/>
    <mergeCell ref="B54:D54"/>
    <mergeCell ref="B128:F128"/>
    <mergeCell ref="G128:H128"/>
    <mergeCell ref="B129:F129"/>
    <mergeCell ref="G129:H129"/>
    <mergeCell ref="B138:F138"/>
    <mergeCell ref="G138:H138"/>
    <mergeCell ref="B139:F139"/>
    <mergeCell ref="G139:H139"/>
    <mergeCell ref="B144:F144"/>
    <mergeCell ref="B145:F145"/>
    <mergeCell ref="B140:F140"/>
    <mergeCell ref="B141:F141"/>
    <mergeCell ref="B142:F142"/>
    <mergeCell ref="B143:F143"/>
    <mergeCell ref="B153:F153"/>
    <mergeCell ref="G153:H15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59:F159"/>
    <mergeCell ref="G159:H159"/>
    <mergeCell ref="B160:F160"/>
    <mergeCell ref="G160:H160"/>
    <mergeCell ref="B161:F161"/>
    <mergeCell ref="G161:H161"/>
    <mergeCell ref="B156:F156"/>
    <mergeCell ref="G156:H156"/>
    <mergeCell ref="B157:F157"/>
    <mergeCell ref="G157:H157"/>
    <mergeCell ref="B158:F158"/>
    <mergeCell ref="G158:H158"/>
    <mergeCell ref="G170:H170"/>
    <mergeCell ref="G171:H171"/>
    <mergeCell ref="G172:H172"/>
    <mergeCell ref="B162:F162"/>
    <mergeCell ref="G162:H162"/>
    <mergeCell ref="B163:F163"/>
    <mergeCell ref="G163:H163"/>
    <mergeCell ref="G168:H168"/>
    <mergeCell ref="G169:H169"/>
    <mergeCell ref="G176:H176"/>
    <mergeCell ref="G177:H177"/>
    <mergeCell ref="G178:H178"/>
    <mergeCell ref="G173:H173"/>
    <mergeCell ref="G174:H174"/>
    <mergeCell ref="G175:H175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414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4145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3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41912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41912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41882</v>
      </c>
      <c r="F11" s="75">
        <f>EDATE(E11,1)</f>
        <v>41912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1">
        <f>Август2014!F12</f>
        <v>1093326</v>
      </c>
      <c r="F12" s="87">
        <v>1090843</v>
      </c>
      <c r="G12" s="11">
        <f t="shared" ref="G12:G18" si="0">F12-E12</f>
        <v>-2483</v>
      </c>
      <c r="H12" s="59">
        <f t="shared" ref="H12:H18" si="1">F12/E12-1</f>
        <v>-2.2710518180304451E-3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1">
        <f>Август2014!F13</f>
        <v>35687</v>
      </c>
      <c r="F13" s="87">
        <v>35622</v>
      </c>
      <c r="G13" s="11">
        <f t="shared" si="0"/>
        <v>-65</v>
      </c>
      <c r="H13" s="59">
        <f t="shared" si="1"/>
        <v>-1.8213915431389838E-3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1">
        <f>Август2014!F14</f>
        <v>12704</v>
      </c>
      <c r="F14" s="87">
        <v>12839</v>
      </c>
      <c r="G14" s="11">
        <f t="shared" si="0"/>
        <v>135</v>
      </c>
      <c r="H14" s="59">
        <f t="shared" si="1"/>
        <v>1.0626574307304848E-2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1">
        <f>Август2014!F15</f>
        <v>2995</v>
      </c>
      <c r="F15" s="87">
        <v>3044</v>
      </c>
      <c r="G15" s="11">
        <f t="shared" si="0"/>
        <v>49</v>
      </c>
      <c r="H15" s="59">
        <f t="shared" si="1"/>
        <v>1.6360601001669473E-2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1">
        <f>Август2014!F16</f>
        <v>9709</v>
      </c>
      <c r="F16" s="87">
        <v>9795</v>
      </c>
      <c r="G16" s="11">
        <f t="shared" si="0"/>
        <v>86</v>
      </c>
      <c r="H16" s="59">
        <f t="shared" si="1"/>
        <v>8.8577608404574182E-3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1">
        <f>Август2014!F17</f>
        <v>12967</v>
      </c>
      <c r="F17" s="87">
        <v>13053</v>
      </c>
      <c r="G17" s="11">
        <f t="shared" si="0"/>
        <v>86</v>
      </c>
      <c r="H17" s="59">
        <f t="shared" si="1"/>
        <v>6.6322202514075279E-3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Август2014!F18</f>
        <v>1154684</v>
      </c>
      <c r="F18" s="72">
        <v>1152357</v>
      </c>
      <c r="G18" s="72">
        <f t="shared" si="0"/>
        <v>-2327</v>
      </c>
      <c r="H18" s="69">
        <f t="shared" si="1"/>
        <v>-2.0152699786262218E-3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41882</v>
      </c>
      <c r="F22" s="75">
        <f>F11</f>
        <v>41912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1">
        <f>Август2014!F23</f>
        <v>915943</v>
      </c>
      <c r="F23" s="87">
        <v>912627</v>
      </c>
      <c r="G23" s="11">
        <f>F23-E23</f>
        <v>-3316</v>
      </c>
      <c r="H23" s="59">
        <f>F23/E23-1</f>
        <v>-3.620312617706567E-3</v>
      </c>
      <c r="I23" s="89"/>
    </row>
    <row r="24" spans="2:10" s="79" customFormat="1" ht="17.25">
      <c r="B24" s="158" t="s">
        <v>1</v>
      </c>
      <c r="C24" s="158"/>
      <c r="D24" s="159"/>
      <c r="E24" s="81">
        <f>Август2014!F24</f>
        <v>19872</v>
      </c>
      <c r="F24" s="87">
        <v>19829</v>
      </c>
      <c r="G24" s="11">
        <f t="shared" ref="G24:G29" si="2">F24-E24</f>
        <v>-43</v>
      </c>
      <c r="H24" s="59">
        <f t="shared" ref="H24:H29" si="3">F24/E24-1</f>
        <v>-2.163848631239973E-3</v>
      </c>
      <c r="I24" s="89"/>
    </row>
    <row r="25" spans="2:10" s="79" customFormat="1" ht="17.25">
      <c r="B25" s="158" t="s">
        <v>2</v>
      </c>
      <c r="C25" s="158"/>
      <c r="D25" s="159"/>
      <c r="E25" s="81">
        <f>Август2014!F25</f>
        <v>7273</v>
      </c>
      <c r="F25" s="87">
        <v>7332</v>
      </c>
      <c r="G25" s="11">
        <f t="shared" si="2"/>
        <v>59</v>
      </c>
      <c r="H25" s="59">
        <f t="shared" si="3"/>
        <v>8.1121957926577615E-3</v>
      </c>
      <c r="I25" s="89"/>
    </row>
    <row r="26" spans="2:10" s="79" customFormat="1" ht="17.25">
      <c r="B26" s="164" t="s">
        <v>23</v>
      </c>
      <c r="C26" s="164"/>
      <c r="D26" s="165"/>
      <c r="E26" s="81">
        <f>Август2014!F26</f>
        <v>2920</v>
      </c>
      <c r="F26" s="87">
        <v>2967</v>
      </c>
      <c r="G26" s="11">
        <f t="shared" si="2"/>
        <v>47</v>
      </c>
      <c r="H26" s="59">
        <f t="shared" si="3"/>
        <v>1.6095890410958935E-2</v>
      </c>
      <c r="I26" s="89"/>
    </row>
    <row r="27" spans="2:10" s="79" customFormat="1" ht="17.25">
      <c r="B27" s="166" t="s">
        <v>24</v>
      </c>
      <c r="C27" s="166"/>
      <c r="D27" s="167"/>
      <c r="E27" s="81">
        <f>Август2014!F27</f>
        <v>4353</v>
      </c>
      <c r="F27" s="87">
        <v>4365</v>
      </c>
      <c r="G27" s="11">
        <f t="shared" si="2"/>
        <v>12</v>
      </c>
      <c r="H27" s="59">
        <f t="shared" si="3"/>
        <v>2.7567195037905279E-3</v>
      </c>
      <c r="I27" s="89"/>
    </row>
    <row r="28" spans="2:10" s="79" customFormat="1" ht="18" thickBot="1">
      <c r="B28" s="168" t="s">
        <v>3</v>
      </c>
      <c r="C28" s="168"/>
      <c r="D28" s="169"/>
      <c r="E28" s="81">
        <f>Август2014!F28</f>
        <v>5173</v>
      </c>
      <c r="F28" s="87">
        <v>5174</v>
      </c>
      <c r="G28" s="11">
        <f t="shared" si="2"/>
        <v>1</v>
      </c>
      <c r="H28" s="59">
        <f t="shared" si="3"/>
        <v>1.9331142470524476E-4</v>
      </c>
      <c r="I28" s="89"/>
    </row>
    <row r="29" spans="2:10" s="70" customFormat="1" ht="18" thickBot="1">
      <c r="B29" s="60" t="s">
        <v>4</v>
      </c>
      <c r="C29" s="60"/>
      <c r="D29" s="61"/>
      <c r="E29" s="72">
        <f>Август2014!F29</f>
        <v>948261</v>
      </c>
      <c r="F29" s="72">
        <v>944962</v>
      </c>
      <c r="G29" s="72">
        <f t="shared" si="2"/>
        <v>-3299</v>
      </c>
      <c r="H29" s="69">
        <f t="shared" si="3"/>
        <v>-3.4789999799633708E-3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41881</v>
      </c>
      <c r="F33" s="73">
        <f>EDATE(E33,1)</f>
        <v>41912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Август2014!F34</f>
        <v>56112</v>
      </c>
      <c r="F34" s="81">
        <v>54957</v>
      </c>
      <c r="G34" s="11">
        <f t="shared" ref="G34:G40" si="4">F34-E34</f>
        <v>-1155</v>
      </c>
      <c r="H34" s="59">
        <f t="shared" ref="H34:H40" si="5">F34/E34-1</f>
        <v>-2.0583832335329344E-2</v>
      </c>
      <c r="I34" s="58"/>
    </row>
    <row r="35" spans="2:9" ht="17.25">
      <c r="B35" s="138" t="s">
        <v>1</v>
      </c>
      <c r="C35" s="138"/>
      <c r="D35" s="139"/>
      <c r="E35" s="81">
        <f>Август2014!F35</f>
        <v>1143</v>
      </c>
      <c r="F35" s="81">
        <v>1233</v>
      </c>
      <c r="G35" s="11">
        <f t="shared" si="4"/>
        <v>90</v>
      </c>
      <c r="H35" s="59">
        <f t="shared" si="5"/>
        <v>7.8740157480315043E-2</v>
      </c>
      <c r="I35" s="58"/>
    </row>
    <row r="36" spans="2:9" ht="17.25">
      <c r="B36" s="138" t="s">
        <v>2</v>
      </c>
      <c r="C36" s="138"/>
      <c r="D36" s="139"/>
      <c r="E36" s="81">
        <f>Август2014!F36</f>
        <v>565</v>
      </c>
      <c r="F36" s="81">
        <v>586</v>
      </c>
      <c r="G36" s="11">
        <f t="shared" si="4"/>
        <v>21</v>
      </c>
      <c r="H36" s="59">
        <f t="shared" si="5"/>
        <v>3.7168141592920367E-2</v>
      </c>
      <c r="I36" s="58"/>
    </row>
    <row r="37" spans="2:9" ht="17.25">
      <c r="B37" s="164" t="s">
        <v>23</v>
      </c>
      <c r="C37" s="164"/>
      <c r="D37" s="165"/>
      <c r="E37" s="81">
        <f>Август2014!F37</f>
        <v>183</v>
      </c>
      <c r="F37" s="81">
        <v>189</v>
      </c>
      <c r="G37" s="11">
        <f t="shared" si="4"/>
        <v>6</v>
      </c>
      <c r="H37" s="59">
        <f t="shared" si="5"/>
        <v>3.2786885245901676E-2</v>
      </c>
      <c r="I37" s="58"/>
    </row>
    <row r="38" spans="2:9" ht="17.25">
      <c r="B38" s="166" t="s">
        <v>24</v>
      </c>
      <c r="C38" s="166"/>
      <c r="D38" s="167"/>
      <c r="E38" s="81">
        <f>Август2014!F38</f>
        <v>382</v>
      </c>
      <c r="F38" s="81">
        <v>397</v>
      </c>
      <c r="G38" s="11">
        <f t="shared" si="4"/>
        <v>15</v>
      </c>
      <c r="H38" s="59">
        <f t="shared" si="5"/>
        <v>3.9267015706806241E-2</v>
      </c>
      <c r="I38" s="58"/>
    </row>
    <row r="39" spans="2:9" ht="18" thickBot="1">
      <c r="B39" s="183" t="s">
        <v>3</v>
      </c>
      <c r="C39" s="183"/>
      <c r="D39" s="184"/>
      <c r="E39" s="81">
        <f>Август2014!F39</f>
        <v>667</v>
      </c>
      <c r="F39" s="81">
        <v>630</v>
      </c>
      <c r="G39" s="11">
        <f t="shared" si="4"/>
        <v>-37</v>
      </c>
      <c r="H39" s="59">
        <f t="shared" si="5"/>
        <v>-5.5472263868065919E-2</v>
      </c>
      <c r="I39" s="58"/>
    </row>
    <row r="40" spans="2:9" s="70" customFormat="1" ht="18" thickBot="1">
      <c r="B40" s="60" t="s">
        <v>4</v>
      </c>
      <c r="C40" s="60"/>
      <c r="D40" s="61"/>
      <c r="E40" s="72">
        <f>Август2014!F40</f>
        <v>58487</v>
      </c>
      <c r="F40" s="72">
        <v>57406</v>
      </c>
      <c r="G40" s="72">
        <f t="shared" si="4"/>
        <v>-1081</v>
      </c>
      <c r="H40" s="69">
        <f t="shared" si="5"/>
        <v>-1.8482739754133393E-2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41759</v>
      </c>
      <c r="D83" s="75">
        <f>EDATE(E83,-1)</f>
        <v>41789</v>
      </c>
      <c r="E83" s="75">
        <f>EDATE(F83,-1)</f>
        <v>41820</v>
      </c>
      <c r="F83" s="75">
        <f>EDATE(G83,-1)</f>
        <v>41850</v>
      </c>
      <c r="G83" s="75">
        <f>EDATE(H83,-1)</f>
        <v>41881</v>
      </c>
      <c r="H83" s="75">
        <f>EDATE(E11,1)</f>
        <v>41912</v>
      </c>
      <c r="I83"/>
      <c r="J83"/>
    </row>
    <row r="84" spans="2:11" ht="16.5" customHeight="1">
      <c r="B84" s="25" t="s">
        <v>0</v>
      </c>
      <c r="C84" s="83">
        <v>896413</v>
      </c>
      <c r="D84" s="83">
        <v>897706</v>
      </c>
      <c r="E84" s="83">
        <v>900250</v>
      </c>
      <c r="F84" s="83">
        <v>901853</v>
      </c>
      <c r="G84" s="83">
        <v>915943</v>
      </c>
      <c r="H84" s="83">
        <v>912627</v>
      </c>
    </row>
    <row r="85" spans="2:11" ht="16.5" customHeight="1">
      <c r="B85" s="26" t="s">
        <v>1</v>
      </c>
      <c r="C85" s="84">
        <v>19733</v>
      </c>
      <c r="D85" s="84">
        <v>19759</v>
      </c>
      <c r="E85" s="84">
        <v>19811</v>
      </c>
      <c r="F85" s="84">
        <v>19846</v>
      </c>
      <c r="G85" s="84">
        <v>19872</v>
      </c>
      <c r="H85" s="84">
        <v>19829</v>
      </c>
    </row>
    <row r="86" spans="2:11" ht="16.5" customHeight="1">
      <c r="B86" s="27" t="s">
        <v>2</v>
      </c>
      <c r="C86" s="86">
        <v>6885</v>
      </c>
      <c r="D86" s="86">
        <v>6946</v>
      </c>
      <c r="E86" s="86">
        <v>7125</v>
      </c>
      <c r="F86" s="86">
        <v>7169</v>
      </c>
      <c r="G86" s="86">
        <v>7273</v>
      </c>
      <c r="H86" s="86">
        <v>7332</v>
      </c>
    </row>
    <row r="87" spans="2:11" ht="16.5" customHeight="1" thickBot="1">
      <c r="B87" s="28" t="s">
        <v>3</v>
      </c>
      <c r="C87" s="82">
        <v>5192</v>
      </c>
      <c r="D87" s="82">
        <v>5159</v>
      </c>
      <c r="E87" s="82">
        <v>5175</v>
      </c>
      <c r="F87" s="82">
        <v>5207</v>
      </c>
      <c r="G87" s="82">
        <v>5173</v>
      </c>
      <c r="H87" s="82">
        <v>5174</v>
      </c>
    </row>
    <row r="88" spans="2:11" s="71" customFormat="1" ht="18" thickBot="1">
      <c r="B88" s="124" t="s">
        <v>4</v>
      </c>
      <c r="C88" s="85">
        <v>928223</v>
      </c>
      <c r="D88" s="85">
        <v>929570</v>
      </c>
      <c r="E88" s="85">
        <v>932361</v>
      </c>
      <c r="F88" s="85">
        <v>934075</v>
      </c>
      <c r="G88" s="85">
        <v>948261</v>
      </c>
      <c r="H88" s="85">
        <v>944962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63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433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41912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/>
      <c r="D139" s="136"/>
      <c r="E139" s="136"/>
      <c r="F139" s="137"/>
      <c r="G139" s="160">
        <v>209890</v>
      </c>
      <c r="H139" s="161"/>
      <c r="I139" s="47"/>
      <c r="J139" s="50"/>
    </row>
    <row r="140" spans="2:10" ht="13.5" customHeight="1">
      <c r="B140" s="138" t="s">
        <v>32</v>
      </c>
      <c r="C140" s="138"/>
      <c r="D140" s="138"/>
      <c r="E140" s="138"/>
      <c r="F140" s="139"/>
      <c r="G140" s="162">
        <v>174091</v>
      </c>
      <c r="H140" s="163"/>
      <c r="I140" s="47"/>
      <c r="J140" s="50"/>
    </row>
    <row r="141" spans="2:10" ht="17.25" customHeight="1">
      <c r="B141" s="138" t="s">
        <v>33</v>
      </c>
      <c r="C141" s="138"/>
      <c r="D141" s="138"/>
      <c r="E141" s="138"/>
      <c r="F141" s="139"/>
      <c r="G141" s="162">
        <v>120585</v>
      </c>
      <c r="H141" s="163"/>
      <c r="I141" s="47"/>
      <c r="J141" s="50"/>
    </row>
    <row r="142" spans="2:10" ht="17.25" customHeight="1">
      <c r="B142" s="138" t="s">
        <v>34</v>
      </c>
      <c r="C142" s="138"/>
      <c r="D142" s="138"/>
      <c r="E142" s="138"/>
      <c r="F142" s="139"/>
      <c r="G142" s="162">
        <v>117102</v>
      </c>
      <c r="H142" s="163"/>
      <c r="I142" s="47"/>
      <c r="J142" s="50"/>
    </row>
    <row r="143" spans="2:10" ht="17.25" customHeight="1">
      <c r="B143" s="138" t="s">
        <v>35</v>
      </c>
      <c r="C143" s="138"/>
      <c r="D143" s="138"/>
      <c r="E143" s="138"/>
      <c r="F143" s="139"/>
      <c r="G143" s="162">
        <v>61230</v>
      </c>
      <c r="H143" s="163"/>
      <c r="I143" s="47"/>
      <c r="J143" s="50"/>
    </row>
    <row r="144" spans="2:10" ht="13.5" customHeight="1">
      <c r="B144" s="138" t="s">
        <v>56</v>
      </c>
      <c r="C144" s="138"/>
      <c r="D144" s="138"/>
      <c r="E144" s="138"/>
      <c r="F144" s="139"/>
      <c r="G144" s="162">
        <v>45841</v>
      </c>
      <c r="H144" s="163"/>
      <c r="I144" s="51"/>
      <c r="J144" s="50"/>
    </row>
    <row r="145" spans="2:13" ht="17.25" customHeight="1">
      <c r="B145" s="138" t="s">
        <v>36</v>
      </c>
      <c r="C145" s="138"/>
      <c r="D145" s="138"/>
      <c r="E145" s="138"/>
      <c r="F145" s="139"/>
      <c r="G145" s="162">
        <v>45171</v>
      </c>
      <c r="H145" s="163"/>
      <c r="I145" s="47"/>
      <c r="J145" s="50"/>
    </row>
    <row r="146" spans="2:13" ht="17.25" customHeight="1">
      <c r="B146" s="138" t="s">
        <v>38</v>
      </c>
      <c r="C146" s="138"/>
      <c r="D146" s="138"/>
      <c r="E146" s="138"/>
      <c r="F146" s="139"/>
      <c r="G146" s="162">
        <v>30413</v>
      </c>
      <c r="H146" s="163"/>
      <c r="I146" s="47"/>
      <c r="J146" s="50"/>
    </row>
    <row r="147" spans="2:13" ht="17.25" customHeight="1">
      <c r="B147" s="138" t="s">
        <v>39</v>
      </c>
      <c r="C147" s="138"/>
      <c r="D147" s="138"/>
      <c r="E147" s="138"/>
      <c r="F147" s="139"/>
      <c r="G147" s="162">
        <v>21047</v>
      </c>
      <c r="H147" s="163"/>
      <c r="I147" s="47"/>
      <c r="J147" s="50"/>
      <c r="L147"/>
    </row>
    <row r="148" spans="2:13" ht="18" customHeight="1" thickBot="1">
      <c r="B148" s="142" t="s">
        <v>40</v>
      </c>
      <c r="C148" s="142"/>
      <c r="D148" s="142"/>
      <c r="E148" s="142"/>
      <c r="F148" s="143"/>
      <c r="G148" s="196">
        <v>19686</v>
      </c>
      <c r="H148" s="197"/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/>
      <c r="D154" s="136"/>
      <c r="E154" s="136"/>
      <c r="F154" s="137"/>
      <c r="G154" s="160">
        <v>9863</v>
      </c>
      <c r="H154" s="161"/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/>
      <c r="D155" s="138"/>
      <c r="E155" s="138"/>
      <c r="F155" s="139"/>
      <c r="G155" s="162">
        <v>8541</v>
      </c>
      <c r="H155" s="163"/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/>
      <c r="D156" s="138"/>
      <c r="E156" s="138"/>
      <c r="F156" s="139"/>
      <c r="G156" s="162">
        <v>8482</v>
      </c>
      <c r="H156" s="163"/>
      <c r="I156" s="53"/>
      <c r="J156" s="50"/>
      <c r="K156" s="49"/>
      <c r="L156"/>
      <c r="M156"/>
    </row>
    <row r="157" spans="2:13" ht="17.25">
      <c r="B157" s="138" t="s">
        <v>31</v>
      </c>
      <c r="C157" s="138"/>
      <c r="D157" s="138"/>
      <c r="E157" s="138"/>
      <c r="F157" s="139"/>
      <c r="G157" s="162">
        <v>6548</v>
      </c>
      <c r="H157" s="163"/>
      <c r="I157" s="53"/>
      <c r="J157" s="50"/>
      <c r="K157" s="49"/>
      <c r="L157"/>
      <c r="M157"/>
    </row>
    <row r="158" spans="2:13" ht="17.25" customHeight="1">
      <c r="B158" s="138" t="s">
        <v>56</v>
      </c>
      <c r="C158" s="138"/>
      <c r="D158" s="138"/>
      <c r="E158" s="138"/>
      <c r="F158" s="139"/>
      <c r="G158" s="162">
        <v>4361</v>
      </c>
      <c r="H158" s="163"/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/>
      <c r="D159" s="138"/>
      <c r="E159" s="138"/>
      <c r="F159" s="139"/>
      <c r="G159" s="162">
        <v>3804</v>
      </c>
      <c r="H159" s="163"/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/>
      <c r="D160" s="138"/>
      <c r="E160" s="138"/>
      <c r="F160" s="139"/>
      <c r="G160" s="162">
        <v>2677</v>
      </c>
      <c r="H160" s="163"/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/>
      <c r="D161" s="138"/>
      <c r="E161" s="138"/>
      <c r="F161" s="139"/>
      <c r="G161" s="162">
        <v>1732</v>
      </c>
      <c r="H161" s="163"/>
      <c r="I161" s="53"/>
      <c r="J161" s="50"/>
      <c r="K161" s="49"/>
      <c r="L161"/>
      <c r="M161"/>
    </row>
    <row r="162" spans="2:13" ht="17.25">
      <c r="B162" s="138" t="s">
        <v>47</v>
      </c>
      <c r="C162" s="138"/>
      <c r="D162" s="138"/>
      <c r="E162" s="138"/>
      <c r="F162" s="139"/>
      <c r="G162" s="162">
        <v>1304</v>
      </c>
      <c r="H162" s="163"/>
      <c r="I162" s="53"/>
      <c r="J162" s="50"/>
      <c r="K162" s="49"/>
      <c r="L162"/>
      <c r="M162"/>
    </row>
    <row r="163" spans="2:13" ht="18" customHeight="1" thickBot="1">
      <c r="B163" s="142" t="s">
        <v>38</v>
      </c>
      <c r="C163" s="142"/>
      <c r="D163" s="142"/>
      <c r="E163" s="142"/>
      <c r="F163" s="143"/>
      <c r="G163" s="196">
        <v>1272</v>
      </c>
      <c r="H163" s="197"/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2" t="s">
        <v>19</v>
      </c>
      <c r="C168" s="122"/>
      <c r="D168" s="122"/>
      <c r="E168" s="122"/>
      <c r="F168" s="123"/>
      <c r="G168" s="190" t="s">
        <v>9</v>
      </c>
      <c r="H168" s="190"/>
      <c r="I168" s="2"/>
      <c r="J168" s="2"/>
    </row>
    <row r="169" spans="2:13" ht="17.25" customHeight="1">
      <c r="B169" s="136" t="s">
        <v>56</v>
      </c>
      <c r="C169" s="136"/>
      <c r="D169" s="136"/>
      <c r="E169" s="136"/>
      <c r="F169" s="137"/>
      <c r="G169" s="160">
        <v>1193165392447.6899</v>
      </c>
      <c r="H169" s="161"/>
      <c r="I169" s="55"/>
      <c r="J169" s="56"/>
    </row>
    <row r="170" spans="2:13" ht="17.25" customHeight="1">
      <c r="B170" s="138" t="s">
        <v>34</v>
      </c>
      <c r="C170" s="138"/>
      <c r="D170" s="138"/>
      <c r="E170" s="138"/>
      <c r="F170" s="139"/>
      <c r="G170" s="162">
        <v>794593033759.62598</v>
      </c>
      <c r="H170" s="163"/>
      <c r="I170" s="55"/>
      <c r="J170" s="56"/>
    </row>
    <row r="171" spans="2:13" ht="17.25" customHeight="1">
      <c r="B171" s="138" t="s">
        <v>61</v>
      </c>
      <c r="C171" s="138"/>
      <c r="D171" s="138"/>
      <c r="E171" s="138"/>
      <c r="F171" s="139"/>
      <c r="G171" s="162">
        <v>599367788911.25195</v>
      </c>
      <c r="H171" s="163"/>
      <c r="I171" s="55"/>
      <c r="J171" s="56"/>
    </row>
    <row r="172" spans="2:13" ht="17.25" customHeight="1">
      <c r="B172" s="138" t="s">
        <v>32</v>
      </c>
      <c r="C172" s="138"/>
      <c r="D172" s="138"/>
      <c r="E172" s="138"/>
      <c r="F172" s="139"/>
      <c r="G172" s="162">
        <v>356330338606.56799</v>
      </c>
      <c r="H172" s="163"/>
      <c r="I172" s="55"/>
      <c r="J172" s="56"/>
    </row>
    <row r="173" spans="2:13" ht="17.25" customHeight="1">
      <c r="B173" s="138" t="s">
        <v>33</v>
      </c>
      <c r="C173" s="138"/>
      <c r="D173" s="138"/>
      <c r="E173" s="138"/>
      <c r="F173" s="139"/>
      <c r="G173" s="162">
        <v>331471278236.06799</v>
      </c>
      <c r="H173" s="163"/>
      <c r="I173" s="57"/>
      <c r="J173" s="50"/>
    </row>
    <row r="174" spans="2:13" ht="17.25" customHeight="1">
      <c r="B174" s="138" t="s">
        <v>46</v>
      </c>
      <c r="C174" s="138"/>
      <c r="D174" s="138"/>
      <c r="E174" s="138"/>
      <c r="F174" s="139"/>
      <c r="G174" s="162">
        <v>221221195187.25</v>
      </c>
      <c r="H174" s="163"/>
      <c r="I174" s="55"/>
      <c r="J174" s="56"/>
    </row>
    <row r="175" spans="2:13" ht="17.25" customHeight="1">
      <c r="B175" s="138" t="s">
        <v>64</v>
      </c>
      <c r="C175" s="138"/>
      <c r="D175" s="138"/>
      <c r="E175" s="138"/>
      <c r="F175" s="139"/>
      <c r="G175" s="162">
        <v>180188578905.88</v>
      </c>
      <c r="H175" s="163"/>
      <c r="I175" s="55"/>
      <c r="J175" s="56"/>
    </row>
    <row r="176" spans="2:13" ht="17.25" customHeight="1">
      <c r="B176" s="138" t="s">
        <v>58</v>
      </c>
      <c r="C176" s="138"/>
      <c r="D176" s="138"/>
      <c r="E176" s="138"/>
      <c r="F176" s="139"/>
      <c r="G176" s="162">
        <v>170990806707.04001</v>
      </c>
      <c r="H176" s="163"/>
      <c r="I176" s="55"/>
      <c r="J176" s="56"/>
    </row>
    <row r="177" spans="2:10" ht="17.25" customHeight="1">
      <c r="B177" s="138" t="s">
        <v>45</v>
      </c>
      <c r="C177" s="138"/>
      <c r="D177" s="138"/>
      <c r="E177" s="138"/>
      <c r="F177" s="139"/>
      <c r="G177" s="162">
        <v>157455186465.25</v>
      </c>
      <c r="H177" s="163"/>
      <c r="I177" s="55"/>
      <c r="J177" s="56"/>
    </row>
    <row r="178" spans="2:10" ht="18" customHeight="1" thickBot="1">
      <c r="B178" s="142" t="s">
        <v>62</v>
      </c>
      <c r="C178" s="142"/>
      <c r="D178" s="142"/>
      <c r="E178" s="142"/>
      <c r="F178" s="143"/>
      <c r="G178" s="196">
        <v>155198371680</v>
      </c>
      <c r="H178" s="197"/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7:F177"/>
    <mergeCell ref="B178:F178"/>
    <mergeCell ref="G146:H146"/>
    <mergeCell ref="G147:H147"/>
    <mergeCell ref="G148:H148"/>
    <mergeCell ref="B169:F169"/>
    <mergeCell ref="B170:F170"/>
    <mergeCell ref="B171:F171"/>
    <mergeCell ref="B172:F172"/>
    <mergeCell ref="B173:F173"/>
    <mergeCell ref="B174:F174"/>
    <mergeCell ref="G176:H176"/>
    <mergeCell ref="G177:H177"/>
    <mergeCell ref="G178:H178"/>
    <mergeCell ref="G173:H173"/>
    <mergeCell ref="G174:H174"/>
    <mergeCell ref="G159:H159"/>
    <mergeCell ref="G160:H160"/>
    <mergeCell ref="G161:H161"/>
    <mergeCell ref="B175:F175"/>
    <mergeCell ref="B176:F176"/>
    <mergeCell ref="G175:H175"/>
    <mergeCell ref="B162:F162"/>
    <mergeCell ref="B163:F163"/>
    <mergeCell ref="B159:F159"/>
    <mergeCell ref="B160:F160"/>
    <mergeCell ref="B161:F161"/>
    <mergeCell ref="G170:H170"/>
    <mergeCell ref="G171:H171"/>
    <mergeCell ref="G172:H172"/>
    <mergeCell ref="G162:H162"/>
    <mergeCell ref="G163:H163"/>
    <mergeCell ref="G168:H168"/>
    <mergeCell ref="G169:H169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48:F148"/>
    <mergeCell ref="B143:F143"/>
    <mergeCell ref="B144:F144"/>
    <mergeCell ref="B145:F145"/>
    <mergeCell ref="B140:F140"/>
    <mergeCell ref="B141:F141"/>
    <mergeCell ref="B142:F142"/>
    <mergeCell ref="B54:D54"/>
    <mergeCell ref="B128:F128"/>
    <mergeCell ref="G128:H128"/>
    <mergeCell ref="B146:F146"/>
    <mergeCell ref="B147:F147"/>
    <mergeCell ref="G140:H140"/>
    <mergeCell ref="G141:H141"/>
    <mergeCell ref="G142:H142"/>
    <mergeCell ref="G143:H143"/>
    <mergeCell ref="G144:H144"/>
    <mergeCell ref="G145:H145"/>
    <mergeCell ref="B129:F129"/>
    <mergeCell ref="G129:H129"/>
    <mergeCell ref="B138:F138"/>
    <mergeCell ref="G138:H138"/>
    <mergeCell ref="B139:F139"/>
    <mergeCell ref="G139:H139"/>
    <mergeCell ref="B53:D53"/>
    <mergeCell ref="B34:D34"/>
    <mergeCell ref="B35:D35"/>
    <mergeCell ref="B36:D36"/>
    <mergeCell ref="B37:D37"/>
    <mergeCell ref="B38:D38"/>
    <mergeCell ref="B39:D39"/>
    <mergeCell ref="H48:I48"/>
    <mergeCell ref="B49:D49"/>
    <mergeCell ref="B50:D50"/>
    <mergeCell ref="B51:D51"/>
    <mergeCell ref="B52:D52"/>
    <mergeCell ref="B28:D28"/>
    <mergeCell ref="B33:D33"/>
    <mergeCell ref="B14:D14"/>
    <mergeCell ref="B15:D15"/>
    <mergeCell ref="B16:D16"/>
    <mergeCell ref="B17:D17"/>
    <mergeCell ref="B22:D22"/>
    <mergeCell ref="B23:D23"/>
    <mergeCell ref="B13:D13"/>
    <mergeCell ref="B24:D24"/>
    <mergeCell ref="B25:D25"/>
    <mergeCell ref="B26:D26"/>
    <mergeCell ref="B27:D27"/>
    <mergeCell ref="B2:H2"/>
    <mergeCell ref="B3:H3"/>
    <mergeCell ref="I3:N3"/>
    <mergeCell ref="B11:D11"/>
    <mergeCell ref="B12:D1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516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5169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4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41942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41942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41912</v>
      </c>
      <c r="F11" s="75">
        <f>EDATE(E11,1)</f>
        <v>41942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1">
        <f>Сентябрь2014!F12</f>
        <v>1090843</v>
      </c>
      <c r="F12" s="87">
        <v>1094834</v>
      </c>
      <c r="G12" s="11">
        <f t="shared" ref="G12:G18" si="0">F12-E12</f>
        <v>3991</v>
      </c>
      <c r="H12" s="59">
        <f t="shared" ref="H12:H18" si="1">F12/E12-1</f>
        <v>3.6586383191714589E-3</v>
      </c>
      <c r="I12" s="88"/>
      <c r="J12" s="89"/>
    </row>
    <row r="13" spans="2:14" s="79" customFormat="1" ht="17.25">
      <c r="B13" s="158" t="s">
        <v>1</v>
      </c>
      <c r="C13" s="158"/>
      <c r="D13" s="159"/>
      <c r="E13" s="81">
        <f>Сентябрь2014!F13</f>
        <v>35622</v>
      </c>
      <c r="F13" s="87">
        <v>35771</v>
      </c>
      <c r="G13" s="11">
        <f t="shared" si="0"/>
        <v>149</v>
      </c>
      <c r="H13" s="59">
        <f t="shared" si="1"/>
        <v>4.1828083768458146E-3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1">
        <f>Сентябрь2014!F14</f>
        <v>12839</v>
      </c>
      <c r="F14" s="87">
        <v>12631</v>
      </c>
      <c r="G14" s="11">
        <f t="shared" si="0"/>
        <v>-208</v>
      </c>
      <c r="H14" s="59">
        <f t="shared" si="1"/>
        <v>-1.6200638679024881E-2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1">
        <f>Сентябрь2014!F15</f>
        <v>3044</v>
      </c>
      <c r="F15" s="87">
        <v>3076</v>
      </c>
      <c r="G15" s="11">
        <f t="shared" si="0"/>
        <v>32</v>
      </c>
      <c r="H15" s="59">
        <f t="shared" si="1"/>
        <v>1.0512483574244502E-2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1">
        <f>Сентябрь2014!F16</f>
        <v>9795</v>
      </c>
      <c r="F16" s="87">
        <v>9555</v>
      </c>
      <c r="G16" s="11">
        <f t="shared" si="0"/>
        <v>-240</v>
      </c>
      <c r="H16" s="59">
        <f t="shared" si="1"/>
        <v>-2.4502297090352232E-2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1">
        <f>Сентябрь2014!F17</f>
        <v>13053</v>
      </c>
      <c r="F17" s="87">
        <v>13047</v>
      </c>
      <c r="G17" s="11">
        <f t="shared" si="0"/>
        <v>-6</v>
      </c>
      <c r="H17" s="59">
        <f t="shared" si="1"/>
        <v>-4.5966444495515457E-4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Сентябрь2014!F18</f>
        <v>1152357</v>
      </c>
      <c r="F18" s="72">
        <v>1156283</v>
      </c>
      <c r="G18" s="72">
        <f t="shared" si="0"/>
        <v>3926</v>
      </c>
      <c r="H18" s="69">
        <f t="shared" si="1"/>
        <v>3.4069303176011978E-3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41912</v>
      </c>
      <c r="F22" s="75">
        <f>F11</f>
        <v>41942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1">
        <f>Сентябрь2014!F23</f>
        <v>912627</v>
      </c>
      <c r="F23" s="87">
        <v>916147</v>
      </c>
      <c r="G23" s="11">
        <f>F23-E23</f>
        <v>3520</v>
      </c>
      <c r="H23" s="59">
        <f>F23/E23-1</f>
        <v>3.8569974370690208E-3</v>
      </c>
      <c r="I23" s="89"/>
    </row>
    <row r="24" spans="2:10" s="79" customFormat="1" ht="17.25">
      <c r="B24" s="158" t="s">
        <v>1</v>
      </c>
      <c r="C24" s="158"/>
      <c r="D24" s="159"/>
      <c r="E24" s="81">
        <f>Сентябрь2014!F24</f>
        <v>19829</v>
      </c>
      <c r="F24" s="87">
        <v>19927</v>
      </c>
      <c r="G24" s="11">
        <f t="shared" ref="G24:G29" si="2">F24-E24</f>
        <v>98</v>
      </c>
      <c r="H24" s="59">
        <f t="shared" ref="H24:H29" si="3">F24/E24-1</f>
        <v>4.9422562912906365E-3</v>
      </c>
      <c r="I24" s="89"/>
    </row>
    <row r="25" spans="2:10" s="79" customFormat="1" ht="17.25">
      <c r="B25" s="158" t="s">
        <v>2</v>
      </c>
      <c r="C25" s="158"/>
      <c r="D25" s="159"/>
      <c r="E25" s="81">
        <f>Сентябрь2014!F25</f>
        <v>7332</v>
      </c>
      <c r="F25" s="87">
        <v>7352</v>
      </c>
      <c r="G25" s="11">
        <f t="shared" si="2"/>
        <v>20</v>
      </c>
      <c r="H25" s="59">
        <f t="shared" si="3"/>
        <v>2.7277686852154037E-3</v>
      </c>
      <c r="I25" s="89"/>
    </row>
    <row r="26" spans="2:10" s="79" customFormat="1" ht="17.25">
      <c r="B26" s="164" t="s">
        <v>23</v>
      </c>
      <c r="C26" s="164"/>
      <c r="D26" s="165"/>
      <c r="E26" s="81">
        <f>Сентябрь2014!F26</f>
        <v>2967</v>
      </c>
      <c r="F26" s="87">
        <v>3000</v>
      </c>
      <c r="G26" s="11">
        <f t="shared" si="2"/>
        <v>33</v>
      </c>
      <c r="H26" s="59">
        <f t="shared" si="3"/>
        <v>1.1122345803842304E-2</v>
      </c>
      <c r="I26" s="89"/>
    </row>
    <row r="27" spans="2:10" s="79" customFormat="1" ht="17.25">
      <c r="B27" s="166" t="s">
        <v>24</v>
      </c>
      <c r="C27" s="166"/>
      <c r="D27" s="167"/>
      <c r="E27" s="81">
        <f>Сентябрь2014!F27</f>
        <v>4365</v>
      </c>
      <c r="F27" s="87">
        <v>4352</v>
      </c>
      <c r="G27" s="11">
        <f t="shared" si="2"/>
        <v>-13</v>
      </c>
      <c r="H27" s="59">
        <f t="shared" si="3"/>
        <v>-2.978235967926679E-3</v>
      </c>
      <c r="I27" s="89"/>
    </row>
    <row r="28" spans="2:10" s="79" customFormat="1" ht="18" thickBot="1">
      <c r="B28" s="168" t="s">
        <v>3</v>
      </c>
      <c r="C28" s="168"/>
      <c r="D28" s="169"/>
      <c r="E28" s="81">
        <f>Сентябрь2014!F28</f>
        <v>5174</v>
      </c>
      <c r="F28" s="87">
        <v>5159</v>
      </c>
      <c r="G28" s="11">
        <f t="shared" si="2"/>
        <v>-15</v>
      </c>
      <c r="H28" s="59">
        <f t="shared" si="3"/>
        <v>-2.8991109393119441E-3</v>
      </c>
      <c r="I28" s="89"/>
    </row>
    <row r="29" spans="2:10" s="70" customFormat="1" ht="18" thickBot="1">
      <c r="B29" s="60" t="s">
        <v>4</v>
      </c>
      <c r="C29" s="60"/>
      <c r="D29" s="61"/>
      <c r="E29" s="72">
        <f>Сентябрь2014!F29</f>
        <v>944962</v>
      </c>
      <c r="F29" s="72">
        <v>948585</v>
      </c>
      <c r="G29" s="72">
        <f t="shared" si="2"/>
        <v>3623</v>
      </c>
      <c r="H29" s="69">
        <f t="shared" si="3"/>
        <v>3.8340166059587233E-3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f>EDATE(C6,-1)</f>
        <v>41912</v>
      </c>
      <c r="F33" s="73">
        <f>EDATE(E33,1)</f>
        <v>41942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Сентябрь2014!F34</f>
        <v>54957</v>
      </c>
      <c r="F34" s="81">
        <v>54686</v>
      </c>
      <c r="G34" s="11">
        <f t="shared" ref="G34:G40" si="4">F34-E34</f>
        <v>-271</v>
      </c>
      <c r="H34" s="59">
        <f t="shared" ref="H34:H40" si="5">F34/E34-1</f>
        <v>-4.9311279727787261E-3</v>
      </c>
      <c r="I34" s="58"/>
    </row>
    <row r="35" spans="2:9" ht="17.25">
      <c r="B35" s="138" t="s">
        <v>1</v>
      </c>
      <c r="C35" s="138"/>
      <c r="D35" s="139"/>
      <c r="E35" s="81">
        <f>Сентябрь2014!F35</f>
        <v>1233</v>
      </c>
      <c r="F35" s="81">
        <v>1226</v>
      </c>
      <c r="G35" s="11">
        <f t="shared" si="4"/>
        <v>-7</v>
      </c>
      <c r="H35" s="59">
        <f t="shared" si="5"/>
        <v>-5.6772100567721306E-3</v>
      </c>
      <c r="I35" s="58"/>
    </row>
    <row r="36" spans="2:9" ht="17.25">
      <c r="B36" s="138" t="s">
        <v>2</v>
      </c>
      <c r="C36" s="138"/>
      <c r="D36" s="139"/>
      <c r="E36" s="81">
        <f>Сентябрь2014!F36</f>
        <v>586</v>
      </c>
      <c r="F36" s="81">
        <v>545</v>
      </c>
      <c r="G36" s="11">
        <f t="shared" si="4"/>
        <v>-41</v>
      </c>
      <c r="H36" s="59">
        <f t="shared" si="5"/>
        <v>-6.9965870307167277E-2</v>
      </c>
      <c r="I36" s="58"/>
    </row>
    <row r="37" spans="2:9" ht="17.25">
      <c r="B37" s="164" t="s">
        <v>23</v>
      </c>
      <c r="C37" s="164"/>
      <c r="D37" s="165"/>
      <c r="E37" s="81">
        <f>Сентябрь2014!F37</f>
        <v>189</v>
      </c>
      <c r="F37" s="81">
        <v>176</v>
      </c>
      <c r="G37" s="11">
        <f t="shared" si="4"/>
        <v>-13</v>
      </c>
      <c r="H37" s="59">
        <f t="shared" si="5"/>
        <v>-6.8783068783068835E-2</v>
      </c>
      <c r="I37" s="58"/>
    </row>
    <row r="38" spans="2:9" ht="17.25">
      <c r="B38" s="166" t="s">
        <v>24</v>
      </c>
      <c r="C38" s="166"/>
      <c r="D38" s="167"/>
      <c r="E38" s="81">
        <f>Сентябрь2014!F38</f>
        <v>397</v>
      </c>
      <c r="F38" s="81">
        <v>369</v>
      </c>
      <c r="G38" s="11">
        <f t="shared" si="4"/>
        <v>-28</v>
      </c>
      <c r="H38" s="59">
        <f t="shared" si="5"/>
        <v>-7.0528967254408048E-2</v>
      </c>
      <c r="I38" s="58"/>
    </row>
    <row r="39" spans="2:9" ht="18" thickBot="1">
      <c r="B39" s="183" t="s">
        <v>3</v>
      </c>
      <c r="C39" s="183"/>
      <c r="D39" s="184"/>
      <c r="E39" s="81">
        <f>Сентябрь2014!F39</f>
        <v>630</v>
      </c>
      <c r="F39" s="81">
        <v>704</v>
      </c>
      <c r="G39" s="11">
        <f t="shared" si="4"/>
        <v>74</v>
      </c>
      <c r="H39" s="59">
        <f t="shared" si="5"/>
        <v>0.11746031746031749</v>
      </c>
      <c r="I39" s="58"/>
    </row>
    <row r="40" spans="2:9" s="70" customFormat="1" ht="18" thickBot="1">
      <c r="B40" s="60" t="s">
        <v>4</v>
      </c>
      <c r="C40" s="60"/>
      <c r="D40" s="61"/>
      <c r="E40" s="72">
        <f>Сентябрь2014!F40</f>
        <v>57406</v>
      </c>
      <c r="F40" s="72">
        <v>57161</v>
      </c>
      <c r="G40" s="72">
        <f t="shared" si="4"/>
        <v>-245</v>
      </c>
      <c r="H40" s="69">
        <f t="shared" si="5"/>
        <v>-4.2678465665609844E-3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41789</v>
      </c>
      <c r="D83" s="75">
        <f>EDATE(E83,-1)</f>
        <v>41820</v>
      </c>
      <c r="E83" s="75">
        <f>EDATE(F83,-1)</f>
        <v>41850</v>
      </c>
      <c r="F83" s="75">
        <f>EDATE(G83,-1)</f>
        <v>41881</v>
      </c>
      <c r="G83" s="75">
        <f>EDATE(H83,-1)</f>
        <v>41912</v>
      </c>
      <c r="H83" s="75">
        <f>EDATE(E11,1)</f>
        <v>41942</v>
      </c>
      <c r="I83"/>
      <c r="J83"/>
    </row>
    <row r="84" spans="2:11" ht="16.5" customHeight="1">
      <c r="B84" s="25" t="s">
        <v>0</v>
      </c>
      <c r="C84" s="83">
        <v>897706</v>
      </c>
      <c r="D84" s="83">
        <v>900250</v>
      </c>
      <c r="E84" s="83">
        <v>901853</v>
      </c>
      <c r="F84" s="83">
        <v>915943</v>
      </c>
      <c r="G84" s="83">
        <v>912627</v>
      </c>
      <c r="H84" s="83">
        <v>916147</v>
      </c>
    </row>
    <row r="85" spans="2:11" ht="16.5" customHeight="1">
      <c r="B85" s="26" t="s">
        <v>1</v>
      </c>
      <c r="C85" s="84">
        <v>19759</v>
      </c>
      <c r="D85" s="84">
        <v>19811</v>
      </c>
      <c r="E85" s="84">
        <v>19846</v>
      </c>
      <c r="F85" s="84">
        <v>19872</v>
      </c>
      <c r="G85" s="84">
        <v>19829</v>
      </c>
      <c r="H85" s="84">
        <v>19927</v>
      </c>
    </row>
    <row r="86" spans="2:11" ht="16.5" customHeight="1">
      <c r="B86" s="27" t="s">
        <v>2</v>
      </c>
      <c r="C86" s="86">
        <v>6946</v>
      </c>
      <c r="D86" s="86">
        <v>7125</v>
      </c>
      <c r="E86" s="86">
        <v>7169</v>
      </c>
      <c r="F86" s="86">
        <v>7273</v>
      </c>
      <c r="G86" s="86">
        <v>7332</v>
      </c>
      <c r="H86" s="86">
        <v>7352</v>
      </c>
    </row>
    <row r="87" spans="2:11" ht="16.5" customHeight="1" thickBot="1">
      <c r="B87" s="28" t="s">
        <v>3</v>
      </c>
      <c r="C87" s="82">
        <v>5159</v>
      </c>
      <c r="D87" s="82">
        <v>5175</v>
      </c>
      <c r="E87" s="82">
        <v>5207</v>
      </c>
      <c r="F87" s="82">
        <v>5173</v>
      </c>
      <c r="G87" s="82">
        <v>5174</v>
      </c>
      <c r="H87" s="82">
        <v>5159</v>
      </c>
    </row>
    <row r="88" spans="2:11" s="71" customFormat="1" ht="18" thickBot="1">
      <c r="B88" s="127" t="s">
        <v>4</v>
      </c>
      <c r="C88" s="85">
        <v>929570</v>
      </c>
      <c r="D88" s="85">
        <v>932361</v>
      </c>
      <c r="E88" s="85">
        <v>934075</v>
      </c>
      <c r="F88" s="85">
        <v>948261</v>
      </c>
      <c r="G88" s="85">
        <v>944962</v>
      </c>
      <c r="H88" s="85">
        <v>948585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65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438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41942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 t="s">
        <v>31</v>
      </c>
      <c r="D139" s="136" t="s">
        <v>31</v>
      </c>
      <c r="E139" s="136" t="s">
        <v>31</v>
      </c>
      <c r="F139" s="137" t="s">
        <v>31</v>
      </c>
      <c r="G139" s="160">
        <v>210752</v>
      </c>
      <c r="H139" s="161">
        <v>210752</v>
      </c>
      <c r="I139" s="47"/>
      <c r="J139" s="50"/>
    </row>
    <row r="140" spans="2:10" ht="13.5" customHeight="1">
      <c r="B140" s="138" t="s">
        <v>32</v>
      </c>
      <c r="C140" s="138" t="s">
        <v>32</v>
      </c>
      <c r="D140" s="138" t="s">
        <v>32</v>
      </c>
      <c r="E140" s="138" t="s">
        <v>32</v>
      </c>
      <c r="F140" s="139" t="s">
        <v>32</v>
      </c>
      <c r="G140" s="162">
        <v>174902</v>
      </c>
      <c r="H140" s="163">
        <v>174902</v>
      </c>
      <c r="I140" s="47"/>
      <c r="J140" s="50"/>
    </row>
    <row r="141" spans="2:10" ht="17.25" customHeight="1">
      <c r="B141" s="138" t="s">
        <v>33</v>
      </c>
      <c r="C141" s="138" t="s">
        <v>33</v>
      </c>
      <c r="D141" s="138" t="s">
        <v>33</v>
      </c>
      <c r="E141" s="138" t="s">
        <v>33</v>
      </c>
      <c r="F141" s="139" t="s">
        <v>33</v>
      </c>
      <c r="G141" s="162">
        <v>121285</v>
      </c>
      <c r="H141" s="163">
        <v>121285</v>
      </c>
      <c r="I141" s="47"/>
      <c r="J141" s="50"/>
    </row>
    <row r="142" spans="2:10" ht="17.25" customHeight="1">
      <c r="B142" s="138" t="s">
        <v>34</v>
      </c>
      <c r="C142" s="138" t="s">
        <v>34</v>
      </c>
      <c r="D142" s="138" t="s">
        <v>34</v>
      </c>
      <c r="E142" s="138" t="s">
        <v>34</v>
      </c>
      <c r="F142" s="139" t="s">
        <v>34</v>
      </c>
      <c r="G142" s="162">
        <v>117668</v>
      </c>
      <c r="H142" s="163">
        <v>117668</v>
      </c>
      <c r="I142" s="47"/>
      <c r="J142" s="50"/>
    </row>
    <row r="143" spans="2:10" ht="17.25" customHeight="1">
      <c r="B143" s="138" t="s">
        <v>35</v>
      </c>
      <c r="C143" s="138" t="s">
        <v>35</v>
      </c>
      <c r="D143" s="138" t="s">
        <v>35</v>
      </c>
      <c r="E143" s="138" t="s">
        <v>35</v>
      </c>
      <c r="F143" s="139" t="s">
        <v>35</v>
      </c>
      <c r="G143" s="162">
        <v>61241</v>
      </c>
      <c r="H143" s="163">
        <v>61241</v>
      </c>
      <c r="I143" s="47"/>
      <c r="J143" s="50"/>
    </row>
    <row r="144" spans="2:10" ht="13.5" customHeight="1">
      <c r="B144" s="138" t="s">
        <v>66</v>
      </c>
      <c r="C144" s="138" t="s">
        <v>66</v>
      </c>
      <c r="D144" s="138" t="s">
        <v>66</v>
      </c>
      <c r="E144" s="138" t="s">
        <v>66</v>
      </c>
      <c r="F144" s="139" t="s">
        <v>66</v>
      </c>
      <c r="G144" s="162">
        <v>46940</v>
      </c>
      <c r="H144" s="163">
        <v>46940</v>
      </c>
      <c r="I144" s="51"/>
      <c r="J144" s="50"/>
    </row>
    <row r="145" spans="2:13" ht="17.25" customHeight="1">
      <c r="B145" s="138" t="s">
        <v>36</v>
      </c>
      <c r="C145" s="138" t="s">
        <v>36</v>
      </c>
      <c r="D145" s="138" t="s">
        <v>36</v>
      </c>
      <c r="E145" s="138" t="s">
        <v>36</v>
      </c>
      <c r="F145" s="139" t="s">
        <v>36</v>
      </c>
      <c r="G145" s="162">
        <v>45328</v>
      </c>
      <c r="H145" s="163">
        <v>45328</v>
      </c>
      <c r="I145" s="47"/>
      <c r="J145" s="50"/>
    </row>
    <row r="146" spans="2:13" ht="17.25" customHeight="1">
      <c r="B146" s="138" t="s">
        <v>38</v>
      </c>
      <c r="C146" s="138" t="s">
        <v>38</v>
      </c>
      <c r="D146" s="138" t="s">
        <v>38</v>
      </c>
      <c r="E146" s="138" t="s">
        <v>38</v>
      </c>
      <c r="F146" s="139" t="s">
        <v>38</v>
      </c>
      <c r="G146" s="162">
        <v>30485</v>
      </c>
      <c r="H146" s="163">
        <v>30485</v>
      </c>
      <c r="I146" s="47"/>
      <c r="J146" s="50"/>
    </row>
    <row r="147" spans="2:13" ht="17.25" customHeight="1">
      <c r="B147" s="138" t="s">
        <v>39</v>
      </c>
      <c r="C147" s="138" t="s">
        <v>39</v>
      </c>
      <c r="D147" s="138" t="s">
        <v>39</v>
      </c>
      <c r="E147" s="138" t="s">
        <v>39</v>
      </c>
      <c r="F147" s="139" t="s">
        <v>39</v>
      </c>
      <c r="G147" s="162">
        <v>21001</v>
      </c>
      <c r="H147" s="163">
        <v>21001</v>
      </c>
      <c r="I147" s="47"/>
      <c r="J147" s="50"/>
      <c r="L147"/>
    </row>
    <row r="148" spans="2:13" ht="18" customHeight="1" thickBot="1">
      <c r="B148" s="142" t="s">
        <v>40</v>
      </c>
      <c r="C148" s="142" t="s">
        <v>40</v>
      </c>
      <c r="D148" s="142" t="s">
        <v>40</v>
      </c>
      <c r="E148" s="142" t="s">
        <v>40</v>
      </c>
      <c r="F148" s="143" t="s">
        <v>40</v>
      </c>
      <c r="G148" s="196">
        <v>19691</v>
      </c>
      <c r="H148" s="197">
        <v>19691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 t="s">
        <v>32</v>
      </c>
      <c r="D154" s="136" t="s">
        <v>32</v>
      </c>
      <c r="E154" s="136" t="s">
        <v>32</v>
      </c>
      <c r="F154" s="137" t="s">
        <v>32</v>
      </c>
      <c r="G154" s="160">
        <v>9698</v>
      </c>
      <c r="H154" s="161">
        <v>9698</v>
      </c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 t="s">
        <v>33</v>
      </c>
      <c r="D155" s="138" t="s">
        <v>33</v>
      </c>
      <c r="E155" s="138" t="s">
        <v>33</v>
      </c>
      <c r="F155" s="139" t="s">
        <v>33</v>
      </c>
      <c r="G155" s="162">
        <v>8683</v>
      </c>
      <c r="H155" s="163">
        <v>8683</v>
      </c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 t="s">
        <v>34</v>
      </c>
      <c r="D156" s="138" t="s">
        <v>34</v>
      </c>
      <c r="E156" s="138" t="s">
        <v>34</v>
      </c>
      <c r="F156" s="139" t="s">
        <v>34</v>
      </c>
      <c r="G156" s="162">
        <v>8328</v>
      </c>
      <c r="H156" s="163">
        <v>8328</v>
      </c>
      <c r="I156" s="53"/>
      <c r="J156" s="50"/>
      <c r="K156" s="49"/>
      <c r="L156"/>
      <c r="M156"/>
    </row>
    <row r="157" spans="2:13" ht="17.25">
      <c r="B157" s="138" t="s">
        <v>31</v>
      </c>
      <c r="C157" s="138" t="s">
        <v>31</v>
      </c>
      <c r="D157" s="138" t="s">
        <v>31</v>
      </c>
      <c r="E157" s="138" t="s">
        <v>31</v>
      </c>
      <c r="F157" s="139" t="s">
        <v>31</v>
      </c>
      <c r="G157" s="162">
        <v>6501</v>
      </c>
      <c r="H157" s="163">
        <v>6501</v>
      </c>
      <c r="I157" s="53"/>
      <c r="J157" s="50"/>
      <c r="K157" s="49"/>
      <c r="L157"/>
      <c r="M157"/>
    </row>
    <row r="158" spans="2:13" ht="17.25" customHeight="1">
      <c r="B158" s="138" t="s">
        <v>66</v>
      </c>
      <c r="C158" s="138" t="s">
        <v>66</v>
      </c>
      <c r="D158" s="138" t="s">
        <v>66</v>
      </c>
      <c r="E158" s="138" t="s">
        <v>66</v>
      </c>
      <c r="F158" s="139" t="s">
        <v>66</v>
      </c>
      <c r="G158" s="162">
        <v>4346</v>
      </c>
      <c r="H158" s="163">
        <v>4346</v>
      </c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 t="s">
        <v>35</v>
      </c>
      <c r="D159" s="138" t="s">
        <v>35</v>
      </c>
      <c r="E159" s="138" t="s">
        <v>35</v>
      </c>
      <c r="F159" s="139" t="s">
        <v>35</v>
      </c>
      <c r="G159" s="162">
        <v>3624</v>
      </c>
      <c r="H159" s="163">
        <v>3624</v>
      </c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 t="s">
        <v>36</v>
      </c>
      <c r="D160" s="138" t="s">
        <v>36</v>
      </c>
      <c r="E160" s="138" t="s">
        <v>36</v>
      </c>
      <c r="F160" s="139" t="s">
        <v>36</v>
      </c>
      <c r="G160" s="162">
        <v>2547</v>
      </c>
      <c r="H160" s="163">
        <v>2547</v>
      </c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 t="s">
        <v>41</v>
      </c>
      <c r="D161" s="138" t="s">
        <v>41</v>
      </c>
      <c r="E161" s="138" t="s">
        <v>41</v>
      </c>
      <c r="F161" s="139" t="s">
        <v>41</v>
      </c>
      <c r="G161" s="162">
        <v>1754</v>
      </c>
      <c r="H161" s="163">
        <v>1754</v>
      </c>
      <c r="I161" s="53"/>
      <c r="J161" s="50"/>
      <c r="K161" s="49"/>
      <c r="L161"/>
      <c r="M161"/>
    </row>
    <row r="162" spans="2:13" ht="17.25">
      <c r="B162" s="138" t="s">
        <v>38</v>
      </c>
      <c r="C162" s="138" t="s">
        <v>38</v>
      </c>
      <c r="D162" s="138" t="s">
        <v>38</v>
      </c>
      <c r="E162" s="138" t="s">
        <v>38</v>
      </c>
      <c r="F162" s="139" t="s">
        <v>38</v>
      </c>
      <c r="G162" s="162">
        <v>1255</v>
      </c>
      <c r="H162" s="163">
        <v>1255</v>
      </c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 t="s">
        <v>39</v>
      </c>
      <c r="D163" s="142" t="s">
        <v>39</v>
      </c>
      <c r="E163" s="142" t="s">
        <v>39</v>
      </c>
      <c r="F163" s="143" t="s">
        <v>39</v>
      </c>
      <c r="G163" s="196">
        <v>1183</v>
      </c>
      <c r="H163" s="197">
        <v>1183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5" t="s">
        <v>19</v>
      </c>
      <c r="C168" s="125"/>
      <c r="D168" s="125"/>
      <c r="E168" s="125"/>
      <c r="F168" s="126"/>
      <c r="G168" s="190" t="s">
        <v>9</v>
      </c>
      <c r="H168" s="190"/>
      <c r="I168" s="2"/>
      <c r="J168" s="2"/>
    </row>
    <row r="169" spans="2:13" ht="17.25" customHeight="1">
      <c r="B169" s="136" t="s">
        <v>66</v>
      </c>
      <c r="C169" s="136" t="s">
        <v>66</v>
      </c>
      <c r="D169" s="136" t="s">
        <v>66</v>
      </c>
      <c r="E169" s="136" t="s">
        <v>66</v>
      </c>
      <c r="F169" s="137" t="s">
        <v>66</v>
      </c>
      <c r="G169" s="160">
        <v>2049979164844.29</v>
      </c>
      <c r="H169" s="161">
        <v>2049979164844.29</v>
      </c>
      <c r="I169" s="55"/>
      <c r="J169" s="56"/>
    </row>
    <row r="170" spans="2:13" ht="17.25" customHeight="1">
      <c r="B170" s="138" t="s">
        <v>34</v>
      </c>
      <c r="C170" s="138" t="s">
        <v>34</v>
      </c>
      <c r="D170" s="138" t="s">
        <v>34</v>
      </c>
      <c r="E170" s="138" t="s">
        <v>34</v>
      </c>
      <c r="F170" s="139" t="s">
        <v>34</v>
      </c>
      <c r="G170" s="162">
        <v>1254026811811.1499</v>
      </c>
      <c r="H170" s="163">
        <v>1254026811811.1499</v>
      </c>
      <c r="I170" s="55"/>
      <c r="J170" s="56"/>
    </row>
    <row r="171" spans="2:13" ht="17.25" customHeight="1">
      <c r="B171" s="138" t="s">
        <v>61</v>
      </c>
      <c r="C171" s="138"/>
      <c r="D171" s="138"/>
      <c r="E171" s="138"/>
      <c r="F171" s="139"/>
      <c r="G171" s="162">
        <v>726279706187.64795</v>
      </c>
      <c r="H171" s="163">
        <v>726279706187.64795</v>
      </c>
      <c r="I171" s="55"/>
      <c r="J171" s="56"/>
    </row>
    <row r="172" spans="2:13" ht="17.25" customHeight="1">
      <c r="B172" s="138" t="s">
        <v>32</v>
      </c>
      <c r="C172" s="138" t="s">
        <v>32</v>
      </c>
      <c r="D172" s="138" t="s">
        <v>32</v>
      </c>
      <c r="E172" s="138" t="s">
        <v>32</v>
      </c>
      <c r="F172" s="139" t="s">
        <v>32</v>
      </c>
      <c r="G172" s="162">
        <v>609761764957.22095</v>
      </c>
      <c r="H172" s="163">
        <v>609761764957.22095</v>
      </c>
      <c r="I172" s="55"/>
      <c r="J172" s="56"/>
    </row>
    <row r="173" spans="2:13" ht="17.25" customHeight="1">
      <c r="B173" s="138" t="s">
        <v>33</v>
      </c>
      <c r="C173" s="138" t="s">
        <v>33</v>
      </c>
      <c r="D173" s="138" t="s">
        <v>33</v>
      </c>
      <c r="E173" s="138" t="s">
        <v>33</v>
      </c>
      <c r="F173" s="139" t="s">
        <v>33</v>
      </c>
      <c r="G173" s="162">
        <v>431585556447.20099</v>
      </c>
      <c r="H173" s="163">
        <v>431585556447.20099</v>
      </c>
      <c r="I173" s="57"/>
      <c r="J173" s="50"/>
    </row>
    <row r="174" spans="2:13" ht="17.25" customHeight="1">
      <c r="B174" s="138" t="s">
        <v>46</v>
      </c>
      <c r="C174" s="138" t="s">
        <v>46</v>
      </c>
      <c r="D174" s="138" t="s">
        <v>46</v>
      </c>
      <c r="E174" s="138" t="s">
        <v>46</v>
      </c>
      <c r="F174" s="139" t="s">
        <v>46</v>
      </c>
      <c r="G174" s="162">
        <v>399982818342.10999</v>
      </c>
      <c r="H174" s="163">
        <v>399982818342.10999</v>
      </c>
      <c r="I174" s="55"/>
      <c r="J174" s="56"/>
    </row>
    <row r="175" spans="2:13" ht="17.25" customHeight="1">
      <c r="B175" s="138" t="s">
        <v>45</v>
      </c>
      <c r="C175" s="138" t="s">
        <v>45</v>
      </c>
      <c r="D175" s="138" t="s">
        <v>45</v>
      </c>
      <c r="E175" s="138" t="s">
        <v>45</v>
      </c>
      <c r="F175" s="139" t="s">
        <v>45</v>
      </c>
      <c r="G175" s="162">
        <v>320094169208.40002</v>
      </c>
      <c r="H175" s="163">
        <v>320094169208.40002</v>
      </c>
      <c r="I175" s="55"/>
      <c r="J175" s="56"/>
    </row>
    <row r="176" spans="2:13" ht="17.25" customHeight="1">
      <c r="B176" s="138" t="s">
        <v>43</v>
      </c>
      <c r="C176" s="138" t="s">
        <v>43</v>
      </c>
      <c r="D176" s="138" t="s">
        <v>43</v>
      </c>
      <c r="E176" s="138" t="s">
        <v>43</v>
      </c>
      <c r="F176" s="139" t="s">
        <v>43</v>
      </c>
      <c r="G176" s="162">
        <v>317521010250.96002</v>
      </c>
      <c r="H176" s="163">
        <v>317521010250.96002</v>
      </c>
      <c r="I176" s="55"/>
      <c r="J176" s="56"/>
    </row>
    <row r="177" spans="2:10" ht="17.25" customHeight="1">
      <c r="B177" s="138" t="s">
        <v>62</v>
      </c>
      <c r="C177" s="138" t="s">
        <v>62</v>
      </c>
      <c r="D177" s="138" t="s">
        <v>62</v>
      </c>
      <c r="E177" s="138" t="s">
        <v>62</v>
      </c>
      <c r="F177" s="139" t="s">
        <v>62</v>
      </c>
      <c r="G177" s="162">
        <v>310117886897.98999</v>
      </c>
      <c r="H177" s="163">
        <v>310117886897.98999</v>
      </c>
      <c r="I177" s="55"/>
      <c r="J177" s="56"/>
    </row>
    <row r="178" spans="2:10" ht="18" customHeight="1" thickBot="1">
      <c r="B178" s="142" t="s">
        <v>64</v>
      </c>
      <c r="C178" s="142" t="s">
        <v>64</v>
      </c>
      <c r="D178" s="142" t="s">
        <v>64</v>
      </c>
      <c r="E178" s="142" t="s">
        <v>64</v>
      </c>
      <c r="F178" s="143" t="s">
        <v>64</v>
      </c>
      <c r="G178" s="196">
        <v>256696930714.76999</v>
      </c>
      <c r="H178" s="197">
        <v>256696930714.76999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63:F163"/>
    <mergeCell ref="G163:H163"/>
    <mergeCell ref="B169:F169"/>
    <mergeCell ref="G169:H169"/>
    <mergeCell ref="B170:F170"/>
    <mergeCell ref="G170:H170"/>
    <mergeCell ref="B171:F171"/>
    <mergeCell ref="G171:H171"/>
    <mergeCell ref="B172:F172"/>
    <mergeCell ref="G172:H172"/>
    <mergeCell ref="B173:F173"/>
    <mergeCell ref="G173:H173"/>
    <mergeCell ref="G157:H157"/>
    <mergeCell ref="B158:F158"/>
    <mergeCell ref="G158:H158"/>
    <mergeCell ref="B159:F159"/>
    <mergeCell ref="G159:H159"/>
    <mergeCell ref="G142:H142"/>
    <mergeCell ref="B143:F143"/>
    <mergeCell ref="B154:F154"/>
    <mergeCell ref="G154:H154"/>
    <mergeCell ref="B155:F155"/>
    <mergeCell ref="G155:H155"/>
    <mergeCell ref="B146:F146"/>
    <mergeCell ref="G146:H146"/>
    <mergeCell ref="B147:F147"/>
    <mergeCell ref="G147:H147"/>
    <mergeCell ref="B148:F148"/>
    <mergeCell ref="G148:H148"/>
    <mergeCell ref="B144:F144"/>
    <mergeCell ref="G144:H144"/>
    <mergeCell ref="B145:F145"/>
    <mergeCell ref="G145:H145"/>
    <mergeCell ref="G168:H168"/>
    <mergeCell ref="B153:F153"/>
    <mergeCell ref="G153:H153"/>
    <mergeCell ref="B156:F156"/>
    <mergeCell ref="G156:H156"/>
    <mergeCell ref="B160:F160"/>
    <mergeCell ref="G160:H160"/>
    <mergeCell ref="B161:F161"/>
    <mergeCell ref="G161:H161"/>
    <mergeCell ref="B162:F162"/>
    <mergeCell ref="G162:H162"/>
    <mergeCell ref="B157:F157"/>
    <mergeCell ref="B53:D53"/>
    <mergeCell ref="B54:D54"/>
    <mergeCell ref="B128:F128"/>
    <mergeCell ref="G128:H128"/>
    <mergeCell ref="G143:H143"/>
    <mergeCell ref="B129:F129"/>
    <mergeCell ref="G129:H129"/>
    <mergeCell ref="B138:F138"/>
    <mergeCell ref="G138:H138"/>
    <mergeCell ref="B139:F139"/>
    <mergeCell ref="G139:H139"/>
    <mergeCell ref="B140:F140"/>
    <mergeCell ref="G140:H140"/>
    <mergeCell ref="B141:F141"/>
    <mergeCell ref="G141:H141"/>
    <mergeCell ref="B142:F142"/>
    <mergeCell ref="H48:I48"/>
    <mergeCell ref="B49:D49"/>
    <mergeCell ref="B50:D50"/>
    <mergeCell ref="B51:D51"/>
    <mergeCell ref="B52:D5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619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6193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5">
    <pageSetUpPr fitToPage="1"/>
  </sheetPr>
  <dimension ref="B2:N180"/>
  <sheetViews>
    <sheetView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5703125" style="78" customWidth="1"/>
    <col min="8" max="8" width="18.42578125" style="78" customWidth="1"/>
    <col min="9" max="9" width="17.28515625" style="78" bestFit="1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41973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41973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41942</v>
      </c>
      <c r="F11" s="75">
        <f>EDATE(E11,1)</f>
        <v>41973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1">
        <f>Октябрь2014!F12</f>
        <v>1094834</v>
      </c>
      <c r="F12" s="87">
        <v>1155712</v>
      </c>
      <c r="G12" s="11">
        <f>F12-E12</f>
        <v>60878</v>
      </c>
      <c r="H12" s="59">
        <f t="shared" ref="H12:H18" si="0">F12/E12-1</f>
        <v>5.5604776614536888E-2</v>
      </c>
      <c r="I12" s="88"/>
      <c r="J12" s="89"/>
    </row>
    <row r="13" spans="2:14" s="79" customFormat="1" ht="17.25">
      <c r="B13" s="158" t="s">
        <v>1</v>
      </c>
      <c r="C13" s="158"/>
      <c r="D13" s="159"/>
      <c r="E13" s="81">
        <f>Октябрь2014!F13</f>
        <v>35771</v>
      </c>
      <c r="F13" s="87">
        <v>35789</v>
      </c>
      <c r="G13" s="11">
        <f t="shared" ref="G13:G18" si="1">F13-E13</f>
        <v>18</v>
      </c>
      <c r="H13" s="59">
        <f t="shared" si="0"/>
        <v>5.0320091694389113E-4</v>
      </c>
      <c r="I13" s="88"/>
      <c r="J13" s="89"/>
    </row>
    <row r="14" spans="2:14" s="79" customFormat="1" ht="17.25">
      <c r="B14" s="158" t="s">
        <v>2</v>
      </c>
      <c r="C14" s="158"/>
      <c r="D14" s="159"/>
      <c r="E14" s="81">
        <f>Октябрь2014!F14</f>
        <v>12631</v>
      </c>
      <c r="F14" s="87">
        <v>12735</v>
      </c>
      <c r="G14" s="11">
        <f t="shared" si="1"/>
        <v>104</v>
      </c>
      <c r="H14" s="59">
        <f t="shared" si="0"/>
        <v>8.2337107117409492E-3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1">
        <f>Октябрь2014!F15</f>
        <v>3076</v>
      </c>
      <c r="F15" s="87">
        <v>3102</v>
      </c>
      <c r="G15" s="11">
        <f t="shared" si="1"/>
        <v>26</v>
      </c>
      <c r="H15" s="59">
        <f t="shared" si="0"/>
        <v>8.4525357607281304E-3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1">
        <f>Октябрь2014!F16</f>
        <v>9555</v>
      </c>
      <c r="F16" s="87">
        <v>9633</v>
      </c>
      <c r="G16" s="11">
        <f t="shared" si="1"/>
        <v>78</v>
      </c>
      <c r="H16" s="59">
        <f t="shared" si="0"/>
        <v>8.1632653061225469E-3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1">
        <f>Октябрь2014!F17</f>
        <v>13047</v>
      </c>
      <c r="F17" s="87">
        <v>13100</v>
      </c>
      <c r="G17" s="11">
        <f t="shared" si="1"/>
        <v>53</v>
      </c>
      <c r="H17" s="59">
        <f t="shared" si="0"/>
        <v>4.0622365294704643E-3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Октябрь2014!F18</f>
        <v>1156283</v>
      </c>
      <c r="F18" s="72">
        <v>1217336</v>
      </c>
      <c r="G18" s="72">
        <f t="shared" si="1"/>
        <v>61053</v>
      </c>
      <c r="H18" s="69">
        <f t="shared" si="0"/>
        <v>5.2801087623012721E-2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41942</v>
      </c>
      <c r="F22" s="75">
        <f>F11</f>
        <v>41973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1">
        <f>Октябрь2014!F23</f>
        <v>916147</v>
      </c>
      <c r="F23" s="87">
        <v>921438</v>
      </c>
      <c r="G23" s="11">
        <f>F23-E23</f>
        <v>5291</v>
      </c>
      <c r="H23" s="59">
        <f>F23/E23-1</f>
        <v>5.7752740553644877E-3</v>
      </c>
      <c r="I23" s="89"/>
    </row>
    <row r="24" spans="2:10" s="79" customFormat="1" ht="17.25">
      <c r="B24" s="158" t="s">
        <v>1</v>
      </c>
      <c r="C24" s="158"/>
      <c r="D24" s="159"/>
      <c r="E24" s="81">
        <f>Октябрь2014!F24</f>
        <v>19927</v>
      </c>
      <c r="F24" s="87">
        <v>19975</v>
      </c>
      <c r="G24" s="11">
        <f t="shared" ref="G24:G29" si="2">F24-E24</f>
        <v>48</v>
      </c>
      <c r="H24" s="59">
        <f t="shared" ref="H24:H29" si="3">F24/E24-1</f>
        <v>2.4087920911326499E-3</v>
      </c>
      <c r="I24" s="89"/>
    </row>
    <row r="25" spans="2:10" s="79" customFormat="1" ht="17.25">
      <c r="B25" s="158" t="s">
        <v>2</v>
      </c>
      <c r="C25" s="158"/>
      <c r="D25" s="159"/>
      <c r="E25" s="81">
        <f>Октябрь2014!F25</f>
        <v>7352</v>
      </c>
      <c r="F25" s="87">
        <v>7368</v>
      </c>
      <c r="G25" s="11">
        <f t="shared" si="2"/>
        <v>16</v>
      </c>
      <c r="H25" s="59">
        <f t="shared" si="3"/>
        <v>2.1762785636560977E-3</v>
      </c>
      <c r="I25" s="89"/>
    </row>
    <row r="26" spans="2:10" s="79" customFormat="1" ht="17.25">
      <c r="B26" s="164" t="s">
        <v>23</v>
      </c>
      <c r="C26" s="164"/>
      <c r="D26" s="165"/>
      <c r="E26" s="81">
        <f>Октябрь2014!F26</f>
        <v>3000</v>
      </c>
      <c r="F26" s="87">
        <v>3030</v>
      </c>
      <c r="G26" s="11">
        <f t="shared" si="2"/>
        <v>30</v>
      </c>
      <c r="H26" s="59">
        <f t="shared" si="3"/>
        <v>1.0000000000000009E-2</v>
      </c>
      <c r="I26" s="89"/>
    </row>
    <row r="27" spans="2:10" s="79" customFormat="1" ht="17.25">
      <c r="B27" s="166" t="s">
        <v>24</v>
      </c>
      <c r="C27" s="166"/>
      <c r="D27" s="167"/>
      <c r="E27" s="81">
        <f>Октябрь2014!F27</f>
        <v>4352</v>
      </c>
      <c r="F27" s="87">
        <v>4338</v>
      </c>
      <c r="G27" s="11">
        <f t="shared" si="2"/>
        <v>-14</v>
      </c>
      <c r="H27" s="59">
        <f t="shared" si="3"/>
        <v>-3.2169117647058432E-3</v>
      </c>
      <c r="I27" s="89"/>
    </row>
    <row r="28" spans="2:10" s="79" customFormat="1" ht="18" thickBot="1">
      <c r="B28" s="168" t="s">
        <v>3</v>
      </c>
      <c r="C28" s="168"/>
      <c r="D28" s="169"/>
      <c r="E28" s="81">
        <f>Октябрь2014!F28</f>
        <v>5159</v>
      </c>
      <c r="F28" s="87">
        <v>5145</v>
      </c>
      <c r="G28" s="11">
        <f t="shared" si="2"/>
        <v>-14</v>
      </c>
      <c r="H28" s="59">
        <f t="shared" si="3"/>
        <v>-2.7137042062415073E-3</v>
      </c>
      <c r="I28" s="89"/>
    </row>
    <row r="29" spans="2:10" s="70" customFormat="1" ht="18" thickBot="1">
      <c r="B29" s="60" t="s">
        <v>4</v>
      </c>
      <c r="C29" s="60"/>
      <c r="D29" s="61"/>
      <c r="E29" s="72">
        <f>Октябрь2014!F29</f>
        <v>948585</v>
      </c>
      <c r="F29" s="72">
        <v>953926</v>
      </c>
      <c r="G29" s="72">
        <f t="shared" si="2"/>
        <v>5341</v>
      </c>
      <c r="H29" s="69">
        <f t="shared" si="3"/>
        <v>5.6304917324225823E-3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3">
        <v>41942</v>
      </c>
      <c r="F33" s="73">
        <f>EDATE(E33,1)</f>
        <v>41973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1">
        <f>Октябрь2014!F34</f>
        <v>54686</v>
      </c>
      <c r="F34" s="81">
        <v>56291</v>
      </c>
      <c r="G34" s="11">
        <f t="shared" ref="G34:G40" si="4">F34-E34</f>
        <v>1605</v>
      </c>
      <c r="H34" s="59">
        <f t="shared" ref="H34:H40" si="5">F34/E34-1</f>
        <v>2.9349376440039432E-2</v>
      </c>
      <c r="I34" s="58"/>
    </row>
    <row r="35" spans="2:9" ht="17.25">
      <c r="B35" s="138" t="s">
        <v>1</v>
      </c>
      <c r="C35" s="138"/>
      <c r="D35" s="139"/>
      <c r="E35" s="81">
        <f>Октябрь2014!F35</f>
        <v>1226</v>
      </c>
      <c r="F35" s="81">
        <v>1113</v>
      </c>
      <c r="G35" s="11">
        <f t="shared" si="4"/>
        <v>-113</v>
      </c>
      <c r="H35" s="59">
        <f t="shared" si="5"/>
        <v>-9.2169657422512263E-2</v>
      </c>
      <c r="I35" s="58"/>
    </row>
    <row r="36" spans="2:9" ht="17.25">
      <c r="B36" s="138" t="s">
        <v>2</v>
      </c>
      <c r="C36" s="138"/>
      <c r="D36" s="139"/>
      <c r="E36" s="81">
        <f>Октябрь2014!F36</f>
        <v>545</v>
      </c>
      <c r="F36" s="81">
        <v>537</v>
      </c>
      <c r="G36" s="11">
        <f t="shared" si="4"/>
        <v>-8</v>
      </c>
      <c r="H36" s="59">
        <f t="shared" si="5"/>
        <v>-1.4678899082568808E-2</v>
      </c>
      <c r="I36" s="58"/>
    </row>
    <row r="37" spans="2:9" ht="17.25">
      <c r="B37" s="164" t="s">
        <v>23</v>
      </c>
      <c r="C37" s="164"/>
      <c r="D37" s="165"/>
      <c r="E37" s="81">
        <f>Октябрь2014!F37</f>
        <v>176</v>
      </c>
      <c r="F37" s="81">
        <v>186</v>
      </c>
      <c r="G37" s="11">
        <f t="shared" si="4"/>
        <v>10</v>
      </c>
      <c r="H37" s="59">
        <f t="shared" si="5"/>
        <v>5.6818181818181879E-2</v>
      </c>
      <c r="I37" s="58"/>
    </row>
    <row r="38" spans="2:9" ht="17.25">
      <c r="B38" s="166" t="s">
        <v>24</v>
      </c>
      <c r="C38" s="166"/>
      <c r="D38" s="167"/>
      <c r="E38" s="81">
        <f>Октябрь2014!F38</f>
        <v>369</v>
      </c>
      <c r="F38" s="81">
        <v>351</v>
      </c>
      <c r="G38" s="11">
        <f t="shared" si="4"/>
        <v>-18</v>
      </c>
      <c r="H38" s="59">
        <f t="shared" si="5"/>
        <v>-4.8780487804878092E-2</v>
      </c>
      <c r="I38" s="58"/>
    </row>
    <row r="39" spans="2:9" ht="18" thickBot="1">
      <c r="B39" s="183" t="s">
        <v>3</v>
      </c>
      <c r="C39" s="183"/>
      <c r="D39" s="184"/>
      <c r="E39" s="81">
        <f>Октябрь2014!F39</f>
        <v>704</v>
      </c>
      <c r="F39" s="81">
        <v>594</v>
      </c>
      <c r="G39" s="11">
        <f t="shared" si="4"/>
        <v>-110</v>
      </c>
      <c r="H39" s="59">
        <f t="shared" si="5"/>
        <v>-0.15625</v>
      </c>
      <c r="I39" s="58"/>
    </row>
    <row r="40" spans="2:9" s="70" customFormat="1" ht="18" thickBot="1">
      <c r="B40" s="60" t="s">
        <v>4</v>
      </c>
      <c r="C40" s="60"/>
      <c r="D40" s="61"/>
      <c r="E40" s="72">
        <f>Октябрь2014!F40</f>
        <v>57161</v>
      </c>
      <c r="F40" s="72">
        <v>58535</v>
      </c>
      <c r="G40" s="72">
        <f t="shared" si="4"/>
        <v>1374</v>
      </c>
      <c r="H40" s="69">
        <f t="shared" si="5"/>
        <v>2.4037368135616966E-2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40178</v>
      </c>
      <c r="F49" s="75">
        <v>40543</v>
      </c>
      <c r="G49" s="75">
        <v>40908</v>
      </c>
      <c r="H49" s="75">
        <v>41274</v>
      </c>
      <c r="I49" s="75">
        <v>41639</v>
      </c>
    </row>
    <row r="50" spans="2:9" ht="17.25">
      <c r="B50" s="173" t="s">
        <v>0</v>
      </c>
      <c r="C50" s="173"/>
      <c r="D50" s="174"/>
      <c r="E50" s="83">
        <v>671475</v>
      </c>
      <c r="F50" s="83">
        <v>714295</v>
      </c>
      <c r="G50" s="83">
        <v>772175</v>
      </c>
      <c r="H50" s="83">
        <v>805549</v>
      </c>
      <c r="I50" s="83">
        <v>881844</v>
      </c>
    </row>
    <row r="51" spans="2:9" ht="17.25">
      <c r="B51" s="175" t="s">
        <v>1</v>
      </c>
      <c r="C51" s="175"/>
      <c r="D51" s="176"/>
      <c r="E51" s="84">
        <v>16364</v>
      </c>
      <c r="F51" s="84">
        <v>17170</v>
      </c>
      <c r="G51" s="84">
        <v>16850</v>
      </c>
      <c r="H51" s="84">
        <v>17821</v>
      </c>
      <c r="I51" s="84">
        <v>19539</v>
      </c>
    </row>
    <row r="52" spans="2:9" ht="17.25">
      <c r="B52" s="177" t="s">
        <v>2</v>
      </c>
      <c r="C52" s="177"/>
      <c r="D52" s="178"/>
      <c r="E52" s="86">
        <v>3851</v>
      </c>
      <c r="F52" s="86">
        <v>4295</v>
      </c>
      <c r="G52" s="86">
        <v>5058</v>
      </c>
      <c r="H52" s="86">
        <v>5876</v>
      </c>
      <c r="I52" s="86">
        <v>6957</v>
      </c>
    </row>
    <row r="53" spans="2:9" ht="18" thickBot="1">
      <c r="B53" s="179" t="s">
        <v>3</v>
      </c>
      <c r="C53" s="179"/>
      <c r="D53" s="180"/>
      <c r="E53" s="82">
        <v>4717</v>
      </c>
      <c r="F53" s="82">
        <v>5348</v>
      </c>
      <c r="G53" s="82">
        <v>5242</v>
      </c>
      <c r="H53" s="82">
        <v>5261</v>
      </c>
      <c r="I53" s="82">
        <v>5182</v>
      </c>
    </row>
    <row r="54" spans="2:9" s="71" customFormat="1" ht="18" thickBot="1">
      <c r="B54" s="191" t="s">
        <v>4</v>
      </c>
      <c r="C54" s="191"/>
      <c r="D54" s="192"/>
      <c r="E54" s="85">
        <v>696407</v>
      </c>
      <c r="F54" s="85">
        <v>741108</v>
      </c>
      <c r="G54" s="85">
        <v>799325</v>
      </c>
      <c r="H54" s="85">
        <v>834507</v>
      </c>
      <c r="I54" s="85">
        <v>913522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41820</v>
      </c>
      <c r="D83" s="75">
        <f>EDATE(E83,-1)</f>
        <v>41850</v>
      </c>
      <c r="E83" s="75">
        <f>EDATE(F83,-1)</f>
        <v>41881</v>
      </c>
      <c r="F83" s="75">
        <f>EDATE(G83,-1)</f>
        <v>41912</v>
      </c>
      <c r="G83" s="75">
        <f>EDATE(H83,-1)</f>
        <v>41942</v>
      </c>
      <c r="H83" s="75">
        <f>EDATE(E11,1)</f>
        <v>41973</v>
      </c>
      <c r="I83"/>
      <c r="J83"/>
    </row>
    <row r="84" spans="2:11" ht="16.5" customHeight="1">
      <c r="B84" s="25" t="s">
        <v>0</v>
      </c>
      <c r="C84" s="83">
        <v>900250</v>
      </c>
      <c r="D84" s="83">
        <v>901853</v>
      </c>
      <c r="E84" s="83">
        <v>915943</v>
      </c>
      <c r="F84" s="83">
        <v>912627</v>
      </c>
      <c r="G84" s="83">
        <v>916147</v>
      </c>
      <c r="H84" s="83">
        <v>921438</v>
      </c>
    </row>
    <row r="85" spans="2:11" ht="16.5" customHeight="1">
      <c r="B85" s="26" t="s">
        <v>1</v>
      </c>
      <c r="C85" s="84">
        <v>19811</v>
      </c>
      <c r="D85" s="84">
        <v>19846</v>
      </c>
      <c r="E85" s="84">
        <v>19872</v>
      </c>
      <c r="F85" s="84">
        <v>19829</v>
      </c>
      <c r="G85" s="84">
        <v>19927</v>
      </c>
      <c r="H85" s="84">
        <v>19975</v>
      </c>
    </row>
    <row r="86" spans="2:11" ht="16.5" customHeight="1">
      <c r="B86" s="27" t="s">
        <v>2</v>
      </c>
      <c r="C86" s="86">
        <v>7125</v>
      </c>
      <c r="D86" s="86">
        <v>7169</v>
      </c>
      <c r="E86" s="86">
        <v>7273</v>
      </c>
      <c r="F86" s="86">
        <v>7332</v>
      </c>
      <c r="G86" s="86">
        <v>7352</v>
      </c>
      <c r="H86" s="86">
        <v>7368</v>
      </c>
    </row>
    <row r="87" spans="2:11" ht="16.5" customHeight="1" thickBot="1">
      <c r="B87" s="28" t="s">
        <v>3</v>
      </c>
      <c r="C87" s="82">
        <v>5175</v>
      </c>
      <c r="D87" s="82">
        <v>5207</v>
      </c>
      <c r="E87" s="82">
        <v>5173</v>
      </c>
      <c r="F87" s="82">
        <v>5174</v>
      </c>
      <c r="G87" s="82">
        <v>5159</v>
      </c>
      <c r="H87" s="82">
        <v>5145</v>
      </c>
    </row>
    <row r="88" spans="2:11" s="71" customFormat="1" ht="18" thickBot="1">
      <c r="B88" s="130" t="s">
        <v>4</v>
      </c>
      <c r="C88" s="85">
        <v>932361</v>
      </c>
      <c r="D88" s="85">
        <v>934075</v>
      </c>
      <c r="E88" s="85">
        <v>948261</v>
      </c>
      <c r="F88" s="85">
        <v>944962</v>
      </c>
      <c r="G88" s="85">
        <v>948585</v>
      </c>
      <c r="H88" s="85">
        <v>953926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97" t="s">
        <v>67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420</v>
      </c>
      <c r="H129" s="187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41973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thickBot="1">
      <c r="B138" s="188" t="s">
        <v>19</v>
      </c>
      <c r="C138" s="188"/>
      <c r="D138" s="188"/>
      <c r="E138" s="188"/>
      <c r="F138" s="189"/>
      <c r="G138" s="190" t="s">
        <v>6</v>
      </c>
      <c r="H138" s="190"/>
      <c r="I138"/>
    </row>
    <row r="139" spans="2:10" ht="17.25" customHeight="1">
      <c r="B139" s="136" t="s">
        <v>31</v>
      </c>
      <c r="C139" s="136" t="s">
        <v>31</v>
      </c>
      <c r="D139" s="136" t="s">
        <v>31</v>
      </c>
      <c r="E139" s="136" t="s">
        <v>31</v>
      </c>
      <c r="F139" s="137" t="s">
        <v>31</v>
      </c>
      <c r="G139" s="160">
        <v>211633</v>
      </c>
      <c r="H139" s="161">
        <v>211633</v>
      </c>
      <c r="I139" s="47"/>
      <c r="J139" s="50"/>
    </row>
    <row r="140" spans="2:10" ht="13.5" customHeight="1">
      <c r="B140" s="138" t="s">
        <v>32</v>
      </c>
      <c r="C140" s="138" t="s">
        <v>32</v>
      </c>
      <c r="D140" s="138" t="s">
        <v>32</v>
      </c>
      <c r="E140" s="138" t="s">
        <v>32</v>
      </c>
      <c r="F140" s="139" t="s">
        <v>32</v>
      </c>
      <c r="G140" s="162">
        <v>175528</v>
      </c>
      <c r="H140" s="163">
        <v>175528</v>
      </c>
      <c r="I140" s="47"/>
      <c r="J140" s="50"/>
    </row>
    <row r="141" spans="2:10" ht="17.25" customHeight="1">
      <c r="B141" s="138" t="s">
        <v>33</v>
      </c>
      <c r="C141" s="138" t="s">
        <v>33</v>
      </c>
      <c r="D141" s="138" t="s">
        <v>33</v>
      </c>
      <c r="E141" s="138" t="s">
        <v>33</v>
      </c>
      <c r="F141" s="139" t="s">
        <v>33</v>
      </c>
      <c r="G141" s="162">
        <v>122130</v>
      </c>
      <c r="H141" s="163">
        <v>122130</v>
      </c>
      <c r="I141" s="47"/>
      <c r="J141" s="50"/>
    </row>
    <row r="142" spans="2:10" ht="17.25" customHeight="1">
      <c r="B142" s="138" t="s">
        <v>34</v>
      </c>
      <c r="C142" s="138" t="s">
        <v>34</v>
      </c>
      <c r="D142" s="138" t="s">
        <v>34</v>
      </c>
      <c r="E142" s="138" t="s">
        <v>34</v>
      </c>
      <c r="F142" s="139" t="s">
        <v>34</v>
      </c>
      <c r="G142" s="162">
        <v>118461</v>
      </c>
      <c r="H142" s="163">
        <v>118461</v>
      </c>
      <c r="I142" s="47"/>
      <c r="J142" s="50"/>
    </row>
    <row r="143" spans="2:10" ht="17.25" customHeight="1">
      <c r="B143" s="138" t="s">
        <v>35</v>
      </c>
      <c r="C143" s="138" t="s">
        <v>35</v>
      </c>
      <c r="D143" s="138" t="s">
        <v>35</v>
      </c>
      <c r="E143" s="138" t="s">
        <v>35</v>
      </c>
      <c r="F143" s="139" t="s">
        <v>35</v>
      </c>
      <c r="G143" s="162">
        <v>61312</v>
      </c>
      <c r="H143" s="163">
        <v>61312</v>
      </c>
      <c r="I143" s="47"/>
      <c r="J143" s="50"/>
    </row>
    <row r="144" spans="2:10" ht="13.5" customHeight="1">
      <c r="B144" s="138" t="s">
        <v>66</v>
      </c>
      <c r="C144" s="138" t="s">
        <v>66</v>
      </c>
      <c r="D144" s="138" t="s">
        <v>66</v>
      </c>
      <c r="E144" s="138" t="s">
        <v>66</v>
      </c>
      <c r="F144" s="139" t="s">
        <v>66</v>
      </c>
      <c r="G144" s="162">
        <v>48241</v>
      </c>
      <c r="H144" s="163">
        <v>48241</v>
      </c>
      <c r="I144" s="51"/>
      <c r="J144" s="50"/>
    </row>
    <row r="145" spans="2:13" ht="17.25" customHeight="1">
      <c r="B145" s="138" t="s">
        <v>36</v>
      </c>
      <c r="C145" s="138" t="s">
        <v>36</v>
      </c>
      <c r="D145" s="138" t="s">
        <v>36</v>
      </c>
      <c r="E145" s="138" t="s">
        <v>36</v>
      </c>
      <c r="F145" s="139" t="s">
        <v>36</v>
      </c>
      <c r="G145" s="162">
        <v>45458</v>
      </c>
      <c r="H145" s="163">
        <v>45458</v>
      </c>
      <c r="I145" s="47"/>
      <c r="J145" s="50"/>
    </row>
    <row r="146" spans="2:13" ht="17.25" customHeight="1">
      <c r="B146" s="138" t="s">
        <v>38</v>
      </c>
      <c r="C146" s="138" t="s">
        <v>38</v>
      </c>
      <c r="D146" s="138" t="s">
        <v>38</v>
      </c>
      <c r="E146" s="138" t="s">
        <v>38</v>
      </c>
      <c r="F146" s="139" t="s">
        <v>38</v>
      </c>
      <c r="G146" s="162">
        <v>30708</v>
      </c>
      <c r="H146" s="163">
        <v>30708</v>
      </c>
      <c r="I146" s="47"/>
      <c r="J146" s="50"/>
    </row>
    <row r="147" spans="2:13" ht="17.25" customHeight="1">
      <c r="B147" s="138" t="s">
        <v>39</v>
      </c>
      <c r="C147" s="138" t="s">
        <v>39</v>
      </c>
      <c r="D147" s="138" t="s">
        <v>39</v>
      </c>
      <c r="E147" s="138" t="s">
        <v>39</v>
      </c>
      <c r="F147" s="139" t="s">
        <v>39</v>
      </c>
      <c r="G147" s="162">
        <v>21082</v>
      </c>
      <c r="H147" s="163">
        <v>21082</v>
      </c>
      <c r="I147" s="47"/>
      <c r="J147" s="50"/>
      <c r="L147"/>
    </row>
    <row r="148" spans="2:13" ht="18" customHeight="1" thickBot="1">
      <c r="B148" s="142" t="s">
        <v>40</v>
      </c>
      <c r="C148" s="142" t="s">
        <v>40</v>
      </c>
      <c r="D148" s="142" t="s">
        <v>40</v>
      </c>
      <c r="E148" s="142" t="s">
        <v>40</v>
      </c>
      <c r="F148" s="143" t="s">
        <v>40</v>
      </c>
      <c r="G148" s="196">
        <v>19701</v>
      </c>
      <c r="H148" s="197">
        <v>19701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 t="s">
        <v>32</v>
      </c>
      <c r="D154" s="136" t="s">
        <v>32</v>
      </c>
      <c r="E154" s="136" t="s">
        <v>32</v>
      </c>
      <c r="F154" s="137" t="s">
        <v>32</v>
      </c>
      <c r="G154" s="160">
        <v>10085</v>
      </c>
      <c r="H154" s="161">
        <v>10085</v>
      </c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 t="s">
        <v>33</v>
      </c>
      <c r="D155" s="138" t="s">
        <v>33</v>
      </c>
      <c r="E155" s="138" t="s">
        <v>33</v>
      </c>
      <c r="F155" s="139" t="s">
        <v>33</v>
      </c>
      <c r="G155" s="162">
        <v>8845</v>
      </c>
      <c r="H155" s="163">
        <v>8845</v>
      </c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 t="s">
        <v>34</v>
      </c>
      <c r="D156" s="138" t="s">
        <v>34</v>
      </c>
      <c r="E156" s="138" t="s">
        <v>34</v>
      </c>
      <c r="F156" s="139" t="s">
        <v>34</v>
      </c>
      <c r="G156" s="162">
        <v>8595</v>
      </c>
      <c r="H156" s="163">
        <v>8595</v>
      </c>
      <c r="I156" s="53"/>
      <c r="J156" s="50"/>
      <c r="K156" s="49"/>
      <c r="L156"/>
      <c r="M156"/>
    </row>
    <row r="157" spans="2:13" ht="17.25">
      <c r="B157" s="138" t="s">
        <v>31</v>
      </c>
      <c r="C157" s="138" t="s">
        <v>31</v>
      </c>
      <c r="D157" s="138" t="s">
        <v>31</v>
      </c>
      <c r="E157" s="138" t="s">
        <v>31</v>
      </c>
      <c r="F157" s="139" t="s">
        <v>31</v>
      </c>
      <c r="G157" s="162">
        <v>6900</v>
      </c>
      <c r="H157" s="163">
        <v>6900</v>
      </c>
      <c r="I157" s="53"/>
      <c r="J157" s="50"/>
      <c r="K157" s="49"/>
      <c r="L157"/>
      <c r="M157"/>
    </row>
    <row r="158" spans="2:13" ht="17.25" customHeight="1">
      <c r="B158" s="138" t="s">
        <v>66</v>
      </c>
      <c r="C158" s="138" t="s">
        <v>66</v>
      </c>
      <c r="D158" s="138" t="s">
        <v>66</v>
      </c>
      <c r="E158" s="138" t="s">
        <v>66</v>
      </c>
      <c r="F158" s="139" t="s">
        <v>66</v>
      </c>
      <c r="G158" s="162">
        <v>4390</v>
      </c>
      <c r="H158" s="163">
        <v>4390</v>
      </c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 t="s">
        <v>35</v>
      </c>
      <c r="D159" s="138" t="s">
        <v>35</v>
      </c>
      <c r="E159" s="138" t="s">
        <v>35</v>
      </c>
      <c r="F159" s="139" t="s">
        <v>35</v>
      </c>
      <c r="G159" s="162">
        <v>3816</v>
      </c>
      <c r="H159" s="163">
        <v>3816</v>
      </c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 t="s">
        <v>36</v>
      </c>
      <c r="D160" s="138" t="s">
        <v>36</v>
      </c>
      <c r="E160" s="138" t="s">
        <v>36</v>
      </c>
      <c r="F160" s="139" t="s">
        <v>36</v>
      </c>
      <c r="G160" s="162">
        <v>2692</v>
      </c>
      <c r="H160" s="163">
        <v>2692</v>
      </c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 t="s">
        <v>41</v>
      </c>
      <c r="D161" s="138" t="s">
        <v>41</v>
      </c>
      <c r="E161" s="138" t="s">
        <v>41</v>
      </c>
      <c r="F161" s="139" t="s">
        <v>41</v>
      </c>
      <c r="G161" s="162">
        <v>1780</v>
      </c>
      <c r="H161" s="163">
        <v>1780</v>
      </c>
      <c r="I161" s="53"/>
      <c r="J161" s="50"/>
      <c r="K161" s="49"/>
      <c r="L161"/>
      <c r="M161"/>
    </row>
    <row r="162" spans="2:13" ht="17.25">
      <c r="B162" s="138" t="s">
        <v>38</v>
      </c>
      <c r="C162" s="138" t="s">
        <v>38</v>
      </c>
      <c r="D162" s="138" t="s">
        <v>38</v>
      </c>
      <c r="E162" s="138" t="s">
        <v>38</v>
      </c>
      <c r="F162" s="139" t="s">
        <v>38</v>
      </c>
      <c r="G162" s="162">
        <v>1280</v>
      </c>
      <c r="H162" s="163">
        <v>1280</v>
      </c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 t="s">
        <v>39</v>
      </c>
      <c r="D163" s="142" t="s">
        <v>39</v>
      </c>
      <c r="E163" s="142" t="s">
        <v>39</v>
      </c>
      <c r="F163" s="143" t="s">
        <v>39</v>
      </c>
      <c r="G163" s="196">
        <v>1234</v>
      </c>
      <c r="H163" s="197">
        <v>1234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41"/>
      <c r="H164" s="41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28" t="s">
        <v>19</v>
      </c>
      <c r="C168" s="128"/>
      <c r="D168" s="128"/>
      <c r="E168" s="128"/>
      <c r="F168" s="129"/>
      <c r="G168" s="190" t="s">
        <v>9</v>
      </c>
      <c r="H168" s="190"/>
      <c r="I168" s="2"/>
      <c r="J168" s="2"/>
    </row>
    <row r="169" spans="2:13" ht="17.25" customHeight="1">
      <c r="B169" s="136" t="s">
        <v>66</v>
      </c>
      <c r="C169" s="136" t="s">
        <v>66</v>
      </c>
      <c r="D169" s="136" t="s">
        <v>66</v>
      </c>
      <c r="E169" s="136" t="s">
        <v>66</v>
      </c>
      <c r="F169" s="137" t="s">
        <v>66</v>
      </c>
      <c r="G169" s="160">
        <v>1653901224201.49</v>
      </c>
      <c r="H169" s="161">
        <v>1653901224201.49</v>
      </c>
      <c r="I169" s="55"/>
      <c r="J169" s="56"/>
    </row>
    <row r="170" spans="2:13" ht="17.25" customHeight="1">
      <c r="B170" s="138" t="s">
        <v>34</v>
      </c>
      <c r="C170" s="138" t="s">
        <v>34</v>
      </c>
      <c r="D170" s="138" t="s">
        <v>34</v>
      </c>
      <c r="E170" s="138" t="s">
        <v>34</v>
      </c>
      <c r="F170" s="139" t="s">
        <v>34</v>
      </c>
      <c r="G170" s="162">
        <v>1109340434944.52</v>
      </c>
      <c r="H170" s="163">
        <v>1109340434944.52</v>
      </c>
      <c r="I170" s="55"/>
      <c r="J170" s="56"/>
    </row>
    <row r="171" spans="2:13" ht="17.25" customHeight="1">
      <c r="B171" s="138" t="s">
        <v>32</v>
      </c>
      <c r="C171" s="138" t="s">
        <v>32</v>
      </c>
      <c r="D171" s="138" t="s">
        <v>32</v>
      </c>
      <c r="E171" s="138" t="s">
        <v>32</v>
      </c>
      <c r="F171" s="139" t="s">
        <v>32</v>
      </c>
      <c r="G171" s="162">
        <v>658391938103.90198</v>
      </c>
      <c r="H171" s="163">
        <v>658391938103.90198</v>
      </c>
      <c r="I171" s="55"/>
      <c r="J171" s="56"/>
    </row>
    <row r="172" spans="2:13" ht="17.25" customHeight="1">
      <c r="B172" s="138" t="s">
        <v>61</v>
      </c>
      <c r="C172" s="138" t="s">
        <v>61</v>
      </c>
      <c r="D172" s="138" t="s">
        <v>61</v>
      </c>
      <c r="E172" s="138" t="s">
        <v>61</v>
      </c>
      <c r="F172" s="139" t="s">
        <v>61</v>
      </c>
      <c r="G172" s="162">
        <v>643843283532.80603</v>
      </c>
      <c r="H172" s="163">
        <v>643843283532.80603</v>
      </c>
      <c r="I172" s="55"/>
      <c r="J172" s="56"/>
    </row>
    <row r="173" spans="2:13" ht="17.25" customHeight="1">
      <c r="B173" s="138" t="s">
        <v>46</v>
      </c>
      <c r="C173" s="138" t="s">
        <v>46</v>
      </c>
      <c r="D173" s="138" t="s">
        <v>46</v>
      </c>
      <c r="E173" s="138" t="s">
        <v>46</v>
      </c>
      <c r="F173" s="139" t="s">
        <v>46</v>
      </c>
      <c r="G173" s="162">
        <v>550030577208.31995</v>
      </c>
      <c r="H173" s="163">
        <v>550030577208.31995</v>
      </c>
      <c r="I173" s="57"/>
      <c r="J173" s="50"/>
    </row>
    <row r="174" spans="2:13" ht="17.25" customHeight="1">
      <c r="B174" s="138" t="s">
        <v>33</v>
      </c>
      <c r="C174" s="138" t="s">
        <v>33</v>
      </c>
      <c r="D174" s="138" t="s">
        <v>33</v>
      </c>
      <c r="E174" s="138" t="s">
        <v>33</v>
      </c>
      <c r="F174" s="139" t="s">
        <v>33</v>
      </c>
      <c r="G174" s="162">
        <v>338580808334.72302</v>
      </c>
      <c r="H174" s="163">
        <v>338580808334.72302</v>
      </c>
      <c r="I174" s="55"/>
      <c r="J174" s="56"/>
    </row>
    <row r="175" spans="2:13" ht="17.25" customHeight="1">
      <c r="B175" s="138" t="s">
        <v>43</v>
      </c>
      <c r="C175" s="138" t="s">
        <v>43</v>
      </c>
      <c r="D175" s="138" t="s">
        <v>43</v>
      </c>
      <c r="E175" s="138" t="s">
        <v>43</v>
      </c>
      <c r="F175" s="139" t="s">
        <v>43</v>
      </c>
      <c r="G175" s="162">
        <v>316610319035.23999</v>
      </c>
      <c r="H175" s="163">
        <v>316610319035.23999</v>
      </c>
      <c r="I175" s="55"/>
      <c r="J175" s="56"/>
    </row>
    <row r="176" spans="2:13" ht="17.25" customHeight="1">
      <c r="B176" s="138" t="s">
        <v>62</v>
      </c>
      <c r="C176" s="138" t="s">
        <v>62</v>
      </c>
      <c r="D176" s="138" t="s">
        <v>62</v>
      </c>
      <c r="E176" s="138" t="s">
        <v>62</v>
      </c>
      <c r="F176" s="139" t="s">
        <v>62</v>
      </c>
      <c r="G176" s="162">
        <v>243916942028</v>
      </c>
      <c r="H176" s="163">
        <v>243916942028</v>
      </c>
      <c r="I176" s="55"/>
      <c r="J176" s="56"/>
    </row>
    <row r="177" spans="2:10" ht="17.25" customHeight="1">
      <c r="B177" s="138" t="s">
        <v>45</v>
      </c>
      <c r="C177" s="138" t="s">
        <v>45</v>
      </c>
      <c r="D177" s="138" t="s">
        <v>45</v>
      </c>
      <c r="E177" s="138" t="s">
        <v>45</v>
      </c>
      <c r="F177" s="139" t="s">
        <v>45</v>
      </c>
      <c r="G177" s="162">
        <v>243879262614.75</v>
      </c>
      <c r="H177" s="163">
        <v>243879262614.75</v>
      </c>
      <c r="I177" s="55"/>
      <c r="J177" s="56"/>
    </row>
    <row r="178" spans="2:10" ht="18" customHeight="1" thickBot="1">
      <c r="B178" s="142" t="s">
        <v>64</v>
      </c>
      <c r="C178" s="142" t="s">
        <v>64</v>
      </c>
      <c r="D178" s="142" t="s">
        <v>64</v>
      </c>
      <c r="E178" s="142" t="s">
        <v>64</v>
      </c>
      <c r="F178" s="143" t="s">
        <v>64</v>
      </c>
      <c r="G178" s="196">
        <v>229192969855.44</v>
      </c>
      <c r="H178" s="197">
        <v>229192969855.44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3:F173"/>
    <mergeCell ref="G173:H173"/>
    <mergeCell ref="B174:F174"/>
    <mergeCell ref="G174:H174"/>
    <mergeCell ref="B175:F175"/>
    <mergeCell ref="G175:H175"/>
    <mergeCell ref="B169:F169"/>
    <mergeCell ref="G169:H169"/>
    <mergeCell ref="B176:F176"/>
    <mergeCell ref="G176:H176"/>
    <mergeCell ref="B177:F177"/>
    <mergeCell ref="G177:H177"/>
    <mergeCell ref="B162:F162"/>
    <mergeCell ref="G162:H162"/>
    <mergeCell ref="B163:F163"/>
    <mergeCell ref="G163:H163"/>
    <mergeCell ref="G168:H168"/>
    <mergeCell ref="B170:F170"/>
    <mergeCell ref="G170:H170"/>
    <mergeCell ref="B171:F171"/>
    <mergeCell ref="G171:H171"/>
    <mergeCell ref="B172:F172"/>
    <mergeCell ref="G172:H172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53:D53"/>
    <mergeCell ref="B34:D34"/>
    <mergeCell ref="B35:D35"/>
    <mergeCell ref="B36:D36"/>
    <mergeCell ref="B37:D37"/>
    <mergeCell ref="B38:D38"/>
    <mergeCell ref="B39:D39"/>
    <mergeCell ref="H48:I48"/>
    <mergeCell ref="B49:D49"/>
    <mergeCell ref="B50:D50"/>
    <mergeCell ref="B51:D51"/>
    <mergeCell ref="B52:D52"/>
    <mergeCell ref="B28:D28"/>
    <mergeCell ref="B33:D33"/>
    <mergeCell ref="B14:D14"/>
    <mergeCell ref="B15:D15"/>
    <mergeCell ref="B16:D16"/>
    <mergeCell ref="B17:D17"/>
    <mergeCell ref="B22:D22"/>
    <mergeCell ref="B23:D23"/>
    <mergeCell ref="B13:D13"/>
    <mergeCell ref="B24:D24"/>
    <mergeCell ref="B25:D25"/>
    <mergeCell ref="B26:D26"/>
    <mergeCell ref="B27:D27"/>
    <mergeCell ref="B2:H2"/>
    <mergeCell ref="B3:H3"/>
    <mergeCell ref="I3:N3"/>
    <mergeCell ref="B11:D11"/>
    <mergeCell ref="B12:D12"/>
  </mergeCells>
  <pageMargins left="0.70866141732283472" right="0.70866141732283472" top="0.15748031496062992" bottom="0.15748031496062992" header="0.31496062992125984" footer="0.11811023622047245"/>
  <pageSetup paperSize="9" scale="54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721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7217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96">
    <pageSetUpPr fitToPage="1"/>
  </sheetPr>
  <dimension ref="B2:N180"/>
  <sheetViews>
    <sheetView tabSelected="1" workbookViewId="0"/>
  </sheetViews>
  <sheetFormatPr defaultRowHeight="13.5"/>
  <cols>
    <col min="1" max="1" width="3.42578125" style="78" customWidth="1"/>
    <col min="2" max="2" width="46.7109375" style="78" customWidth="1"/>
    <col min="3" max="6" width="18.42578125" style="78" customWidth="1"/>
    <col min="7" max="7" width="22.28515625" style="78" customWidth="1"/>
    <col min="8" max="8" width="18.5703125" style="78" customWidth="1"/>
    <col min="9" max="9" width="25.5703125" style="78" customWidth="1"/>
    <col min="10" max="10" width="10.5703125" style="78" customWidth="1"/>
    <col min="11" max="11" width="14.85546875" style="78" bestFit="1" customWidth="1"/>
    <col min="12" max="12" width="9.140625" style="78"/>
    <col min="13" max="13" width="23.42578125" style="78" customWidth="1"/>
    <col min="14" max="16384" width="9.140625" style="78"/>
  </cols>
  <sheetData>
    <row r="2" spans="2:14" s="1" customFormat="1" ht="20.25">
      <c r="B2" s="152" t="s">
        <v>15</v>
      </c>
      <c r="C2" s="152"/>
      <c r="D2" s="152"/>
      <c r="E2" s="152"/>
      <c r="F2" s="152"/>
      <c r="G2" s="152"/>
      <c r="H2" s="152"/>
    </row>
    <row r="3" spans="2:14" s="1" customFormat="1" ht="21" thickBot="1">
      <c r="B3" s="153">
        <v>42004</v>
      </c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20</v>
      </c>
      <c r="C6" s="68">
        <f>B3</f>
        <v>42004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50</v>
      </c>
      <c r="C10" s="14"/>
      <c r="D10" s="14"/>
      <c r="E10" s="14"/>
      <c r="F10" s="14"/>
      <c r="G10" s="14"/>
      <c r="H10" s="15" t="s">
        <v>13</v>
      </c>
    </row>
    <row r="11" spans="2:14" s="46" customFormat="1" ht="15.75" thickBot="1">
      <c r="B11" s="154" t="s">
        <v>18</v>
      </c>
      <c r="C11" s="154"/>
      <c r="D11" s="155"/>
      <c r="E11" s="75">
        <v>41973</v>
      </c>
      <c r="F11" s="75">
        <f>EDATE(E11,1)</f>
        <v>42003</v>
      </c>
      <c r="G11" s="45" t="s">
        <v>10</v>
      </c>
      <c r="H11" s="45" t="s">
        <v>11</v>
      </c>
      <c r="J11" s="80"/>
    </row>
    <row r="12" spans="2:14" s="79" customFormat="1" ht="17.25">
      <c r="B12" s="156" t="s">
        <v>0</v>
      </c>
      <c r="C12" s="156"/>
      <c r="D12" s="157"/>
      <c r="E12" s="87">
        <f>Ноябрь2014!F12</f>
        <v>1155712</v>
      </c>
      <c r="F12" s="87">
        <v>1129475</v>
      </c>
      <c r="G12" s="11">
        <f>F12-E12</f>
        <v>-26237</v>
      </c>
      <c r="H12" s="59">
        <f t="shared" ref="H12:H18" si="0">F12/E12-1</f>
        <v>-2.2702022649241371E-2</v>
      </c>
      <c r="I12" s="88"/>
      <c r="J12" s="89"/>
    </row>
    <row r="13" spans="2:14" s="79" customFormat="1" ht="17.25">
      <c r="B13" s="158" t="s">
        <v>1</v>
      </c>
      <c r="C13" s="158"/>
      <c r="D13" s="159"/>
      <c r="E13" s="87">
        <f>Ноябрь2014!F13</f>
        <v>35789</v>
      </c>
      <c r="F13" s="87">
        <v>36085</v>
      </c>
      <c r="G13" s="11">
        <f t="shared" ref="G13:G18" si="1">F13-E13</f>
        <v>296</v>
      </c>
      <c r="H13" s="59">
        <f t="shared" si="0"/>
        <v>8.2706977004107785E-3</v>
      </c>
      <c r="I13" s="88"/>
      <c r="J13" s="89"/>
    </row>
    <row r="14" spans="2:14" s="79" customFormat="1" ht="17.25">
      <c r="B14" s="158" t="s">
        <v>2</v>
      </c>
      <c r="C14" s="158"/>
      <c r="D14" s="159"/>
      <c r="E14" s="87">
        <f>Ноябрь2014!F14</f>
        <v>12735</v>
      </c>
      <c r="F14" s="87">
        <v>12793</v>
      </c>
      <c r="G14" s="11">
        <f t="shared" si="1"/>
        <v>58</v>
      </c>
      <c r="H14" s="59">
        <f t="shared" si="0"/>
        <v>4.5543776992540419E-3</v>
      </c>
      <c r="I14" s="88"/>
      <c r="J14" s="89"/>
    </row>
    <row r="15" spans="2:14" s="79" customFormat="1" ht="17.25">
      <c r="B15" s="164" t="s">
        <v>23</v>
      </c>
      <c r="C15" s="164"/>
      <c r="D15" s="165"/>
      <c r="E15" s="87">
        <f>Ноябрь2014!F15</f>
        <v>3102</v>
      </c>
      <c r="F15" s="87">
        <v>3190</v>
      </c>
      <c r="G15" s="11">
        <f t="shared" si="1"/>
        <v>88</v>
      </c>
      <c r="H15" s="59">
        <f t="shared" si="0"/>
        <v>2.8368794326241176E-2</v>
      </c>
      <c r="I15" s="88"/>
      <c r="J15" s="89"/>
    </row>
    <row r="16" spans="2:14" s="79" customFormat="1" ht="17.25">
      <c r="B16" s="166" t="s">
        <v>24</v>
      </c>
      <c r="C16" s="166"/>
      <c r="D16" s="167"/>
      <c r="E16" s="87">
        <f>Ноябрь2014!F16</f>
        <v>9633</v>
      </c>
      <c r="F16" s="87">
        <v>9603</v>
      </c>
      <c r="G16" s="11">
        <f t="shared" si="1"/>
        <v>-30</v>
      </c>
      <c r="H16" s="59">
        <f t="shared" si="0"/>
        <v>-3.1142946122703075E-3</v>
      </c>
      <c r="I16" s="88"/>
      <c r="J16" s="89"/>
    </row>
    <row r="17" spans="2:10" s="79" customFormat="1" ht="18" customHeight="1" thickBot="1">
      <c r="B17" s="168" t="s">
        <v>3</v>
      </c>
      <c r="C17" s="168"/>
      <c r="D17" s="169"/>
      <c r="E17" s="87">
        <f>Ноябрь2014!F17</f>
        <v>13100</v>
      </c>
      <c r="F17" s="87">
        <v>13081</v>
      </c>
      <c r="G17" s="11">
        <f t="shared" si="1"/>
        <v>-19</v>
      </c>
      <c r="H17" s="59">
        <f t="shared" si="0"/>
        <v>-1.4503816793892677E-3</v>
      </c>
      <c r="I17" s="88"/>
      <c r="J17" s="89"/>
    </row>
    <row r="18" spans="2:10" s="70" customFormat="1" ht="18" thickBot="1">
      <c r="B18" s="60" t="s">
        <v>4</v>
      </c>
      <c r="C18" s="60"/>
      <c r="D18" s="61"/>
      <c r="E18" s="72">
        <f>Ноябрь2014!F18</f>
        <v>1217336</v>
      </c>
      <c r="F18" s="72">
        <v>1191434</v>
      </c>
      <c r="G18" s="72">
        <f t="shared" si="1"/>
        <v>-25902</v>
      </c>
      <c r="H18" s="69">
        <f t="shared" si="0"/>
        <v>-2.1277609468544401E-2</v>
      </c>
      <c r="I18" s="88"/>
      <c r="J18" s="89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51</v>
      </c>
      <c r="C21" s="14"/>
      <c r="D21" s="14"/>
      <c r="E21" s="14"/>
      <c r="F21" s="14"/>
      <c r="G21" s="14"/>
      <c r="H21" s="15" t="s">
        <v>12</v>
      </c>
    </row>
    <row r="22" spans="2:10" s="79" customFormat="1" ht="15.75" thickBot="1">
      <c r="B22" s="154" t="s">
        <v>18</v>
      </c>
      <c r="C22" s="154"/>
      <c r="D22" s="155"/>
      <c r="E22" s="75">
        <f>E11</f>
        <v>41973</v>
      </c>
      <c r="F22" s="75">
        <f>F11</f>
        <v>42003</v>
      </c>
      <c r="G22" s="45" t="s">
        <v>10</v>
      </c>
      <c r="H22" s="45" t="s">
        <v>11</v>
      </c>
      <c r="J22" s="80"/>
    </row>
    <row r="23" spans="2:10" s="79" customFormat="1" ht="17.25">
      <c r="B23" s="156" t="s">
        <v>0</v>
      </c>
      <c r="C23" s="156"/>
      <c r="D23" s="157"/>
      <c r="E23" s="87">
        <f>Ноябрь2014!F23</f>
        <v>921438</v>
      </c>
      <c r="F23" s="87">
        <v>944559</v>
      </c>
      <c r="G23" s="11">
        <f>F23-E23</f>
        <v>23121</v>
      </c>
      <c r="H23" s="59">
        <f>F23/E23-1</f>
        <v>2.5092301381102189E-2</v>
      </c>
      <c r="I23" s="89"/>
    </row>
    <row r="24" spans="2:10" s="79" customFormat="1" ht="17.25">
      <c r="B24" s="158" t="s">
        <v>1</v>
      </c>
      <c r="C24" s="158"/>
      <c r="D24" s="159"/>
      <c r="E24" s="87">
        <f>Ноябрь2014!F24</f>
        <v>19975</v>
      </c>
      <c r="F24" s="87">
        <v>20178</v>
      </c>
      <c r="G24" s="11">
        <f t="shared" ref="G24:G29" si="2">F24-E24</f>
        <v>203</v>
      </c>
      <c r="H24" s="59">
        <f t="shared" ref="H24:H29" si="3">F24/E24-1</f>
        <v>1.0162703379223981E-2</v>
      </c>
      <c r="I24" s="89"/>
    </row>
    <row r="25" spans="2:10" s="79" customFormat="1" ht="17.25">
      <c r="B25" s="158" t="s">
        <v>2</v>
      </c>
      <c r="C25" s="158"/>
      <c r="D25" s="159"/>
      <c r="E25" s="87">
        <f>Ноябрь2014!F25</f>
        <v>7368</v>
      </c>
      <c r="F25" s="87">
        <v>7486</v>
      </c>
      <c r="G25" s="11">
        <f t="shared" si="2"/>
        <v>118</v>
      </c>
      <c r="H25" s="59">
        <f t="shared" si="3"/>
        <v>1.601520086862096E-2</v>
      </c>
      <c r="I25" s="89"/>
    </row>
    <row r="26" spans="2:10" s="79" customFormat="1" ht="17.25">
      <c r="B26" s="164" t="s">
        <v>23</v>
      </c>
      <c r="C26" s="164"/>
      <c r="D26" s="165"/>
      <c r="E26" s="87">
        <f>Ноябрь2014!F26</f>
        <v>3030</v>
      </c>
      <c r="F26" s="87">
        <v>3113</v>
      </c>
      <c r="G26" s="11">
        <f t="shared" si="2"/>
        <v>83</v>
      </c>
      <c r="H26" s="59">
        <f t="shared" si="3"/>
        <v>2.7392739273927491E-2</v>
      </c>
      <c r="I26" s="89"/>
    </row>
    <row r="27" spans="2:10" s="79" customFormat="1" ht="17.25">
      <c r="B27" s="166" t="s">
        <v>24</v>
      </c>
      <c r="C27" s="166"/>
      <c r="D27" s="167"/>
      <c r="E27" s="87">
        <f>Ноябрь2014!F27</f>
        <v>4338</v>
      </c>
      <c r="F27" s="87">
        <v>4373</v>
      </c>
      <c r="G27" s="11">
        <f t="shared" si="2"/>
        <v>35</v>
      </c>
      <c r="H27" s="59">
        <f t="shared" si="3"/>
        <v>8.0682342093130188E-3</v>
      </c>
      <c r="I27" s="89"/>
    </row>
    <row r="28" spans="2:10" s="79" customFormat="1" ht="18" thickBot="1">
      <c r="B28" s="168" t="s">
        <v>3</v>
      </c>
      <c r="C28" s="168"/>
      <c r="D28" s="169"/>
      <c r="E28" s="87">
        <f>Ноябрь2014!F28</f>
        <v>5145</v>
      </c>
      <c r="F28" s="87">
        <v>5142</v>
      </c>
      <c r="G28" s="11">
        <f t="shared" si="2"/>
        <v>-3</v>
      </c>
      <c r="H28" s="59">
        <f t="shared" si="3"/>
        <v>-5.8309037900872163E-4</v>
      </c>
      <c r="I28" s="89"/>
    </row>
    <row r="29" spans="2:10" s="70" customFormat="1" ht="18" thickBot="1">
      <c r="B29" s="60" t="s">
        <v>4</v>
      </c>
      <c r="C29" s="60"/>
      <c r="D29" s="61"/>
      <c r="E29" s="72">
        <f>Ноябрь2014!F29</f>
        <v>953926</v>
      </c>
      <c r="F29" s="72">
        <v>977365</v>
      </c>
      <c r="G29" s="72">
        <f t="shared" si="2"/>
        <v>23439</v>
      </c>
      <c r="H29" s="69">
        <f t="shared" si="3"/>
        <v>2.4571088323412926E-2</v>
      </c>
      <c r="I29" s="89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16</v>
      </c>
      <c r="C32" s="14"/>
      <c r="D32" s="14"/>
      <c r="E32" s="14"/>
      <c r="F32" s="14"/>
      <c r="G32" s="14"/>
      <c r="H32" s="15" t="s">
        <v>14</v>
      </c>
    </row>
    <row r="33" spans="2:9" ht="15.75" thickBot="1">
      <c r="B33" s="170" t="s">
        <v>18</v>
      </c>
      <c r="C33" s="170"/>
      <c r="D33" s="171"/>
      <c r="E33" s="75">
        <f>E11</f>
        <v>41973</v>
      </c>
      <c r="F33" s="75">
        <f>F11</f>
        <v>42003</v>
      </c>
      <c r="G33" s="16" t="s">
        <v>10</v>
      </c>
      <c r="H33" s="16" t="s">
        <v>11</v>
      </c>
    </row>
    <row r="34" spans="2:9" ht="17.25">
      <c r="B34" s="181" t="s">
        <v>0</v>
      </c>
      <c r="C34" s="181"/>
      <c r="D34" s="182"/>
      <c r="E34" s="87">
        <f>Ноябрь2014!F34</f>
        <v>56291</v>
      </c>
      <c r="F34" s="81">
        <v>78587</v>
      </c>
      <c r="G34" s="11">
        <f t="shared" ref="G34:G40" si="4">F34-E34</f>
        <v>22296</v>
      </c>
      <c r="H34" s="59">
        <f t="shared" ref="H34:H40" si="5">F34/E34-1</f>
        <v>0.39608463164626673</v>
      </c>
      <c r="I34" s="58"/>
    </row>
    <row r="35" spans="2:9" ht="17.25">
      <c r="B35" s="138" t="s">
        <v>1</v>
      </c>
      <c r="C35" s="138"/>
      <c r="D35" s="139"/>
      <c r="E35" s="87">
        <f>Ноябрь2014!F35</f>
        <v>1113</v>
      </c>
      <c r="F35" s="81">
        <v>1441</v>
      </c>
      <c r="G35" s="11">
        <f t="shared" si="4"/>
        <v>328</v>
      </c>
      <c r="H35" s="59">
        <f t="shared" si="5"/>
        <v>0.29469901168014379</v>
      </c>
      <c r="I35" s="58"/>
    </row>
    <row r="36" spans="2:9" ht="17.25">
      <c r="B36" s="138" t="s">
        <v>2</v>
      </c>
      <c r="C36" s="138"/>
      <c r="D36" s="139"/>
      <c r="E36" s="87">
        <f>Ноябрь2014!F36</f>
        <v>537</v>
      </c>
      <c r="F36" s="81">
        <v>668</v>
      </c>
      <c r="G36" s="11">
        <f t="shared" si="4"/>
        <v>131</v>
      </c>
      <c r="H36" s="59">
        <f t="shared" si="5"/>
        <v>0.24394785847299816</v>
      </c>
      <c r="I36" s="58"/>
    </row>
    <row r="37" spans="2:9" ht="17.25">
      <c r="B37" s="164" t="s">
        <v>23</v>
      </c>
      <c r="C37" s="164"/>
      <c r="D37" s="165"/>
      <c r="E37" s="87">
        <f>Ноябрь2014!F37</f>
        <v>186</v>
      </c>
      <c r="F37" s="81">
        <v>268</v>
      </c>
      <c r="G37" s="11">
        <f t="shared" si="4"/>
        <v>82</v>
      </c>
      <c r="H37" s="59">
        <f t="shared" si="5"/>
        <v>0.44086021505376349</v>
      </c>
      <c r="I37" s="58"/>
    </row>
    <row r="38" spans="2:9" ht="17.25">
      <c r="B38" s="166" t="s">
        <v>24</v>
      </c>
      <c r="C38" s="166"/>
      <c r="D38" s="167"/>
      <c r="E38" s="87">
        <f>Ноябрь2014!F38</f>
        <v>351</v>
      </c>
      <c r="F38" s="81">
        <v>400</v>
      </c>
      <c r="G38" s="11">
        <f t="shared" si="4"/>
        <v>49</v>
      </c>
      <c r="H38" s="59">
        <f t="shared" si="5"/>
        <v>0.13960113960113962</v>
      </c>
      <c r="I38" s="58"/>
    </row>
    <row r="39" spans="2:9" ht="18" thickBot="1">
      <c r="B39" s="183" t="s">
        <v>3</v>
      </c>
      <c r="C39" s="183"/>
      <c r="D39" s="184"/>
      <c r="E39" s="87">
        <f>Ноябрь2014!F39</f>
        <v>594</v>
      </c>
      <c r="F39" s="81">
        <v>624</v>
      </c>
      <c r="G39" s="11">
        <f t="shared" si="4"/>
        <v>30</v>
      </c>
      <c r="H39" s="59">
        <f t="shared" si="5"/>
        <v>5.0505050505050608E-2</v>
      </c>
      <c r="I39" s="58"/>
    </row>
    <row r="40" spans="2:9" s="70" customFormat="1" ht="18" thickBot="1">
      <c r="B40" s="60" t="s">
        <v>4</v>
      </c>
      <c r="C40" s="60"/>
      <c r="D40" s="61"/>
      <c r="E40" s="72">
        <f>Ноябрь2014!F40</f>
        <v>58535</v>
      </c>
      <c r="F40" s="72">
        <v>81320</v>
      </c>
      <c r="G40" s="72">
        <f t="shared" si="4"/>
        <v>22785</v>
      </c>
      <c r="H40" s="69">
        <f t="shared" si="5"/>
        <v>0.38925429230374986</v>
      </c>
      <c r="I40" s="58"/>
    </row>
    <row r="41" spans="2:9" ht="15">
      <c r="B41" s="6"/>
      <c r="C41" s="6"/>
      <c r="D41" s="6"/>
      <c r="E41" s="42"/>
      <c r="F41" s="42"/>
      <c r="G41" s="43"/>
      <c r="H41" s="44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17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52</v>
      </c>
      <c r="C48" s="23"/>
      <c r="D48" s="23"/>
      <c r="E48" s="23"/>
      <c r="F48" s="23"/>
      <c r="G48" s="23"/>
      <c r="H48" s="172" t="s">
        <v>13</v>
      </c>
      <c r="I48" s="172"/>
    </row>
    <row r="49" spans="2:9" ht="15.75" thickBot="1">
      <c r="B49" s="170" t="s">
        <v>18</v>
      </c>
      <c r="C49" s="170"/>
      <c r="D49" s="171"/>
      <c r="E49" s="75">
        <v>40543</v>
      </c>
      <c r="F49" s="75">
        <v>40908</v>
      </c>
      <c r="G49" s="75">
        <v>41274</v>
      </c>
      <c r="H49" s="75">
        <v>41639</v>
      </c>
      <c r="I49" s="75">
        <v>42004</v>
      </c>
    </row>
    <row r="50" spans="2:9" ht="17.25">
      <c r="B50" s="173" t="s">
        <v>0</v>
      </c>
      <c r="C50" s="173"/>
      <c r="D50" s="174"/>
      <c r="E50" s="83">
        <v>714295</v>
      </c>
      <c r="F50" s="83">
        <v>772175</v>
      </c>
      <c r="G50" s="83">
        <v>805549</v>
      </c>
      <c r="H50" s="83">
        <v>881844</v>
      </c>
      <c r="I50" s="83">
        <v>944559</v>
      </c>
    </row>
    <row r="51" spans="2:9" ht="17.25">
      <c r="B51" s="175" t="s">
        <v>1</v>
      </c>
      <c r="C51" s="175"/>
      <c r="D51" s="176"/>
      <c r="E51" s="84">
        <v>17170</v>
      </c>
      <c r="F51" s="84">
        <v>16850</v>
      </c>
      <c r="G51" s="84">
        <v>17821</v>
      </c>
      <c r="H51" s="84">
        <v>19539</v>
      </c>
      <c r="I51" s="84">
        <v>20178</v>
      </c>
    </row>
    <row r="52" spans="2:9" ht="17.25">
      <c r="B52" s="177" t="s">
        <v>2</v>
      </c>
      <c r="C52" s="177"/>
      <c r="D52" s="178"/>
      <c r="E52" s="86">
        <v>4295</v>
      </c>
      <c r="F52" s="86">
        <v>5058</v>
      </c>
      <c r="G52" s="86">
        <v>5876</v>
      </c>
      <c r="H52" s="86">
        <v>6957</v>
      </c>
      <c r="I52" s="86">
        <v>7486</v>
      </c>
    </row>
    <row r="53" spans="2:9" ht="18" thickBot="1">
      <c r="B53" s="179" t="s">
        <v>3</v>
      </c>
      <c r="C53" s="179"/>
      <c r="D53" s="180"/>
      <c r="E53" s="82">
        <v>5348</v>
      </c>
      <c r="F53" s="82">
        <v>5242</v>
      </c>
      <c r="G53" s="82">
        <v>5261</v>
      </c>
      <c r="H53" s="82">
        <v>5182</v>
      </c>
      <c r="I53" s="82">
        <v>5142</v>
      </c>
    </row>
    <row r="54" spans="2:9" s="71" customFormat="1" ht="18" thickBot="1">
      <c r="B54" s="191" t="s">
        <v>4</v>
      </c>
      <c r="C54" s="191"/>
      <c r="D54" s="192"/>
      <c r="E54" s="85">
        <v>741108</v>
      </c>
      <c r="F54" s="85">
        <v>799325</v>
      </c>
      <c r="G54" s="85">
        <v>834507</v>
      </c>
      <c r="H54" s="85">
        <v>913522</v>
      </c>
      <c r="I54" s="85">
        <v>977365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53</v>
      </c>
      <c r="C82" s="23"/>
      <c r="D82" s="23"/>
      <c r="E82" s="23"/>
      <c r="F82" s="23"/>
      <c r="G82" s="23"/>
      <c r="H82" s="24" t="s">
        <v>12</v>
      </c>
      <c r="I82"/>
      <c r="J82"/>
      <c r="K82"/>
    </row>
    <row r="83" spans="2:11" ht="15.75" thickBot="1">
      <c r="B83" s="32" t="s">
        <v>18</v>
      </c>
      <c r="C83" s="75">
        <f>EDATE(D83,-1)</f>
        <v>41850</v>
      </c>
      <c r="D83" s="75">
        <f>EDATE(E83,-1)</f>
        <v>41881</v>
      </c>
      <c r="E83" s="75">
        <f>EDATE(F83,-1)</f>
        <v>41912</v>
      </c>
      <c r="F83" s="75">
        <f>EDATE(G83,-1)</f>
        <v>41942</v>
      </c>
      <c r="G83" s="75">
        <f>EDATE(H83,-1)</f>
        <v>41973</v>
      </c>
      <c r="H83" s="75">
        <f>EDATE(E11,1)</f>
        <v>42003</v>
      </c>
      <c r="I83"/>
      <c r="J83"/>
    </row>
    <row r="84" spans="2:11" ht="16.5" customHeight="1">
      <c r="B84" s="25" t="s">
        <v>0</v>
      </c>
      <c r="C84" s="83">
        <v>901853</v>
      </c>
      <c r="D84" s="83">
        <v>915943</v>
      </c>
      <c r="E84" s="83">
        <v>912627</v>
      </c>
      <c r="F84" s="83">
        <v>916147</v>
      </c>
      <c r="G84" s="83">
        <v>921438</v>
      </c>
      <c r="H84" s="83">
        <v>944559</v>
      </c>
    </row>
    <row r="85" spans="2:11" ht="16.5" customHeight="1">
      <c r="B85" s="26" t="s">
        <v>1</v>
      </c>
      <c r="C85" s="84">
        <v>19846</v>
      </c>
      <c r="D85" s="84">
        <v>19872</v>
      </c>
      <c r="E85" s="84">
        <v>19829</v>
      </c>
      <c r="F85" s="84">
        <v>19927</v>
      </c>
      <c r="G85" s="84">
        <v>19975</v>
      </c>
      <c r="H85" s="84">
        <v>20178</v>
      </c>
    </row>
    <row r="86" spans="2:11" ht="16.5" customHeight="1">
      <c r="B86" s="27" t="s">
        <v>2</v>
      </c>
      <c r="C86" s="86">
        <v>7169</v>
      </c>
      <c r="D86" s="86">
        <v>7273</v>
      </c>
      <c r="E86" s="86">
        <v>7332</v>
      </c>
      <c r="F86" s="86">
        <v>7352</v>
      </c>
      <c r="G86" s="86">
        <v>7368</v>
      </c>
      <c r="H86" s="86">
        <v>7486</v>
      </c>
    </row>
    <row r="87" spans="2:11" ht="16.5" customHeight="1" thickBot="1">
      <c r="B87" s="28" t="s">
        <v>3</v>
      </c>
      <c r="C87" s="82">
        <v>5207</v>
      </c>
      <c r="D87" s="82">
        <v>5173</v>
      </c>
      <c r="E87" s="82">
        <v>5174</v>
      </c>
      <c r="F87" s="82">
        <v>5159</v>
      </c>
      <c r="G87" s="82">
        <v>5145</v>
      </c>
      <c r="H87" s="82">
        <v>5142</v>
      </c>
    </row>
    <row r="88" spans="2:11" s="71" customFormat="1" ht="18" thickBot="1">
      <c r="B88" s="133" t="s">
        <v>4</v>
      </c>
      <c r="C88" s="85">
        <v>934075</v>
      </c>
      <c r="D88" s="85">
        <v>948261</v>
      </c>
      <c r="E88" s="85">
        <v>944962</v>
      </c>
      <c r="F88" s="85">
        <v>948585</v>
      </c>
      <c r="G88" s="85">
        <v>953926</v>
      </c>
      <c r="H88" s="85">
        <v>977365</v>
      </c>
      <c r="I88" s="58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9"/>
      <c r="C123" s="29"/>
      <c r="D123" s="29"/>
      <c r="E123" s="29"/>
      <c r="F123" s="29"/>
      <c r="G123" s="29"/>
      <c r="H123" s="29"/>
    </row>
    <row r="124" spans="2:8" ht="17.25">
      <c r="B124" s="30" t="s">
        <v>25</v>
      </c>
      <c r="C124" s="134">
        <f>B3</f>
        <v>42004</v>
      </c>
      <c r="D124" s="29"/>
      <c r="E124" s="29"/>
      <c r="F124" s="29"/>
      <c r="G124" s="29"/>
      <c r="H124" s="29"/>
    </row>
    <row r="125" spans="2:8" ht="18" thickBot="1">
      <c r="B125" s="31"/>
      <c r="C125" s="31"/>
      <c r="D125" s="31"/>
      <c r="E125" s="31"/>
      <c r="F125" s="31"/>
      <c r="G125" s="31"/>
      <c r="H125" s="31"/>
    </row>
    <row r="127" spans="2:8" ht="18" thickBot="1">
      <c r="B127" s="62"/>
      <c r="C127" s="77"/>
      <c r="D127" s="36"/>
      <c r="E127" s="36"/>
      <c r="F127" s="36"/>
      <c r="G127" s="36"/>
      <c r="H127" s="37" t="s">
        <v>13</v>
      </c>
    </row>
    <row r="128" spans="2:8" ht="30.75" customHeight="1" thickBot="1">
      <c r="B128" s="171" t="s">
        <v>26</v>
      </c>
      <c r="C128" s="193"/>
      <c r="D128" s="193"/>
      <c r="E128" s="193"/>
      <c r="F128" s="193"/>
      <c r="G128" s="194" t="s">
        <v>5</v>
      </c>
      <c r="H128" s="195"/>
    </row>
    <row r="129" spans="2:10" ht="18" customHeight="1" thickBot="1">
      <c r="B129" s="143" t="s">
        <v>22</v>
      </c>
      <c r="C129" s="185"/>
      <c r="D129" s="185"/>
      <c r="E129" s="185"/>
      <c r="F129" s="185"/>
      <c r="G129" s="186">
        <v>429</v>
      </c>
      <c r="H129" s="198"/>
    </row>
    <row r="132" spans="2:10" ht="17.25">
      <c r="B132" s="33"/>
      <c r="C132" s="33"/>
      <c r="D132" s="33"/>
      <c r="E132" s="33"/>
      <c r="F132" s="33"/>
      <c r="G132" s="33"/>
      <c r="H132" s="33"/>
    </row>
    <row r="133" spans="2:10" ht="17.25">
      <c r="B133" s="34" t="s">
        <v>21</v>
      </c>
      <c r="C133" s="33"/>
      <c r="D133" s="33"/>
      <c r="E133" s="34"/>
      <c r="F133" s="74">
        <f>C6</f>
        <v>42004</v>
      </c>
      <c r="G133" s="33"/>
      <c r="H133" s="33"/>
    </row>
    <row r="134" spans="2:10" ht="18" thickBot="1">
      <c r="B134" s="35"/>
      <c r="C134" s="35"/>
      <c r="D134" s="35"/>
      <c r="E134" s="35"/>
      <c r="F134" s="35"/>
      <c r="G134" s="35"/>
      <c r="H134" s="35"/>
    </row>
    <row r="136" spans="2:10" ht="17.25">
      <c r="B136" s="90" t="s">
        <v>27</v>
      </c>
      <c r="C136" s="38"/>
      <c r="D136" s="38"/>
      <c r="E136" s="38"/>
      <c r="F136" s="38"/>
      <c r="G136" s="38"/>
      <c r="H136" s="39" t="s">
        <v>13</v>
      </c>
    </row>
    <row r="137" spans="2:10" ht="18" thickBot="1">
      <c r="B137" s="91" t="s">
        <v>28</v>
      </c>
      <c r="C137" s="38"/>
      <c r="D137" s="38"/>
      <c r="E137" s="38"/>
      <c r="F137" s="38"/>
      <c r="G137" s="38"/>
      <c r="H137" s="39"/>
    </row>
    <row r="138" spans="2:10" ht="15.75" customHeight="1" thickBot="1">
      <c r="B138" s="188" t="s">
        <v>19</v>
      </c>
      <c r="C138" s="188"/>
      <c r="D138" s="188"/>
      <c r="E138" s="188"/>
      <c r="F138" s="189"/>
      <c r="G138" s="199" t="s">
        <v>6</v>
      </c>
      <c r="H138" s="190"/>
      <c r="I138"/>
    </row>
    <row r="139" spans="2:10" ht="17.25" customHeight="1">
      <c r="B139" s="136" t="s">
        <v>31</v>
      </c>
      <c r="C139" s="136" t="s">
        <v>31</v>
      </c>
      <c r="D139" s="136" t="s">
        <v>31</v>
      </c>
      <c r="E139" s="136" t="s">
        <v>31</v>
      </c>
      <c r="F139" s="137" t="s">
        <v>31</v>
      </c>
      <c r="G139" s="160">
        <v>213367</v>
      </c>
      <c r="H139" s="161">
        <v>213367</v>
      </c>
      <c r="I139" s="47"/>
      <c r="J139" s="50"/>
    </row>
    <row r="140" spans="2:10" ht="13.5" customHeight="1">
      <c r="B140" s="138" t="s">
        <v>32</v>
      </c>
      <c r="C140" s="138" t="s">
        <v>32</v>
      </c>
      <c r="D140" s="138" t="s">
        <v>32</v>
      </c>
      <c r="E140" s="138" t="s">
        <v>32</v>
      </c>
      <c r="F140" s="139" t="s">
        <v>32</v>
      </c>
      <c r="G140" s="162">
        <v>178335</v>
      </c>
      <c r="H140" s="163">
        <v>178335</v>
      </c>
      <c r="I140" s="47"/>
      <c r="J140" s="50"/>
    </row>
    <row r="141" spans="2:10" ht="17.25" customHeight="1">
      <c r="B141" s="138" t="s">
        <v>33</v>
      </c>
      <c r="C141" s="138" t="s">
        <v>33</v>
      </c>
      <c r="D141" s="138" t="s">
        <v>33</v>
      </c>
      <c r="E141" s="138" t="s">
        <v>33</v>
      </c>
      <c r="F141" s="139" t="s">
        <v>33</v>
      </c>
      <c r="G141" s="162">
        <v>124375</v>
      </c>
      <c r="H141" s="163">
        <v>124375</v>
      </c>
      <c r="I141" s="47"/>
      <c r="J141" s="50"/>
    </row>
    <row r="142" spans="2:10" ht="17.25" customHeight="1">
      <c r="B142" s="138" t="s">
        <v>34</v>
      </c>
      <c r="C142" s="138" t="s">
        <v>34</v>
      </c>
      <c r="D142" s="138" t="s">
        <v>34</v>
      </c>
      <c r="E142" s="138" t="s">
        <v>34</v>
      </c>
      <c r="F142" s="139" t="s">
        <v>34</v>
      </c>
      <c r="G142" s="162">
        <v>121075</v>
      </c>
      <c r="H142" s="163">
        <v>121075</v>
      </c>
      <c r="I142" s="47"/>
      <c r="J142" s="50"/>
    </row>
    <row r="143" spans="2:10" ht="17.25" customHeight="1">
      <c r="B143" s="138" t="s">
        <v>35</v>
      </c>
      <c r="C143" s="138" t="s">
        <v>35</v>
      </c>
      <c r="D143" s="138" t="s">
        <v>35</v>
      </c>
      <c r="E143" s="138" t="s">
        <v>35</v>
      </c>
      <c r="F143" s="139" t="s">
        <v>35</v>
      </c>
      <c r="G143" s="162">
        <v>61786</v>
      </c>
      <c r="H143" s="163">
        <v>61786</v>
      </c>
      <c r="I143" s="47"/>
      <c r="J143" s="50"/>
    </row>
    <row r="144" spans="2:10" ht="13.5" customHeight="1">
      <c r="B144" s="138" t="s">
        <v>66</v>
      </c>
      <c r="C144" s="138" t="s">
        <v>66</v>
      </c>
      <c r="D144" s="138" t="s">
        <v>66</v>
      </c>
      <c r="E144" s="138" t="s">
        <v>66</v>
      </c>
      <c r="F144" s="139" t="s">
        <v>66</v>
      </c>
      <c r="G144" s="162">
        <v>51209</v>
      </c>
      <c r="H144" s="163">
        <v>51209</v>
      </c>
      <c r="I144" s="51"/>
      <c r="J144" s="50"/>
    </row>
    <row r="145" spans="2:13" ht="17.25" customHeight="1">
      <c r="B145" s="138" t="s">
        <v>36</v>
      </c>
      <c r="C145" s="138" t="s">
        <v>36</v>
      </c>
      <c r="D145" s="138" t="s">
        <v>36</v>
      </c>
      <c r="E145" s="138" t="s">
        <v>36</v>
      </c>
      <c r="F145" s="139" t="s">
        <v>36</v>
      </c>
      <c r="G145" s="162">
        <v>45792</v>
      </c>
      <c r="H145" s="163">
        <v>45792</v>
      </c>
      <c r="I145" s="47"/>
      <c r="J145" s="50"/>
    </row>
    <row r="146" spans="2:13" ht="17.25" customHeight="1">
      <c r="B146" s="138" t="s">
        <v>38</v>
      </c>
      <c r="C146" s="138" t="s">
        <v>38</v>
      </c>
      <c r="D146" s="138" t="s">
        <v>38</v>
      </c>
      <c r="E146" s="138" t="s">
        <v>38</v>
      </c>
      <c r="F146" s="139" t="s">
        <v>38</v>
      </c>
      <c r="G146" s="162">
        <v>30858</v>
      </c>
      <c r="H146" s="163">
        <v>30858</v>
      </c>
      <c r="I146" s="47"/>
      <c r="J146" s="50"/>
    </row>
    <row r="147" spans="2:13" ht="17.25" customHeight="1">
      <c r="B147" s="138" t="s">
        <v>39</v>
      </c>
      <c r="C147" s="138" t="s">
        <v>39</v>
      </c>
      <c r="D147" s="138" t="s">
        <v>39</v>
      </c>
      <c r="E147" s="138" t="s">
        <v>39</v>
      </c>
      <c r="F147" s="139" t="s">
        <v>39</v>
      </c>
      <c r="G147" s="162">
        <v>21263</v>
      </c>
      <c r="H147" s="163">
        <v>21263</v>
      </c>
      <c r="I147" s="47"/>
      <c r="J147" s="50"/>
      <c r="L147"/>
    </row>
    <row r="148" spans="2:13" ht="18" customHeight="1" thickBot="1">
      <c r="B148" s="142" t="s">
        <v>40</v>
      </c>
      <c r="C148" s="142" t="s">
        <v>40</v>
      </c>
      <c r="D148" s="142" t="s">
        <v>40</v>
      </c>
      <c r="E148" s="142" t="s">
        <v>40</v>
      </c>
      <c r="F148" s="143" t="s">
        <v>40</v>
      </c>
      <c r="G148" s="196">
        <v>19719</v>
      </c>
      <c r="H148" s="197">
        <v>19719</v>
      </c>
      <c r="I148" s="47"/>
      <c r="J148" s="50"/>
      <c r="L148"/>
    </row>
    <row r="149" spans="2:13" ht="17.25">
      <c r="G149" s="41"/>
      <c r="H149" s="41"/>
      <c r="I149" s="52"/>
      <c r="J149" s="52"/>
    </row>
    <row r="150" spans="2:13" ht="17.25">
      <c r="B150" s="40"/>
      <c r="C150" s="40"/>
      <c r="D150" s="40"/>
      <c r="E150" s="40"/>
      <c r="F150" s="40"/>
      <c r="G150" s="41"/>
      <c r="H150" s="41"/>
      <c r="I150" s="52"/>
      <c r="J150" s="52"/>
    </row>
    <row r="151" spans="2:13" ht="17.25">
      <c r="B151" s="90" t="s">
        <v>7</v>
      </c>
      <c r="C151" s="38"/>
      <c r="D151" s="38"/>
      <c r="E151" s="38"/>
      <c r="F151" s="38"/>
      <c r="G151" s="38"/>
      <c r="H151" s="39" t="s">
        <v>12</v>
      </c>
      <c r="I151" s="52"/>
      <c r="J151" s="52"/>
    </row>
    <row r="152" spans="2:13" ht="18" thickBot="1">
      <c r="B152" s="91" t="s">
        <v>29</v>
      </c>
      <c r="C152" s="38"/>
      <c r="D152" s="38"/>
      <c r="E152" s="38"/>
      <c r="F152" s="38"/>
      <c r="G152" s="38"/>
      <c r="H152" s="39"/>
      <c r="I152" s="52"/>
      <c r="J152" s="52"/>
    </row>
    <row r="153" spans="2:13" ht="15.75" thickBot="1">
      <c r="B153" s="170" t="s">
        <v>19</v>
      </c>
      <c r="C153" s="170"/>
      <c r="D153" s="170"/>
      <c r="E153" s="170"/>
      <c r="F153" s="171"/>
      <c r="G153" s="190" t="s">
        <v>6</v>
      </c>
      <c r="H153" s="190"/>
      <c r="I153" s="52"/>
      <c r="J153" s="52"/>
      <c r="K153"/>
      <c r="L153"/>
      <c r="M153"/>
    </row>
    <row r="154" spans="2:13" ht="17.25" customHeight="1">
      <c r="B154" s="136" t="s">
        <v>32</v>
      </c>
      <c r="C154" s="136" t="s">
        <v>32</v>
      </c>
      <c r="D154" s="136" t="s">
        <v>32</v>
      </c>
      <c r="E154" s="136" t="s">
        <v>32</v>
      </c>
      <c r="F154" s="137" t="s">
        <v>32</v>
      </c>
      <c r="G154" s="160">
        <v>14766</v>
      </c>
      <c r="H154" s="161">
        <v>14766</v>
      </c>
      <c r="I154" s="53"/>
      <c r="J154" s="50"/>
      <c r="K154" s="49"/>
      <c r="L154"/>
      <c r="M154"/>
    </row>
    <row r="155" spans="2:13" ht="17.25" customHeight="1">
      <c r="B155" s="138" t="s">
        <v>33</v>
      </c>
      <c r="C155" s="138" t="s">
        <v>33</v>
      </c>
      <c r="D155" s="138" t="s">
        <v>33</v>
      </c>
      <c r="E155" s="138" t="s">
        <v>33</v>
      </c>
      <c r="F155" s="139" t="s">
        <v>33</v>
      </c>
      <c r="G155" s="162">
        <v>12181</v>
      </c>
      <c r="H155" s="163">
        <v>12181</v>
      </c>
      <c r="I155" s="53"/>
      <c r="J155" s="50"/>
      <c r="K155" s="49"/>
      <c r="L155"/>
      <c r="M155"/>
    </row>
    <row r="156" spans="2:13" ht="17.25" customHeight="1">
      <c r="B156" s="138" t="s">
        <v>34</v>
      </c>
      <c r="C156" s="138" t="s">
        <v>34</v>
      </c>
      <c r="D156" s="138" t="s">
        <v>34</v>
      </c>
      <c r="E156" s="138" t="s">
        <v>34</v>
      </c>
      <c r="F156" s="139" t="s">
        <v>34</v>
      </c>
      <c r="G156" s="162">
        <v>11659</v>
      </c>
      <c r="H156" s="163">
        <v>11659</v>
      </c>
      <c r="I156" s="53"/>
      <c r="J156" s="50"/>
      <c r="K156" s="49"/>
      <c r="L156"/>
      <c r="M156"/>
    </row>
    <row r="157" spans="2:13" ht="17.25">
      <c r="B157" s="138" t="s">
        <v>31</v>
      </c>
      <c r="C157" s="138" t="s">
        <v>31</v>
      </c>
      <c r="D157" s="138" t="s">
        <v>31</v>
      </c>
      <c r="E157" s="138" t="s">
        <v>31</v>
      </c>
      <c r="F157" s="139" t="s">
        <v>31</v>
      </c>
      <c r="G157" s="162">
        <v>9700</v>
      </c>
      <c r="H157" s="163">
        <v>9700</v>
      </c>
      <c r="I157" s="53"/>
      <c r="J157" s="50"/>
      <c r="K157" s="49"/>
      <c r="L157"/>
      <c r="M157"/>
    </row>
    <row r="158" spans="2:13" ht="17.25" customHeight="1">
      <c r="B158" s="138" t="s">
        <v>66</v>
      </c>
      <c r="C158" s="138" t="s">
        <v>66</v>
      </c>
      <c r="D158" s="138" t="s">
        <v>66</v>
      </c>
      <c r="E158" s="138" t="s">
        <v>66</v>
      </c>
      <c r="F158" s="139" t="s">
        <v>66</v>
      </c>
      <c r="G158" s="162">
        <v>6521</v>
      </c>
      <c r="H158" s="163">
        <v>6521</v>
      </c>
      <c r="I158" s="53"/>
      <c r="J158" s="50"/>
      <c r="K158" s="49"/>
      <c r="L158"/>
      <c r="M158"/>
    </row>
    <row r="159" spans="2:13" ht="17.25" customHeight="1">
      <c r="B159" s="138" t="s">
        <v>35</v>
      </c>
      <c r="C159" s="138" t="s">
        <v>35</v>
      </c>
      <c r="D159" s="138" t="s">
        <v>35</v>
      </c>
      <c r="E159" s="138" t="s">
        <v>35</v>
      </c>
      <c r="F159" s="139" t="s">
        <v>35</v>
      </c>
      <c r="G159" s="162">
        <v>5337</v>
      </c>
      <c r="H159" s="163">
        <v>5337</v>
      </c>
      <c r="I159" s="54"/>
      <c r="J159" s="50"/>
      <c r="K159" s="49"/>
      <c r="L159"/>
      <c r="M159"/>
    </row>
    <row r="160" spans="2:13" ht="17.25" customHeight="1">
      <c r="B160" s="138" t="s">
        <v>36</v>
      </c>
      <c r="C160" s="138" t="s">
        <v>36</v>
      </c>
      <c r="D160" s="138" t="s">
        <v>36</v>
      </c>
      <c r="E160" s="138" t="s">
        <v>36</v>
      </c>
      <c r="F160" s="139" t="s">
        <v>36</v>
      </c>
      <c r="G160" s="162">
        <v>3670</v>
      </c>
      <c r="H160" s="163">
        <v>3670</v>
      </c>
      <c r="I160" s="53"/>
      <c r="J160" s="50"/>
      <c r="K160" s="49"/>
      <c r="L160"/>
      <c r="M160"/>
    </row>
    <row r="161" spans="2:13" ht="17.25" customHeight="1">
      <c r="B161" s="138" t="s">
        <v>41</v>
      </c>
      <c r="C161" s="138" t="s">
        <v>41</v>
      </c>
      <c r="D161" s="138" t="s">
        <v>41</v>
      </c>
      <c r="E161" s="138" t="s">
        <v>41</v>
      </c>
      <c r="F161" s="139" t="s">
        <v>41</v>
      </c>
      <c r="G161" s="162">
        <v>2183</v>
      </c>
      <c r="H161" s="163">
        <v>2183</v>
      </c>
      <c r="I161" s="53"/>
      <c r="J161" s="50"/>
      <c r="K161" s="49"/>
      <c r="L161"/>
      <c r="M161"/>
    </row>
    <row r="162" spans="2:13" ht="17.25">
      <c r="B162" s="138" t="s">
        <v>38</v>
      </c>
      <c r="C162" s="138" t="s">
        <v>38</v>
      </c>
      <c r="D162" s="138" t="s">
        <v>38</v>
      </c>
      <c r="E162" s="138" t="s">
        <v>38</v>
      </c>
      <c r="F162" s="139" t="s">
        <v>38</v>
      </c>
      <c r="G162" s="162">
        <v>1789</v>
      </c>
      <c r="H162" s="163">
        <v>1789</v>
      </c>
      <c r="I162" s="53"/>
      <c r="J162" s="50"/>
      <c r="K162" s="49"/>
      <c r="L162"/>
      <c r="M162"/>
    </row>
    <row r="163" spans="2:13" ht="18" customHeight="1" thickBot="1">
      <c r="B163" s="142" t="s">
        <v>39</v>
      </c>
      <c r="C163" s="142" t="s">
        <v>39</v>
      </c>
      <c r="D163" s="142" t="s">
        <v>39</v>
      </c>
      <c r="E163" s="142" t="s">
        <v>39</v>
      </c>
      <c r="F163" s="143" t="s">
        <v>39</v>
      </c>
      <c r="G163" s="196">
        <v>1649</v>
      </c>
      <c r="H163" s="197">
        <v>1649</v>
      </c>
      <c r="I163" s="53"/>
      <c r="J163" s="50"/>
      <c r="K163" s="49"/>
      <c r="L163"/>
      <c r="M163"/>
    </row>
    <row r="164" spans="2:13" ht="17.25">
      <c r="B164" s="40"/>
      <c r="C164" s="40"/>
      <c r="D164" s="40"/>
      <c r="E164" s="40"/>
      <c r="F164" s="40"/>
      <c r="G164" s="135"/>
      <c r="H164" s="135"/>
      <c r="I164" s="52"/>
      <c r="J164" s="52"/>
      <c r="L164"/>
      <c r="M164"/>
    </row>
    <row r="165" spans="2:13" ht="17.25">
      <c r="G165" s="41"/>
      <c r="H165" s="41"/>
      <c r="I165" s="2"/>
      <c r="J165" s="2"/>
    </row>
    <row r="166" spans="2:13" ht="17.25">
      <c r="B166" s="90" t="s">
        <v>8</v>
      </c>
      <c r="C166" s="38"/>
      <c r="D166" s="38"/>
      <c r="E166" s="38"/>
      <c r="F166" s="38"/>
      <c r="G166" s="38"/>
      <c r="H166" s="39" t="s">
        <v>14</v>
      </c>
      <c r="I166" s="2"/>
      <c r="J166" s="52"/>
      <c r="K166"/>
    </row>
    <row r="167" spans="2:13" ht="18" thickBot="1">
      <c r="B167" s="91" t="s">
        <v>30</v>
      </c>
      <c r="C167" s="38"/>
      <c r="D167" s="38"/>
      <c r="E167" s="38"/>
      <c r="F167" s="38"/>
      <c r="G167" s="38"/>
      <c r="H167" s="39"/>
      <c r="I167" s="2"/>
      <c r="J167" s="52"/>
      <c r="K167"/>
    </row>
    <row r="168" spans="2:13" ht="15" customHeight="1" thickBot="1">
      <c r="B168" s="131" t="s">
        <v>19</v>
      </c>
      <c r="C168" s="131"/>
      <c r="D168" s="131"/>
      <c r="E168" s="131"/>
      <c r="F168" s="132"/>
      <c r="G168" s="190" t="s">
        <v>9</v>
      </c>
      <c r="H168" s="190"/>
      <c r="I168" s="2"/>
      <c r="J168" s="2"/>
    </row>
    <row r="169" spans="2:13" ht="17.25" customHeight="1">
      <c r="B169" s="136" t="s">
        <v>66</v>
      </c>
      <c r="C169" s="136" t="s">
        <v>66</v>
      </c>
      <c r="D169" s="136" t="s">
        <v>66</v>
      </c>
      <c r="E169" s="136" t="s">
        <v>66</v>
      </c>
      <c r="F169" s="137" t="s">
        <v>66</v>
      </c>
      <c r="G169" s="160">
        <v>1845659782413.6699</v>
      </c>
      <c r="H169" s="161">
        <v>1845659782413.6699</v>
      </c>
      <c r="I169" s="55"/>
      <c r="J169" s="56"/>
    </row>
    <row r="170" spans="2:13" ht="17.25" customHeight="1">
      <c r="B170" s="138" t="s">
        <v>34</v>
      </c>
      <c r="C170" s="138" t="s">
        <v>34</v>
      </c>
      <c r="D170" s="138" t="s">
        <v>34</v>
      </c>
      <c r="E170" s="138" t="s">
        <v>34</v>
      </c>
      <c r="F170" s="139" t="s">
        <v>34</v>
      </c>
      <c r="G170" s="162">
        <v>1499138364859.04</v>
      </c>
      <c r="H170" s="163">
        <v>1499138364859.04</v>
      </c>
      <c r="I170" s="55"/>
      <c r="J170" s="56"/>
    </row>
    <row r="171" spans="2:13" ht="17.25" customHeight="1">
      <c r="B171" s="138" t="s">
        <v>32</v>
      </c>
      <c r="C171" s="138" t="s">
        <v>32</v>
      </c>
      <c r="D171" s="138" t="s">
        <v>32</v>
      </c>
      <c r="E171" s="138" t="s">
        <v>32</v>
      </c>
      <c r="F171" s="139" t="s">
        <v>32</v>
      </c>
      <c r="G171" s="162">
        <v>839841412872.80701</v>
      </c>
      <c r="H171" s="163">
        <v>839841412872.80701</v>
      </c>
      <c r="I171" s="55"/>
      <c r="J171" s="56"/>
    </row>
    <row r="172" spans="2:13" ht="17.25" customHeight="1">
      <c r="B172" s="138" t="s">
        <v>61</v>
      </c>
      <c r="C172" s="138" t="s">
        <v>61</v>
      </c>
      <c r="D172" s="138" t="s">
        <v>61</v>
      </c>
      <c r="E172" s="138" t="s">
        <v>61</v>
      </c>
      <c r="F172" s="139" t="s">
        <v>61</v>
      </c>
      <c r="G172" s="162">
        <v>779086082344.09595</v>
      </c>
      <c r="H172" s="163">
        <v>779086082344.09595</v>
      </c>
      <c r="I172" s="55"/>
      <c r="J172" s="56"/>
    </row>
    <row r="173" spans="2:13" ht="17.25" customHeight="1">
      <c r="B173" s="138" t="s">
        <v>46</v>
      </c>
      <c r="C173" s="138" t="s">
        <v>46</v>
      </c>
      <c r="D173" s="138" t="s">
        <v>46</v>
      </c>
      <c r="E173" s="138" t="s">
        <v>46</v>
      </c>
      <c r="F173" s="139" t="s">
        <v>46</v>
      </c>
      <c r="G173" s="162">
        <v>487063679364.95001</v>
      </c>
      <c r="H173" s="163">
        <v>487063679364.95001</v>
      </c>
      <c r="I173" s="57"/>
      <c r="J173" s="50"/>
    </row>
    <row r="174" spans="2:13" ht="17.25" customHeight="1">
      <c r="B174" s="138" t="s">
        <v>33</v>
      </c>
      <c r="C174" s="138" t="s">
        <v>33</v>
      </c>
      <c r="D174" s="138" t="s">
        <v>33</v>
      </c>
      <c r="E174" s="138" t="s">
        <v>33</v>
      </c>
      <c r="F174" s="139" t="s">
        <v>33</v>
      </c>
      <c r="G174" s="162">
        <v>428736815976.02197</v>
      </c>
      <c r="H174" s="163">
        <v>428736815976.02197</v>
      </c>
      <c r="I174" s="55"/>
      <c r="J174" s="56"/>
    </row>
    <row r="175" spans="2:13" ht="17.25" customHeight="1">
      <c r="B175" s="138" t="s">
        <v>43</v>
      </c>
      <c r="C175" s="138" t="s">
        <v>43</v>
      </c>
      <c r="D175" s="138" t="s">
        <v>43</v>
      </c>
      <c r="E175" s="138" t="s">
        <v>43</v>
      </c>
      <c r="F175" s="139" t="s">
        <v>43</v>
      </c>
      <c r="G175" s="162">
        <v>365381611287.25</v>
      </c>
      <c r="H175" s="163">
        <v>365381611287.25</v>
      </c>
      <c r="I175" s="55"/>
      <c r="J175" s="56"/>
    </row>
    <row r="176" spans="2:13" ht="17.25" customHeight="1">
      <c r="B176" s="138" t="s">
        <v>45</v>
      </c>
      <c r="C176" s="138" t="s">
        <v>45</v>
      </c>
      <c r="D176" s="138" t="s">
        <v>45</v>
      </c>
      <c r="E176" s="138" t="s">
        <v>45</v>
      </c>
      <c r="F176" s="139" t="s">
        <v>45</v>
      </c>
      <c r="G176" s="162">
        <v>285711839408.96002</v>
      </c>
      <c r="H176" s="163">
        <v>285711839408.96002</v>
      </c>
      <c r="I176" s="55"/>
      <c r="J176" s="56"/>
    </row>
    <row r="177" spans="2:10" ht="17.25" customHeight="1">
      <c r="B177" s="138" t="s">
        <v>64</v>
      </c>
      <c r="C177" s="138" t="s">
        <v>64</v>
      </c>
      <c r="D177" s="138" t="s">
        <v>64</v>
      </c>
      <c r="E177" s="138" t="s">
        <v>64</v>
      </c>
      <c r="F177" s="139" t="s">
        <v>64</v>
      </c>
      <c r="G177" s="162">
        <v>229850832018.62</v>
      </c>
      <c r="H177" s="163">
        <v>229850832018.62</v>
      </c>
      <c r="I177" s="55"/>
      <c r="J177" s="56"/>
    </row>
    <row r="178" spans="2:10" ht="18" customHeight="1" thickBot="1">
      <c r="B178" s="142" t="s">
        <v>58</v>
      </c>
      <c r="C178" s="142" t="s">
        <v>58</v>
      </c>
      <c r="D178" s="142" t="s">
        <v>58</v>
      </c>
      <c r="E178" s="142" t="s">
        <v>58</v>
      </c>
      <c r="F178" s="143" t="s">
        <v>58</v>
      </c>
      <c r="G178" s="196">
        <v>212971016861.63</v>
      </c>
      <c r="H178" s="197">
        <v>212971016861.63</v>
      </c>
      <c r="I178" s="55"/>
      <c r="J178" s="56"/>
    </row>
    <row r="179" spans="2:10" ht="17.25">
      <c r="G179" s="41"/>
      <c r="H179" s="41"/>
      <c r="J179" s="48"/>
    </row>
    <row r="180" spans="2:10">
      <c r="B180" s="58"/>
      <c r="J180" s="48"/>
    </row>
  </sheetData>
  <dataConsolidate link="1"/>
  <mergeCells count="100">
    <mergeCell ref="B178:F178"/>
    <mergeCell ref="G178:H178"/>
    <mergeCell ref="B173:F173"/>
    <mergeCell ref="G173:H173"/>
    <mergeCell ref="B174:F174"/>
    <mergeCell ref="G174:H174"/>
    <mergeCell ref="B175:F175"/>
    <mergeCell ref="G175:H175"/>
    <mergeCell ref="B169:F169"/>
    <mergeCell ref="G169:H169"/>
    <mergeCell ref="B176:F176"/>
    <mergeCell ref="G176:H176"/>
    <mergeCell ref="B177:F177"/>
    <mergeCell ref="G177:H177"/>
    <mergeCell ref="B162:F162"/>
    <mergeCell ref="G162:H162"/>
    <mergeCell ref="B163:F163"/>
    <mergeCell ref="G163:H163"/>
    <mergeCell ref="G168:H168"/>
    <mergeCell ref="B170:F170"/>
    <mergeCell ref="G170:H170"/>
    <mergeCell ref="B171:F171"/>
    <mergeCell ref="G171:H171"/>
    <mergeCell ref="B172:F172"/>
    <mergeCell ref="G172:H172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61:F161"/>
    <mergeCell ref="G161:H161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44:F144"/>
    <mergeCell ref="G144:H144"/>
    <mergeCell ref="B145:F145"/>
    <mergeCell ref="G145:H145"/>
    <mergeCell ref="B140:F140"/>
    <mergeCell ref="G140:H140"/>
    <mergeCell ref="B141:F141"/>
    <mergeCell ref="G141:H141"/>
    <mergeCell ref="B142:F142"/>
    <mergeCell ref="G142:H142"/>
    <mergeCell ref="B54:D54"/>
    <mergeCell ref="B128:F128"/>
    <mergeCell ref="G128:H128"/>
    <mergeCell ref="B143:F143"/>
    <mergeCell ref="G143:H143"/>
    <mergeCell ref="B129:F129"/>
    <mergeCell ref="G129:H129"/>
    <mergeCell ref="B138:F138"/>
    <mergeCell ref="G138:H138"/>
    <mergeCell ref="B139:F139"/>
    <mergeCell ref="G139:H139"/>
    <mergeCell ref="B53:D53"/>
    <mergeCell ref="B34:D34"/>
    <mergeCell ref="B35:D35"/>
    <mergeCell ref="B36:D36"/>
    <mergeCell ref="B37:D37"/>
    <mergeCell ref="B38:D38"/>
    <mergeCell ref="B39:D39"/>
    <mergeCell ref="H48:I48"/>
    <mergeCell ref="B49:D49"/>
    <mergeCell ref="B50:D50"/>
    <mergeCell ref="B51:D51"/>
    <mergeCell ref="B52:D52"/>
    <mergeCell ref="B28:D28"/>
    <mergeCell ref="B33:D33"/>
    <mergeCell ref="B14:D14"/>
    <mergeCell ref="B15:D15"/>
    <mergeCell ref="B16:D16"/>
    <mergeCell ref="B17:D17"/>
    <mergeCell ref="B22:D22"/>
    <mergeCell ref="B23:D23"/>
    <mergeCell ref="B13:D13"/>
    <mergeCell ref="B24:D24"/>
    <mergeCell ref="B25:D25"/>
    <mergeCell ref="B26:D26"/>
    <mergeCell ref="B27:D27"/>
    <mergeCell ref="B2:H2"/>
    <mergeCell ref="B3:H3"/>
    <mergeCell ref="I3:N3"/>
    <mergeCell ref="B11:D11"/>
    <mergeCell ref="B12:D1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3824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38241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Январь2014</vt:lpstr>
      <vt:lpstr>Февраль2014</vt:lpstr>
      <vt:lpstr>Март2014</vt:lpstr>
      <vt:lpstr>Апрель2014</vt:lpstr>
      <vt:lpstr>Май2014</vt:lpstr>
      <vt:lpstr>Июнь2014</vt:lpstr>
      <vt:lpstr>Июль2014</vt:lpstr>
      <vt:lpstr>Август2014</vt:lpstr>
      <vt:lpstr>Сентябрь2014</vt:lpstr>
      <vt:lpstr>Октябрь2014</vt:lpstr>
      <vt:lpstr>Ноябрь2014</vt:lpstr>
      <vt:lpstr>Декабрь2014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Захарова Ирина Алексеевна</cp:lastModifiedBy>
  <cp:lastPrinted>2015-01-14T09:04:21Z</cp:lastPrinted>
  <dcterms:created xsi:type="dcterms:W3CDTF">2007-06-25T14:16:27Z</dcterms:created>
  <dcterms:modified xsi:type="dcterms:W3CDTF">2017-05-03T08:51:59Z</dcterms:modified>
</cp:coreProperties>
</file>