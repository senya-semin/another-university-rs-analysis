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9.xml.rels" ContentType="application/vnd.openxmlformats-package.relationships+xml"/>
  <Override PartName="/xl/worksheets/_rels/sheet6.xml.rels" ContentType="application/vnd.openxmlformats-package.relationships+xml"/>
  <Override PartName="/xl/worksheets/_rels/sheet8.xml.rels" ContentType="application/vnd.openxmlformats-package.relationships+xml"/>
  <Override PartName="/xl/worksheets/_rels/sheet5.xml.rels" ContentType="application/vnd.openxmlformats-package.relationships+xml"/>
  <Override PartName="/xl/worksheets/_rels/sheet12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11.xml.rels" ContentType="application/vnd.openxmlformats-package.relationships+xml"/>
  <Override PartName="/xl/worksheets/_rels/sheet3.xml.rels" ContentType="application/vnd.openxmlformats-package.relationships+xml"/>
  <Override PartName="/xl/worksheets/_rels/sheet10.xml.rels" ContentType="application/vnd.openxmlformats-package.relationships+xml"/>
  <Override PartName="/xl/worksheets/_rels/sheet2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2.xml" ContentType="application/vnd.openxmlformats-officedocument.drawingml.chart+xml"/>
  <Override PartName="/xl/charts/chart11.xml" ContentType="application/vnd.openxmlformats-officedocument.drawingml.chart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2.xml" ContentType="application/vnd.openxmlformats-officedocument.drawingml.chart+xml"/>
  <Override PartName="/xl/charts/chart21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18.xml" ContentType="application/vnd.openxmlformats-officedocument.drawingml.chart+xml"/>
  <Override PartName="/xl/charts/chart17.xml" ContentType="application/vnd.openxmlformats-officedocument.drawingml.chart+xml"/>
  <Override PartName="/xl/charts/chart16.xml" ContentType="application/vnd.openxmlformats-officedocument.drawingml.chart+xml"/>
  <Override PartName="/xl/charts/chart15.xml" ContentType="application/vnd.openxmlformats-officedocument.drawingml.chart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1.xml" ContentType="application/vnd.openxmlformats-officedocument.drawingml.chart+xml"/>
  <Override PartName="/xl/charts/chart13.xml" ContentType="application/vnd.openxmlformats-officedocument.drawingml.chart+xml"/>
  <Override PartName="/xl/charts/chart2.xml" ContentType="application/vnd.openxmlformats-officedocument.drawingml.chart+xml"/>
  <Override PartName="/xl/charts/chart24.xml" ContentType="application/vnd.openxmlformats-officedocument.drawingml.chart+xml"/>
  <Override PartName="/xl/drawings/_rels/drawing9.xml.rels" ContentType="application/vnd.openxmlformats-package.relationships+xml"/>
  <Override PartName="/xl/drawings/_rels/drawing3.xml.rels" ContentType="application/vnd.openxmlformats-package.relationships+xml"/>
  <Override PartName="/xl/drawings/_rels/drawing8.xml.rels" ContentType="application/vnd.openxmlformats-package.relationships+xml"/>
  <Override PartName="/xl/drawings/_rels/drawing12.xml.rels" ContentType="application/vnd.openxmlformats-package.relationships+xml"/>
  <Override PartName="/xl/drawings/_rels/drawing7.xml.rels" ContentType="application/vnd.openxmlformats-package.relationships+xml"/>
  <Override PartName="/xl/drawings/_rels/drawing11.xml.rels" ContentType="application/vnd.openxmlformats-package.relationships+xml"/>
  <Override PartName="/xl/drawings/_rels/drawing6.xml.rels" ContentType="application/vnd.openxmlformats-package.relationships+xml"/>
  <Override PartName="/xl/drawings/_rels/drawing10.xml.rels" ContentType="application/vnd.openxmlformats-package.relationships+xml"/>
  <Override PartName="/xl/drawings/_rels/drawing5.xml.rels" ContentType="application/vnd.openxmlformats-package.relationships+xml"/>
  <Override PartName="/xl/drawings/_rels/drawing2.xml.rels" ContentType="application/vnd.openxmlformats-package.relationships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10.xml" ContentType="application/vnd.openxmlformats-officedocument.drawing+xml"/>
  <Override PartName="/xl/drawings/drawing6.xml" ContentType="application/vnd.openxmlformats-officedocument.drawing+xml"/>
  <Override PartName="/xl/drawings/drawing11.xml" ContentType="application/vnd.openxmlformats-officedocument.drawing+xml"/>
  <Override PartName="/xl/drawings/drawing7.xml" ContentType="application/vnd.openxmlformats-officedocument.drawing+xml"/>
  <Override PartName="/xl/drawings/drawing12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1"/>
  </bookViews>
  <sheets>
    <sheet name="Январь2012" sheetId="1" state="visible" r:id="rId3"/>
    <sheet name="Февраль2012" sheetId="2" state="visible" r:id="rId4"/>
    <sheet name="Март2012" sheetId="3" state="visible" r:id="rId5"/>
    <sheet name="Апрель2012" sheetId="4" state="visible" r:id="rId6"/>
    <sheet name="Май2012" sheetId="5" state="visible" r:id="rId7"/>
    <sheet name="Июнь2012" sheetId="6" state="visible" r:id="rId8"/>
    <sheet name="Июль2012" sheetId="7" state="visible" r:id="rId9"/>
    <sheet name="Август2012" sheetId="8" state="visible" r:id="rId10"/>
    <sheet name="Сентябрь2012" sheetId="9" state="visible" r:id="rId11"/>
    <sheet name="Октябрь2012" sheetId="10" state="visible" r:id="rId12"/>
    <sheet name="Ноябрь2012" sheetId="11" state="visible" r:id="rId13"/>
    <sheet name="Декабрь2012" sheetId="12" state="visible" r:id="rId14"/>
  </sheets>
  <definedNames>
    <definedName function="false" hidden="false" localSheetId="8" name="_xlnm.Print_Area" vbProcedure="false">Сентябрь2012!$A$1:$H$191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<sst xmlns="http://schemas.openxmlformats.org/spreadsheetml/2006/main" count="1560" uniqueCount="370">
  <si>
    <t xml:space="preserve">Клиенты Участников торгов Фондовой биржи ММВБ</t>
  </si>
  <si>
    <t xml:space="preserve">Динамика количества клиентов за </t>
  </si>
  <si>
    <t xml:space="preserve">Количество зарегистрированных клиентов в Системе торгов:</t>
  </si>
  <si>
    <t xml:space="preserve">Таблица 1</t>
  </si>
  <si>
    <t xml:space="preserve">Группы клиентов</t>
  </si>
  <si>
    <t xml:space="preserve">Изменение (ед.)</t>
  </si>
  <si>
    <t xml:space="preserve">Изменение (%)</t>
  </si>
  <si>
    <t xml:space="preserve">Физические лица</t>
  </si>
  <si>
    <t xml:space="preserve">Юридические лица</t>
  </si>
  <si>
    <t xml:space="preserve">Нерезиденты</t>
  </si>
  <si>
    <t xml:space="preserve">Нерезиденты - физические лица </t>
  </si>
  <si>
    <t xml:space="preserve">Нерезиденты - юридические лица </t>
  </si>
  <si>
    <t xml:space="preserve">Клиенты, передавшие свои средства в ДУ</t>
  </si>
  <si>
    <t xml:space="preserve">Всего</t>
  </si>
  <si>
    <t xml:space="preserve">Количество уникальных клиентов в Системе торгов:</t>
  </si>
  <si>
    <t xml:space="preserve">Таблица 2</t>
  </si>
  <si>
    <t xml:space="preserve">Количество активных клиентов в Системе торгов (совершивших в течение месяца хотя бы одну сделку):</t>
  </si>
  <si>
    <t xml:space="preserve">Таблица 3</t>
  </si>
  <si>
    <t xml:space="preserve">Изменение количества уникальных клиентов - ретроспективные данные</t>
  </si>
  <si>
    <t xml:space="preserve">Количество уникальных клиентов в Системе торгов (ежегодная статистика):</t>
  </si>
  <si>
    <t xml:space="preserve">Количество уникальных клиентов в Системе торгов (за последние 6 месяцев):</t>
  </si>
  <si>
    <t xml:space="preserve">Дополнительные показатели за</t>
  </si>
  <si>
    <t xml:space="preserve">Участники торгов</t>
  </si>
  <si>
    <t xml:space="preserve">Абсолютные показатели</t>
  </si>
  <si>
    <t xml:space="preserve">Количество Участников торгов, имеющих зарегистрированных клиентов</t>
  </si>
  <si>
    <t xml:space="preserve">Количество Участников торгов, имеющих уникальных клиентов</t>
  </si>
  <si>
    <t xml:space="preserve">Количество Участников торгов, имеющих активных клиентов</t>
  </si>
  <si>
    <t xml:space="preserve">Списки ведущих операторов фондового рынка - клиенты Участников торгов за </t>
  </si>
  <si>
    <t xml:space="preserve">Ведущие операторы рынка – число зарегистрированных клиентов</t>
  </si>
  <si>
    <t xml:space="preserve">Наименование Участника торгов</t>
  </si>
  <si>
    <t xml:space="preserve">Количество клиентов</t>
  </si>
  <si>
    <t xml:space="preserve">Сбербанк России ОАО</t>
  </si>
  <si>
    <t xml:space="preserve">189 072</t>
  </si>
  <si>
    <t xml:space="preserve">ВТБ 24 (ЗАО)</t>
  </si>
  <si>
    <t xml:space="preserve">171 165</t>
  </si>
  <si>
    <t xml:space="preserve">ЗАО "ФИНАМ"</t>
  </si>
  <si>
    <t xml:space="preserve">109 207</t>
  </si>
  <si>
    <t xml:space="preserve">ООО "Компания БКС"</t>
  </si>
  <si>
    <t xml:space="preserve">95 008</t>
  </si>
  <si>
    <t xml:space="preserve">ОАО "АЛЬФА-БАНК"</t>
  </si>
  <si>
    <t xml:space="preserve">56 306</t>
  </si>
  <si>
    <t xml:space="preserve">ООО "АТОН"</t>
  </si>
  <si>
    <t xml:space="preserve">40 231</t>
  </si>
  <si>
    <t xml:space="preserve">ФК "ОТКРЫТИЕ"</t>
  </si>
  <si>
    <t xml:space="preserve">26 612</t>
  </si>
  <si>
    <t xml:space="preserve">ГК "АЛОР"</t>
  </si>
  <si>
    <t xml:space="preserve">19 035</t>
  </si>
  <si>
    <t xml:space="preserve">ООО "Инвестиционная палата"</t>
  </si>
  <si>
    <t xml:space="preserve">18 706</t>
  </si>
  <si>
    <t xml:space="preserve">КИТ Финанс (ООО)</t>
  </si>
  <si>
    <t xml:space="preserve">18 602</t>
  </si>
  <si>
    <t xml:space="preserve">Ведущие операторы рынка – число активных клиентов</t>
  </si>
  <si>
    <t xml:space="preserve">18 047</t>
  </si>
  <si>
    <t xml:space="preserve">14 914</t>
  </si>
  <si>
    <t xml:space="preserve">12 992</t>
  </si>
  <si>
    <t xml:space="preserve">8 850</t>
  </si>
  <si>
    <t xml:space="preserve">5 865</t>
  </si>
  <si>
    <t xml:space="preserve">5 680</t>
  </si>
  <si>
    <t xml:space="preserve">3 375</t>
  </si>
  <si>
    <t xml:space="preserve">2 489</t>
  </si>
  <si>
    <t xml:space="preserve">2 276</t>
  </si>
  <si>
    <t xml:space="preserve">ООО "НЭТТРЭЙДЕР"</t>
  </si>
  <si>
    <t xml:space="preserve">1 579</t>
  </si>
  <si>
    <t xml:space="preserve">Ведущие операторы рынка – объем клиентских операций</t>
  </si>
  <si>
    <t xml:space="preserve">Торговый оборот, руб.</t>
  </si>
  <si>
    <t xml:space="preserve">ЗАО ИК "Тройка Диалог"</t>
  </si>
  <si>
    <t xml:space="preserve">928 909 986 093</t>
  </si>
  <si>
    <t xml:space="preserve">ИК ”Ренессанс Капитал”</t>
  </si>
  <si>
    <t xml:space="preserve">756 791 310 063</t>
  </si>
  <si>
    <t xml:space="preserve">534 781 986 103</t>
  </si>
  <si>
    <t xml:space="preserve">ОАО "Промсвязьбанк"</t>
  </si>
  <si>
    <t xml:space="preserve">451 120 751 066</t>
  </si>
  <si>
    <t xml:space="preserve">381 706 975 857</t>
  </si>
  <si>
    <t xml:space="preserve">321 828 369 686</t>
  </si>
  <si>
    <t xml:space="preserve">217 222 805 057</t>
  </si>
  <si>
    <t xml:space="preserve">155 589 616 549</t>
  </si>
  <si>
    <t xml:space="preserve">113 927 604 271</t>
  </si>
  <si>
    <t xml:space="preserve">ООО "ИК ВЕЛЕС Капитал"</t>
  </si>
  <si>
    <t xml:space="preserve">103 399 232 313</t>
  </si>
  <si>
    <t xml:space="preserve">190 194</t>
  </si>
  <si>
    <t xml:space="preserve">172 271</t>
  </si>
  <si>
    <t xml:space="preserve">110 214</t>
  </si>
  <si>
    <t xml:space="preserve">95 974</t>
  </si>
  <si>
    <t xml:space="preserve">56 727</t>
  </si>
  <si>
    <t xml:space="preserve">40 463</t>
  </si>
  <si>
    <t xml:space="preserve">27 146</t>
  </si>
  <si>
    <t xml:space="preserve">19 187</t>
  </si>
  <si>
    <t xml:space="preserve">18 833</t>
  </si>
  <si>
    <t xml:space="preserve">18 671</t>
  </si>
  <si>
    <t xml:space="preserve">17 816</t>
  </si>
  <si>
    <t xml:space="preserve">15 105</t>
  </si>
  <si>
    <t xml:space="preserve">14 358</t>
  </si>
  <si>
    <t xml:space="preserve">9 127</t>
  </si>
  <si>
    <t xml:space="preserve">6 081</t>
  </si>
  <si>
    <t xml:space="preserve">5 984</t>
  </si>
  <si>
    <t xml:space="preserve">3 706</t>
  </si>
  <si>
    <t xml:space="preserve">2 541</t>
  </si>
  <si>
    <t xml:space="preserve">2 331</t>
  </si>
  <si>
    <t xml:space="preserve">1 784</t>
  </si>
  <si>
    <t xml:space="preserve">984 282 388 114</t>
  </si>
  <si>
    <t xml:space="preserve">964 785 157 085</t>
  </si>
  <si>
    <t xml:space="preserve">557 640 698 138</t>
  </si>
  <si>
    <t xml:space="preserve">425 669 500 969</t>
  </si>
  <si>
    <t xml:space="preserve">410 968 308 782</t>
  </si>
  <si>
    <t xml:space="preserve">351 651 019 239</t>
  </si>
  <si>
    <t xml:space="preserve">350 508 264 201</t>
  </si>
  <si>
    <t xml:space="preserve">190 575 903 939</t>
  </si>
  <si>
    <t xml:space="preserve">ООО "РОНИН"</t>
  </si>
  <si>
    <t xml:space="preserve">156 194 773 705</t>
  </si>
  <si>
    <t xml:space="preserve">123 350 813 708</t>
  </si>
  <si>
    <t xml:space="preserve">191 042</t>
  </si>
  <si>
    <t xml:space="preserve">174 343</t>
  </si>
  <si>
    <t xml:space="preserve">111 218</t>
  </si>
  <si>
    <t xml:space="preserve">97 202</t>
  </si>
  <si>
    <t xml:space="preserve">57 073</t>
  </si>
  <si>
    <t xml:space="preserve">40 660</t>
  </si>
  <si>
    <t xml:space="preserve">27 848</t>
  </si>
  <si>
    <t xml:space="preserve">19 361</t>
  </si>
  <si>
    <t xml:space="preserve">18 973</t>
  </si>
  <si>
    <t xml:space="preserve">18 796</t>
  </si>
  <si>
    <t xml:space="preserve">17 856</t>
  </si>
  <si>
    <t xml:space="preserve">15 111</t>
  </si>
  <si>
    <t xml:space="preserve">14 648</t>
  </si>
  <si>
    <t xml:space="preserve">9 154</t>
  </si>
  <si>
    <t xml:space="preserve">6 073</t>
  </si>
  <si>
    <t xml:space="preserve">6 015</t>
  </si>
  <si>
    <t xml:space="preserve">3 780</t>
  </si>
  <si>
    <t xml:space="preserve">2 318</t>
  </si>
  <si>
    <t xml:space="preserve">2 303</t>
  </si>
  <si>
    <t xml:space="preserve">1 768</t>
  </si>
  <si>
    <t xml:space="preserve">1 395 244 960 880</t>
  </si>
  <si>
    <t xml:space="preserve">1 222 487 014 543</t>
  </si>
  <si>
    <t xml:space="preserve">736 013 029 451</t>
  </si>
  <si>
    <t xml:space="preserve">448 011 670 647</t>
  </si>
  <si>
    <t xml:space="preserve">416 789 824 943</t>
  </si>
  <si>
    <t xml:space="preserve">398 500 648 181</t>
  </si>
  <si>
    <t xml:space="preserve">338 489 070 338</t>
  </si>
  <si>
    <t xml:space="preserve">264 836 319 829</t>
  </si>
  <si>
    <t xml:space="preserve">240 415 756 367</t>
  </si>
  <si>
    <t xml:space="preserve">174 559 800 062</t>
  </si>
  <si>
    <t xml:space="preserve">ОАО "Сбербанк России"</t>
  </si>
  <si>
    <t xml:space="preserve">191 698</t>
  </si>
  <si>
    <t xml:space="preserve">175 683</t>
  </si>
  <si>
    <t xml:space="preserve">112 265</t>
  </si>
  <si>
    <t xml:space="preserve">98 125</t>
  </si>
  <si>
    <t xml:space="preserve">57 388</t>
  </si>
  <si>
    <t xml:space="preserve">40 845</t>
  </si>
  <si>
    <t xml:space="preserve">30 166</t>
  </si>
  <si>
    <t xml:space="preserve">19 526</t>
  </si>
  <si>
    <t xml:space="preserve">19 082</t>
  </si>
  <si>
    <t xml:space="preserve">18 921</t>
  </si>
  <si>
    <t xml:space="preserve">16 205</t>
  </si>
  <si>
    <t xml:space="preserve">13 054</t>
  </si>
  <si>
    <t xml:space="preserve">11 016</t>
  </si>
  <si>
    <t xml:space="preserve">8 977</t>
  </si>
  <si>
    <t xml:space="preserve">5 270</t>
  </si>
  <si>
    <t xml:space="preserve">5 074</t>
  </si>
  <si>
    <t xml:space="preserve">3 317</t>
  </si>
  <si>
    <t xml:space="preserve">2 143</t>
  </si>
  <si>
    <t xml:space="preserve">1 986</t>
  </si>
  <si>
    <t xml:space="preserve">1 483</t>
  </si>
  <si>
    <t xml:space="preserve">ИК «Ренессанс Капитал»</t>
  </si>
  <si>
    <t xml:space="preserve">1 406 679 135 171</t>
  </si>
  <si>
    <t xml:space="preserve">ЗАО ИК «Тройка Диалог»</t>
  </si>
  <si>
    <t xml:space="preserve">1 354 151 517 529</t>
  </si>
  <si>
    <t xml:space="preserve">ФК «ОТКРЫТИЕ»</t>
  </si>
  <si>
    <t xml:space="preserve">679 349 896 251</t>
  </si>
  <si>
    <t xml:space="preserve">ЗАО «ФИНАМ»</t>
  </si>
  <si>
    <t xml:space="preserve">432 915 429 077</t>
  </si>
  <si>
    <t xml:space="preserve">ОАО «Промсвязьбанк»</t>
  </si>
  <si>
    <t xml:space="preserve">423 603 755 576</t>
  </si>
  <si>
    <t xml:space="preserve">ООО «Компания БКС»</t>
  </si>
  <si>
    <t xml:space="preserve">423 520 627 369</t>
  </si>
  <si>
    <t xml:space="preserve">ООО «АТОН»</t>
  </si>
  <si>
    <t xml:space="preserve">372 126 076 328</t>
  </si>
  <si>
    <t xml:space="preserve">ООО «РОНИН»</t>
  </si>
  <si>
    <t xml:space="preserve">252 638 270 865</t>
  </si>
  <si>
    <t xml:space="preserve">ГК «АЛОР»</t>
  </si>
  <si>
    <t xml:space="preserve">252 008 886 261</t>
  </si>
  <si>
    <t xml:space="preserve">ООО «ИК ВЕЛЕС Капитал»</t>
  </si>
  <si>
    <t xml:space="preserve">150 071 751 990</t>
  </si>
  <si>
    <t xml:space="preserve">ОАО «Сбербанк России»</t>
  </si>
  <si>
    <t xml:space="preserve">192 125</t>
  </si>
  <si>
    <t xml:space="preserve">176 904</t>
  </si>
  <si>
    <t xml:space="preserve">113 178</t>
  </si>
  <si>
    <t xml:space="preserve">99 003</t>
  </si>
  <si>
    <t xml:space="preserve">ОАО «АЛЬФА-БАНК»</t>
  </si>
  <si>
    <t xml:space="preserve">57 714</t>
  </si>
  <si>
    <t xml:space="preserve">41 054</t>
  </si>
  <si>
    <t xml:space="preserve">30 610</t>
  </si>
  <si>
    <t xml:space="preserve">19 679</t>
  </si>
  <si>
    <t xml:space="preserve">ООО «Инвестиционная палата»</t>
  </si>
  <si>
    <t xml:space="preserve">19 172</t>
  </si>
  <si>
    <t xml:space="preserve">19 041</t>
  </si>
  <si>
    <t xml:space="preserve">16 541</t>
  </si>
  <si>
    <t xml:space="preserve">13 549</t>
  </si>
  <si>
    <t xml:space="preserve">11 062</t>
  </si>
  <si>
    <t xml:space="preserve">8 820</t>
  </si>
  <si>
    <t xml:space="preserve">5 811</t>
  </si>
  <si>
    <t xml:space="preserve">5 144</t>
  </si>
  <si>
    <t xml:space="preserve">3 438</t>
  </si>
  <si>
    <t xml:space="preserve">2 118</t>
  </si>
  <si>
    <t xml:space="preserve">2 104</t>
  </si>
  <si>
    <t xml:space="preserve">ООО «НЭТТРЭЙДЕР»</t>
  </si>
  <si>
    <t xml:space="preserve">1 605</t>
  </si>
  <si>
    <t xml:space="preserve">1 435 377 701 203</t>
  </si>
  <si>
    <t xml:space="preserve">1 236 629 685 186</t>
  </si>
  <si>
    <t xml:space="preserve">654 794 563 808</t>
  </si>
  <si>
    <t xml:space="preserve">433 318 945 623</t>
  </si>
  <si>
    <t xml:space="preserve">431 898 066 594</t>
  </si>
  <si>
    <t xml:space="preserve">398 918 753 522</t>
  </si>
  <si>
    <t xml:space="preserve">307 451 120 686</t>
  </si>
  <si>
    <t xml:space="preserve">274 010 040 657</t>
  </si>
  <si>
    <t xml:space="preserve">252 776 446 110</t>
  </si>
  <si>
    <t xml:space="preserve">112 786 315 946</t>
  </si>
  <si>
    <t xml:space="preserve">189 597</t>
  </si>
  <si>
    <t xml:space="preserve">178 401</t>
  </si>
  <si>
    <t xml:space="preserve">113 931</t>
  </si>
  <si>
    <t xml:space="preserve">100 002</t>
  </si>
  <si>
    <t xml:space="preserve">57 983</t>
  </si>
  <si>
    <t xml:space="preserve">41 238</t>
  </si>
  <si>
    <t xml:space="preserve">31 094</t>
  </si>
  <si>
    <t xml:space="preserve">19 829</t>
  </si>
  <si>
    <t xml:space="preserve">19 145</t>
  </si>
  <si>
    <t xml:space="preserve">19 064</t>
  </si>
  <si>
    <t xml:space="preserve">13 348</t>
  </si>
  <si>
    <t xml:space="preserve">11 269</t>
  </si>
  <si>
    <t xml:space="preserve">10 563</t>
  </si>
  <si>
    <t xml:space="preserve">7 082</t>
  </si>
  <si>
    <t xml:space="preserve">4 782</t>
  </si>
  <si>
    <t xml:space="preserve">4 170</t>
  </si>
  <si>
    <t xml:space="preserve">2 987</t>
  </si>
  <si>
    <t xml:space="preserve">1 834</t>
  </si>
  <si>
    <t xml:space="preserve">1 772</t>
  </si>
  <si>
    <t xml:space="preserve">1 491</t>
  </si>
  <si>
    <t xml:space="preserve">1 384 187 398 967</t>
  </si>
  <si>
    <t xml:space="preserve">843 664 312 780</t>
  </si>
  <si>
    <t xml:space="preserve">588 879 922 329</t>
  </si>
  <si>
    <t xml:space="preserve">388 049 385 204</t>
  </si>
  <si>
    <t xml:space="preserve">351 725 731 927</t>
  </si>
  <si>
    <t xml:space="preserve">346 457 027 989</t>
  </si>
  <si>
    <t xml:space="preserve">231 225 176 665</t>
  </si>
  <si>
    <t xml:space="preserve">207 906 026 988</t>
  </si>
  <si>
    <t xml:space="preserve">161 795 194 475</t>
  </si>
  <si>
    <t xml:space="preserve">ОАО «УБРиР»</t>
  </si>
  <si>
    <t xml:space="preserve">115 006 030 592</t>
  </si>
  <si>
    <t xml:space="preserve">186 024</t>
  </si>
  <si>
    <t xml:space="preserve">179 621</t>
  </si>
  <si>
    <t xml:space="preserve">114 605</t>
  </si>
  <si>
    <t xml:space="preserve">100 781</t>
  </si>
  <si>
    <t xml:space="preserve">58 232</t>
  </si>
  <si>
    <t xml:space="preserve">41 387</t>
  </si>
  <si>
    <t xml:space="preserve">31 521</t>
  </si>
  <si>
    <t xml:space="preserve">20 126</t>
  </si>
  <si>
    <t xml:space="preserve">19 250</t>
  </si>
  <si>
    <t xml:space="preserve">19 110</t>
  </si>
  <si>
    <t xml:space="preserve">13 644</t>
  </si>
  <si>
    <t xml:space="preserve">11 492</t>
  </si>
  <si>
    <t xml:space="preserve">10 421</t>
  </si>
  <si>
    <t xml:space="preserve">7 266</t>
  </si>
  <si>
    <t xml:space="preserve">4 713</t>
  </si>
  <si>
    <t xml:space="preserve">4 373</t>
  </si>
  <si>
    <t xml:space="preserve">3 186</t>
  </si>
  <si>
    <t xml:space="preserve">1 795</t>
  </si>
  <si>
    <t xml:space="preserve">1 748</t>
  </si>
  <si>
    <t xml:space="preserve">1 635</t>
  </si>
  <si>
    <t xml:space="preserve">1 595 669 002 669</t>
  </si>
  <si>
    <t xml:space="preserve">974 825 146 672</t>
  </si>
  <si>
    <t xml:space="preserve">529 498 025 474</t>
  </si>
  <si>
    <t xml:space="preserve">435 469 464 211</t>
  </si>
  <si>
    <t xml:space="preserve">394 958 849 384</t>
  </si>
  <si>
    <t xml:space="preserve">347 243 312 203</t>
  </si>
  <si>
    <t xml:space="preserve">228 374 868 184</t>
  </si>
  <si>
    <t xml:space="preserve">213 707 751 422</t>
  </si>
  <si>
    <t xml:space="preserve">188 494 846 086</t>
  </si>
  <si>
    <t xml:space="preserve">184 048 455 598</t>
  </si>
  <si>
    <t xml:space="preserve">Дополнительные показатели на</t>
  </si>
  <si>
    <t xml:space="preserve">ООО «БК РЕГИОН»</t>
  </si>
  <si>
    <t xml:space="preserve">183 020</t>
  </si>
  <si>
    <t xml:space="preserve">169 494</t>
  </si>
  <si>
    <t xml:space="preserve">115 838</t>
  </si>
  <si>
    <t xml:space="preserve">102 502</t>
  </si>
  <si>
    <t xml:space="preserve">58 777</t>
  </si>
  <si>
    <t xml:space="preserve">41 696</t>
  </si>
  <si>
    <t xml:space="preserve">32 324</t>
  </si>
  <si>
    <t xml:space="preserve">23 508</t>
  </si>
  <si>
    <t xml:space="preserve">ЗАО «Сбербанк КИБ»</t>
  </si>
  <si>
    <t xml:space="preserve">19 589</t>
  </si>
  <si>
    <t xml:space="preserve">19 412</t>
  </si>
  <si>
    <t xml:space="preserve">13 793</t>
  </si>
  <si>
    <t xml:space="preserve">12 867</t>
  </si>
  <si>
    <t xml:space="preserve">12 283</t>
  </si>
  <si>
    <t xml:space="preserve">7 717</t>
  </si>
  <si>
    <t xml:space="preserve">4 915</t>
  </si>
  <si>
    <t xml:space="preserve">4 657</t>
  </si>
  <si>
    <t xml:space="preserve">3 399</t>
  </si>
  <si>
    <t xml:space="preserve">2 006</t>
  </si>
  <si>
    <t xml:space="preserve">1 964</t>
  </si>
  <si>
    <t xml:space="preserve">1 838</t>
  </si>
  <si>
    <t xml:space="preserve">1 012 034 902 257</t>
  </si>
  <si>
    <t xml:space="preserve">837 318 512 375</t>
  </si>
  <si>
    <t xml:space="preserve">631 158 334 284</t>
  </si>
  <si>
    <t xml:space="preserve">560 683 328 478</t>
  </si>
  <si>
    <t xml:space="preserve">488 301 751 589</t>
  </si>
  <si>
    <t xml:space="preserve">404 409 028 764</t>
  </si>
  <si>
    <t xml:space="preserve">402 795 428 012</t>
  </si>
  <si>
    <t xml:space="preserve">273 465 320 412</t>
  </si>
  <si>
    <t xml:space="preserve">217 084 704 424</t>
  </si>
  <si>
    <t xml:space="preserve">178 628 423 418</t>
  </si>
  <si>
    <t xml:space="preserve">184 576</t>
  </si>
  <si>
    <t xml:space="preserve">170 695</t>
  </si>
  <si>
    <t xml:space="preserve">117 026</t>
  </si>
  <si>
    <t xml:space="preserve">ФГ БКС</t>
  </si>
  <si>
    <t xml:space="preserve">103 247</t>
  </si>
  <si>
    <t xml:space="preserve">59 074</t>
  </si>
  <si>
    <t xml:space="preserve">41 888</t>
  </si>
  <si>
    <t xml:space="preserve">32 827</t>
  </si>
  <si>
    <t xml:space="preserve">26 198</t>
  </si>
  <si>
    <t xml:space="preserve">19 475</t>
  </si>
  <si>
    <t xml:space="preserve">19 224</t>
  </si>
  <si>
    <t xml:space="preserve">12 809</t>
  </si>
  <si>
    <t xml:space="preserve">12 235</t>
  </si>
  <si>
    <t xml:space="preserve">11 009</t>
  </si>
  <si>
    <t xml:space="preserve">7 078</t>
  </si>
  <si>
    <t xml:space="preserve">4 598</t>
  </si>
  <si>
    <t xml:space="preserve">4 320</t>
  </si>
  <si>
    <t xml:space="preserve">3 178</t>
  </si>
  <si>
    <t xml:space="preserve">1 941</t>
  </si>
  <si>
    <t xml:space="preserve">1 713</t>
  </si>
  <si>
    <t xml:space="preserve">1 636</t>
  </si>
  <si>
    <t xml:space="preserve">1 153 876 893 195</t>
  </si>
  <si>
    <t xml:space="preserve">814 779 022 643</t>
  </si>
  <si>
    <t xml:space="preserve">702 353 735 042</t>
  </si>
  <si>
    <t xml:space="preserve">485 184 413 878</t>
  </si>
  <si>
    <t xml:space="preserve">476 569 803 182</t>
  </si>
  <si>
    <t xml:space="preserve">419 649 676 499</t>
  </si>
  <si>
    <t xml:space="preserve">417 514 356 800</t>
  </si>
  <si>
    <t xml:space="preserve">287 382 549 655</t>
  </si>
  <si>
    <t xml:space="preserve">256 176 908 235</t>
  </si>
  <si>
    <t xml:space="preserve">250 222 720 201</t>
  </si>
  <si>
    <t xml:space="preserve">186 095</t>
  </si>
  <si>
    <t xml:space="preserve">172 148</t>
  </si>
  <si>
    <t xml:space="preserve">117 696</t>
  </si>
  <si>
    <t xml:space="preserve">104 228</t>
  </si>
  <si>
    <t xml:space="preserve">59 347</t>
  </si>
  <si>
    <t xml:space="preserve">42 016</t>
  </si>
  <si>
    <t xml:space="preserve">33 354</t>
  </si>
  <si>
    <t xml:space="preserve">27 512</t>
  </si>
  <si>
    <t xml:space="preserve">19 565</t>
  </si>
  <si>
    <t xml:space="preserve">19 258</t>
  </si>
  <si>
    <t xml:space="preserve">12 962</t>
  </si>
  <si>
    <t xml:space="preserve">12 196</t>
  </si>
  <si>
    <t xml:space="preserve">10 553</t>
  </si>
  <si>
    <t xml:space="preserve">7 115</t>
  </si>
  <si>
    <t xml:space="preserve">4 496</t>
  </si>
  <si>
    <t xml:space="preserve">4 131</t>
  </si>
  <si>
    <t xml:space="preserve">3 180</t>
  </si>
  <si>
    <t xml:space="preserve">1 841</t>
  </si>
  <si>
    <t xml:space="preserve">1 594</t>
  </si>
  <si>
    <t xml:space="preserve">1 586</t>
  </si>
  <si>
    <t xml:space="preserve">1 231 292 524 840</t>
  </si>
  <si>
    <t xml:space="preserve">844 685 273 270</t>
  </si>
  <si>
    <t xml:space="preserve">722 317 396 949</t>
  </si>
  <si>
    <t xml:space="preserve">476 272 433 347</t>
  </si>
  <si>
    <t xml:space="preserve">403 311 089 451</t>
  </si>
  <si>
    <t xml:space="preserve">372 171 483 912</t>
  </si>
  <si>
    <t xml:space="preserve">243 148 443 720</t>
  </si>
  <si>
    <t xml:space="preserve">226 910 897 729</t>
  </si>
  <si>
    <t xml:space="preserve">215 812 091 820</t>
  </si>
  <si>
    <t xml:space="preserve">190 236 669 706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</si>
</sst>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[$-419]mmmm\ yyyy;@"/>
    <numFmt numFmtId="166" formatCode="0"/>
    <numFmt numFmtId="167" formatCode="#,##0"/>
    <numFmt numFmtId="168" formatCode="0%"/>
    <numFmt numFmtId="169" formatCode="0.00%"/>
    <numFmt numFmtId="170" formatCode="_(* #,##0.00_);_(* \(#,##0.00\);_(* \-??_);_(@_)"/>
    <numFmt numFmtId="171" formatCode="_-* #,##0_р_._-;\-* #,##0_р_._-;_-* \-??_р_._-;_-@_-"/>
    <numFmt numFmtId="172" formatCode="m/d/yyyy"/>
  </numFmts>
  <fonts count="25">
    <font>
      <sz val="10"/>
      <name val="Arial Cyr"/>
      <family val="0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sz val="10"/>
      <color rgb="FF000000"/>
      <name val="MS Sans Serif"/>
      <family val="2"/>
      <charset val="204"/>
    </font>
    <font>
      <sz val="8"/>
      <name val="Arial Cyr"/>
      <family val="0"/>
      <charset val="204"/>
    </font>
    <font>
      <sz val="10"/>
      <name val="Century Gothic"/>
      <family val="2"/>
      <charset val="204"/>
    </font>
    <font>
      <sz val="8"/>
      <name val="Century Gothic"/>
      <family val="2"/>
      <charset val="204"/>
    </font>
    <font>
      <b val="true"/>
      <i val="true"/>
      <sz val="12"/>
      <name val="Century Gothic"/>
      <family val="2"/>
      <charset val="204"/>
    </font>
    <font>
      <b val="true"/>
      <i val="true"/>
      <sz val="16"/>
      <name val="Century Gothic"/>
      <family val="2"/>
      <charset val="204"/>
    </font>
    <font>
      <b val="true"/>
      <i val="true"/>
      <sz val="8"/>
      <name val="Century Gothic"/>
      <family val="2"/>
      <charset val="204"/>
    </font>
    <font>
      <b val="true"/>
      <sz val="10"/>
      <name val="Century Gothic"/>
      <family val="2"/>
      <charset val="204"/>
    </font>
    <font>
      <b val="true"/>
      <sz val="8"/>
      <name val="Century Gothic"/>
      <family val="2"/>
      <charset val="204"/>
    </font>
    <font>
      <b val="true"/>
      <sz val="12"/>
      <name val="Century Gothic"/>
      <family val="2"/>
      <charset val="204"/>
    </font>
    <font>
      <sz val="12"/>
      <name val="Century Gothic"/>
      <family val="2"/>
      <charset val="204"/>
    </font>
    <font>
      <b val="true"/>
      <i val="true"/>
      <sz val="10"/>
      <name val="Century Gothic"/>
      <family val="2"/>
      <charset val="204"/>
    </font>
    <font>
      <sz val="12"/>
      <color rgb="FFFFFFFF"/>
      <name val="Century Gothic"/>
      <family val="2"/>
      <charset val="204"/>
    </font>
    <font>
      <b val="true"/>
      <sz val="11"/>
      <name val="Century Gothic"/>
      <family val="2"/>
      <charset val="204"/>
    </font>
    <font>
      <sz val="11"/>
      <name val="Century Gothic"/>
      <family val="2"/>
      <charset val="204"/>
    </font>
    <font>
      <sz val="11"/>
      <color rgb="FFFFFFFF"/>
      <name val="Century Gothic"/>
      <family val="2"/>
      <charset val="204"/>
    </font>
    <font>
      <sz val="12"/>
      <name val="Arial Cyr"/>
      <family val="0"/>
      <charset val="204"/>
    </font>
    <font>
      <sz val="8"/>
      <color rgb="FF000000"/>
      <name val="Arial Unicode MS"/>
      <family val="2"/>
      <charset val="204"/>
    </font>
    <font>
      <b val="true"/>
      <sz val="12"/>
      <color rgb="FF000000"/>
      <name val="Century Gothic"/>
      <family val="2"/>
    </font>
  </fonts>
  <fills count="23">
    <fill>
      <patternFill patternType="none"/>
    </fill>
    <fill>
      <patternFill patternType="gray125"/>
    </fill>
    <fill>
      <patternFill patternType="solid">
        <fgColor rgb="FFDCE6F2"/>
        <bgColor rgb="FFDBEEF4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FDEADA"/>
      </patternFill>
    </fill>
    <fill>
      <patternFill patternType="solid">
        <fgColor rgb="FFE6E0EC"/>
        <bgColor rgb="FFE3E3E3"/>
      </patternFill>
    </fill>
    <fill>
      <patternFill patternType="solid">
        <fgColor rgb="FFDBEEF4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B9CDE5"/>
        <bgColor rgb="FFB7DEE8"/>
      </patternFill>
    </fill>
    <fill>
      <patternFill patternType="solid">
        <fgColor rgb="FFE6B9B8"/>
        <bgColor rgb="FFCCC1DA"/>
      </patternFill>
    </fill>
    <fill>
      <patternFill patternType="solid">
        <fgColor rgb="FFD7E4BD"/>
        <bgColor rgb="FFE3E3E3"/>
      </patternFill>
    </fill>
    <fill>
      <patternFill patternType="solid">
        <fgColor rgb="FFCCC1DA"/>
        <bgColor rgb="FFB9CDE5"/>
      </patternFill>
    </fill>
    <fill>
      <patternFill patternType="solid">
        <fgColor rgb="FFB7DEE8"/>
        <bgColor rgb="FFB9CDE5"/>
      </patternFill>
    </fill>
    <fill>
      <patternFill patternType="solid">
        <fgColor rgb="FFFCD5B5"/>
        <bgColor rgb="FFF2DCDB"/>
      </patternFill>
    </fill>
    <fill>
      <patternFill patternType="solid">
        <fgColor rgb="FFFFFFCC"/>
        <bgColor rgb="FFEBF1DE"/>
      </patternFill>
    </fill>
    <fill>
      <patternFill patternType="solid">
        <fgColor rgb="FF99CCFF"/>
        <bgColor rgb="FFB9CDE5"/>
      </patternFill>
    </fill>
    <fill>
      <patternFill patternType="solid">
        <fgColor rgb="FFCCFFCC"/>
        <bgColor rgb="FFCCFFFF"/>
      </patternFill>
    </fill>
    <fill>
      <patternFill patternType="solid">
        <fgColor rgb="FFE3E3E3"/>
        <bgColor rgb="FFE6E0EC"/>
      </patternFill>
    </fill>
    <fill>
      <patternFill patternType="solid">
        <fgColor rgb="FFFF6600"/>
        <bgColor rgb="FF993300"/>
      </patternFill>
    </fill>
    <fill>
      <patternFill patternType="solid">
        <fgColor rgb="FF800000"/>
        <bgColor rgb="FF800000"/>
      </patternFill>
    </fill>
    <fill>
      <patternFill patternType="solid">
        <fgColor rgb="FFCCFFFF"/>
        <bgColor rgb="FFDBEEF4"/>
      </patternFill>
    </fill>
    <fill>
      <patternFill patternType="solid">
        <fgColor rgb="FFFF99CC"/>
        <bgColor rgb="FFE6B9B8"/>
      </patternFill>
    </fill>
    <fill>
      <patternFill patternType="solid">
        <fgColor rgb="FFFFFF99"/>
        <bgColor rgb="FFFFFFCC"/>
      </patternFill>
    </fill>
  </fills>
  <borders count="21">
    <border diagonalUp="false" diagonalDown="false">
      <left/>
      <right/>
      <top/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/>
      <right/>
      <top/>
      <bottom style="double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/>
      <top style="medium"/>
      <bottom style="thin"/>
      <diagonal/>
    </border>
  </borders>
  <cellStyleXfs count="63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2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13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  <xf numFmtId="164" fontId="0" fillId="14" borderId="1" applyFont="true" applyBorder="true" applyAlignment="true" applyProtection="false">
      <alignment horizontal="general" vertical="bottom" textRotation="0" wrapText="false" indent="0" shrinkToFit="false"/>
    </xf>
  </cellStyleXfs>
  <cellXfs count="1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1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5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15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0" fillId="15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15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15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15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15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5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6" fillId="0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7" fontId="8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8" fillId="0" borderId="7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50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8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8" fillId="0" borderId="9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8" xfId="0" applyFont="true" applyBorder="true" applyAlignment="true" applyProtection="false">
      <alignment horizontal="left" vertical="center" textRotation="0" wrapText="true" indent="1" shrinkToFit="false"/>
      <protection locked="true" hidden="false"/>
    </xf>
    <xf numFmtId="164" fontId="16" fillId="0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8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8" fillId="0" borderId="11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5" fillId="0" borderId="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15" fillId="0" borderId="5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5" fillId="0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8" fillId="0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16" fillId="0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6" fillId="0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0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6" fillId="0" borderId="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0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6" fillId="0" borderId="1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7" fontId="15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5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7" fontId="13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13" fillId="0" borderId="0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16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16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16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16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16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6" fillId="17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6" fillId="17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18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6" fillId="18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19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8" fillId="19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20" borderId="1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6" fillId="2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5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3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15" fillId="0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17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20" fillId="17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18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20" fillId="18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19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21" fillId="19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20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7" fontId="20" fillId="20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7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justify" vertical="center" textRotation="0" wrapText="false" indent="0" shrinkToFit="false"/>
      <protection locked="true" hidden="false"/>
    </xf>
    <xf numFmtId="164" fontId="10" fillId="21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21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0" fillId="21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21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15" fillId="21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0" fillId="21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21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21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15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6" fillId="0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0" borderId="17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1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19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2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2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0" fillId="2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2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2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2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2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15" fillId="0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16" fillId="0" borderId="1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16" fillId="0" borderId="2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0" xfId="59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7" fillId="0" borderId="0" xfId="59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6" fillId="0" borderId="1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0" xfId="592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16" fillId="0" borderId="1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589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right" vertical="bottom" textRotation="0" wrapText="true" indent="0" shrinkToFit="false"/>
      <protection locked="true" hidden="false"/>
    </xf>
    <xf numFmtId="164" fontId="7" fillId="0" borderId="0" xfId="59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591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3" fillId="0" borderId="0" xfId="59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3" fillId="0" borderId="0" xfId="59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6" fillId="0" borderId="10" xfId="0" applyFont="true" applyBorder="true" applyAlignment="true" applyProtection="false">
      <alignment horizontal="left" vertical="center" textRotation="0" wrapText="true" indent="1" shrinkToFit="false"/>
      <protection locked="true" hidden="false"/>
    </xf>
    <xf numFmtId="165" fontId="15" fillId="21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0" fillId="2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62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Акцент1 10" xfId="20"/>
    <cellStyle name="20% - Акцент1 2" xfId="21"/>
    <cellStyle name="20% - Акцент1 2 2" xfId="22"/>
    <cellStyle name="20% - Акцент1 2 2 2" xfId="23"/>
    <cellStyle name="20% - Акцент1 2 2 2 2" xfId="24"/>
    <cellStyle name="20% - Акцент1 2 2 3" xfId="25"/>
    <cellStyle name="20% - Акцент1 2 2 4" xfId="26"/>
    <cellStyle name="20% - Акцент1 2 3" xfId="27"/>
    <cellStyle name="20% - Акцент1 2 3 2" xfId="28"/>
    <cellStyle name="20% - Акцент1 2 4" xfId="29"/>
    <cellStyle name="20% - Акцент1 2 4 2" xfId="30"/>
    <cellStyle name="20% - Акцент1 2 5" xfId="31"/>
    <cellStyle name="20% - Акцент1 2 6" xfId="32"/>
    <cellStyle name="20% - Акцент1 3" xfId="33"/>
    <cellStyle name="20% - Акцент1 3 2" xfId="34"/>
    <cellStyle name="20% - Акцент1 3 2 2" xfId="35"/>
    <cellStyle name="20% - Акцент1 3 2 2 2" xfId="36"/>
    <cellStyle name="20% - Акцент1 3 2 3" xfId="37"/>
    <cellStyle name="20% - Акцент1 3 2 4" xfId="38"/>
    <cellStyle name="20% - Акцент1 3 3" xfId="39"/>
    <cellStyle name="20% - Акцент1 3 3 2" xfId="40"/>
    <cellStyle name="20% - Акцент1 3 4" xfId="41"/>
    <cellStyle name="20% - Акцент1 3 4 2" xfId="42"/>
    <cellStyle name="20% - Акцент1 3 5" xfId="43"/>
    <cellStyle name="20% - Акцент1 3 6" xfId="44"/>
    <cellStyle name="20% - Акцент1 4" xfId="45"/>
    <cellStyle name="20% - Акцент1 4 2" xfId="46"/>
    <cellStyle name="20% - Акцент1 4 2 2" xfId="47"/>
    <cellStyle name="20% - Акцент1 4 3" xfId="48"/>
    <cellStyle name="20% - Акцент1 4 3 2" xfId="49"/>
    <cellStyle name="20% - Акцент1 4 4" xfId="50"/>
    <cellStyle name="20% - Акцент1 4 5" xfId="51"/>
    <cellStyle name="20% - Акцент1 5" xfId="52"/>
    <cellStyle name="20% - Акцент1 5 2" xfId="53"/>
    <cellStyle name="20% - Акцент1 6" xfId="54"/>
    <cellStyle name="20% - Акцент1 6 2" xfId="55"/>
    <cellStyle name="20% - Акцент1 7" xfId="56"/>
    <cellStyle name="20% - Акцент1 7 2" xfId="57"/>
    <cellStyle name="20% - Акцент1 8" xfId="58"/>
    <cellStyle name="20% - Акцент1 9" xfId="59"/>
    <cellStyle name="20% - Акцент2 10" xfId="60"/>
    <cellStyle name="20% - Акцент2 2" xfId="61"/>
    <cellStyle name="20% - Акцент2 2 2" xfId="62"/>
    <cellStyle name="20% - Акцент2 2 2 2" xfId="63"/>
    <cellStyle name="20% - Акцент2 2 2 2 2" xfId="64"/>
    <cellStyle name="20% - Акцент2 2 2 3" xfId="65"/>
    <cellStyle name="20% - Акцент2 2 2 4" xfId="66"/>
    <cellStyle name="20% - Акцент2 2 3" xfId="67"/>
    <cellStyle name="20% - Акцент2 2 3 2" xfId="68"/>
    <cellStyle name="20% - Акцент2 2 4" xfId="69"/>
    <cellStyle name="20% - Акцент2 2 4 2" xfId="70"/>
    <cellStyle name="20% - Акцент2 2 5" xfId="71"/>
    <cellStyle name="20% - Акцент2 2 6" xfId="72"/>
    <cellStyle name="20% - Акцент2 3" xfId="73"/>
    <cellStyle name="20% - Акцент2 3 2" xfId="74"/>
    <cellStyle name="20% - Акцент2 3 2 2" xfId="75"/>
    <cellStyle name="20% - Акцент2 3 2 2 2" xfId="76"/>
    <cellStyle name="20% - Акцент2 3 2 3" xfId="77"/>
    <cellStyle name="20% - Акцент2 3 2 4" xfId="78"/>
    <cellStyle name="20% - Акцент2 3 3" xfId="79"/>
    <cellStyle name="20% - Акцент2 3 3 2" xfId="80"/>
    <cellStyle name="20% - Акцент2 3 4" xfId="81"/>
    <cellStyle name="20% - Акцент2 3 4 2" xfId="82"/>
    <cellStyle name="20% - Акцент2 3 5" xfId="83"/>
    <cellStyle name="20% - Акцент2 3 6" xfId="84"/>
    <cellStyle name="20% - Акцент2 4" xfId="85"/>
    <cellStyle name="20% - Акцент2 4 2" xfId="86"/>
    <cellStyle name="20% - Акцент2 4 2 2" xfId="87"/>
    <cellStyle name="20% - Акцент2 4 3" xfId="88"/>
    <cellStyle name="20% - Акцент2 4 3 2" xfId="89"/>
    <cellStyle name="20% - Акцент2 4 4" xfId="90"/>
    <cellStyle name="20% - Акцент2 4 5" xfId="91"/>
    <cellStyle name="20% - Акцент2 5" xfId="92"/>
    <cellStyle name="20% - Акцент2 5 2" xfId="93"/>
    <cellStyle name="20% - Акцент2 6" xfId="94"/>
    <cellStyle name="20% - Акцент2 6 2" xfId="95"/>
    <cellStyle name="20% - Акцент2 7" xfId="96"/>
    <cellStyle name="20% - Акцент2 7 2" xfId="97"/>
    <cellStyle name="20% - Акцент2 8" xfId="98"/>
    <cellStyle name="20% - Акцент2 9" xfId="99"/>
    <cellStyle name="20% - Акцент3 10" xfId="100"/>
    <cellStyle name="20% - Акцент3 2" xfId="101"/>
    <cellStyle name="20% - Акцент3 2 2" xfId="102"/>
    <cellStyle name="20% - Акцент3 2 2 2" xfId="103"/>
    <cellStyle name="20% - Акцент3 2 2 2 2" xfId="104"/>
    <cellStyle name="20% - Акцент3 2 2 3" xfId="105"/>
    <cellStyle name="20% - Акцент3 2 2 4" xfId="106"/>
    <cellStyle name="20% - Акцент3 2 3" xfId="107"/>
    <cellStyle name="20% - Акцент3 2 3 2" xfId="108"/>
    <cellStyle name="20% - Акцент3 2 4" xfId="109"/>
    <cellStyle name="20% - Акцент3 2 4 2" xfId="110"/>
    <cellStyle name="20% - Акцент3 2 5" xfId="111"/>
    <cellStyle name="20% - Акцент3 2 6" xfId="112"/>
    <cellStyle name="20% - Акцент3 3" xfId="113"/>
    <cellStyle name="20% - Акцент3 3 2" xfId="114"/>
    <cellStyle name="20% - Акцент3 3 2 2" xfId="115"/>
    <cellStyle name="20% - Акцент3 3 2 2 2" xfId="116"/>
    <cellStyle name="20% - Акцент3 3 2 3" xfId="117"/>
    <cellStyle name="20% - Акцент3 3 2 4" xfId="118"/>
    <cellStyle name="20% - Акцент3 3 3" xfId="119"/>
    <cellStyle name="20% - Акцент3 3 3 2" xfId="120"/>
    <cellStyle name="20% - Акцент3 3 4" xfId="121"/>
    <cellStyle name="20% - Акцент3 3 4 2" xfId="122"/>
    <cellStyle name="20% - Акцент3 3 5" xfId="123"/>
    <cellStyle name="20% - Акцент3 3 6" xfId="124"/>
    <cellStyle name="20% - Акцент3 4" xfId="125"/>
    <cellStyle name="20% - Акцент3 4 2" xfId="126"/>
    <cellStyle name="20% - Акцент3 4 2 2" xfId="127"/>
    <cellStyle name="20% - Акцент3 4 3" xfId="128"/>
    <cellStyle name="20% - Акцент3 4 3 2" xfId="129"/>
    <cellStyle name="20% - Акцент3 4 4" xfId="130"/>
    <cellStyle name="20% - Акцент3 4 5" xfId="131"/>
    <cellStyle name="20% - Акцент3 5" xfId="132"/>
    <cellStyle name="20% - Акцент3 5 2" xfId="133"/>
    <cellStyle name="20% - Акцент3 6" xfId="134"/>
    <cellStyle name="20% - Акцент3 6 2" xfId="135"/>
    <cellStyle name="20% - Акцент3 7" xfId="136"/>
    <cellStyle name="20% - Акцент3 7 2" xfId="137"/>
    <cellStyle name="20% - Акцент3 8" xfId="138"/>
    <cellStyle name="20% - Акцент3 9" xfId="139"/>
    <cellStyle name="20% - Акцент4 10" xfId="140"/>
    <cellStyle name="20% - Акцент4 2" xfId="141"/>
    <cellStyle name="20% - Акцент4 2 2" xfId="142"/>
    <cellStyle name="20% - Акцент4 2 2 2" xfId="143"/>
    <cellStyle name="20% - Акцент4 2 2 2 2" xfId="144"/>
    <cellStyle name="20% - Акцент4 2 2 3" xfId="145"/>
    <cellStyle name="20% - Акцент4 2 2 4" xfId="146"/>
    <cellStyle name="20% - Акцент4 2 3" xfId="147"/>
    <cellStyle name="20% - Акцент4 2 3 2" xfId="148"/>
    <cellStyle name="20% - Акцент4 2 4" xfId="149"/>
    <cellStyle name="20% - Акцент4 2 4 2" xfId="150"/>
    <cellStyle name="20% - Акцент4 2 5" xfId="151"/>
    <cellStyle name="20% - Акцент4 2 6" xfId="152"/>
    <cellStyle name="20% - Акцент4 3" xfId="153"/>
    <cellStyle name="20% - Акцент4 3 2" xfId="154"/>
    <cellStyle name="20% - Акцент4 3 2 2" xfId="155"/>
    <cellStyle name="20% - Акцент4 3 2 2 2" xfId="156"/>
    <cellStyle name="20% - Акцент4 3 2 3" xfId="157"/>
    <cellStyle name="20% - Акцент4 3 2 4" xfId="158"/>
    <cellStyle name="20% - Акцент4 3 3" xfId="159"/>
    <cellStyle name="20% - Акцент4 3 3 2" xfId="160"/>
    <cellStyle name="20% - Акцент4 3 4" xfId="161"/>
    <cellStyle name="20% - Акцент4 3 4 2" xfId="162"/>
    <cellStyle name="20% - Акцент4 3 5" xfId="163"/>
    <cellStyle name="20% - Акцент4 3 6" xfId="164"/>
    <cellStyle name="20% - Акцент4 4" xfId="165"/>
    <cellStyle name="20% - Акцент4 4 2" xfId="166"/>
    <cellStyle name="20% - Акцент4 4 2 2" xfId="167"/>
    <cellStyle name="20% - Акцент4 4 3" xfId="168"/>
    <cellStyle name="20% - Акцент4 4 3 2" xfId="169"/>
    <cellStyle name="20% - Акцент4 4 4" xfId="170"/>
    <cellStyle name="20% - Акцент4 4 5" xfId="171"/>
    <cellStyle name="20% - Акцент4 5" xfId="172"/>
    <cellStyle name="20% - Акцент4 5 2" xfId="173"/>
    <cellStyle name="20% - Акцент4 6" xfId="174"/>
    <cellStyle name="20% - Акцент4 6 2" xfId="175"/>
    <cellStyle name="20% - Акцент4 7" xfId="176"/>
    <cellStyle name="20% - Акцент4 7 2" xfId="177"/>
    <cellStyle name="20% - Акцент4 8" xfId="178"/>
    <cellStyle name="20% - Акцент4 9" xfId="179"/>
    <cellStyle name="20% - Акцент5 10" xfId="180"/>
    <cellStyle name="20% - Акцент5 2" xfId="181"/>
    <cellStyle name="20% - Акцент5 2 2" xfId="182"/>
    <cellStyle name="20% - Акцент5 2 2 2" xfId="183"/>
    <cellStyle name="20% - Акцент5 2 2 2 2" xfId="184"/>
    <cellStyle name="20% - Акцент5 2 2 3" xfId="185"/>
    <cellStyle name="20% - Акцент5 2 2 4" xfId="186"/>
    <cellStyle name="20% - Акцент5 2 3" xfId="187"/>
    <cellStyle name="20% - Акцент5 2 3 2" xfId="188"/>
    <cellStyle name="20% - Акцент5 2 4" xfId="189"/>
    <cellStyle name="20% - Акцент5 2 4 2" xfId="190"/>
    <cellStyle name="20% - Акцент5 2 5" xfId="191"/>
    <cellStyle name="20% - Акцент5 2 6" xfId="192"/>
    <cellStyle name="20% - Акцент5 3" xfId="193"/>
    <cellStyle name="20% - Акцент5 3 2" xfId="194"/>
    <cellStyle name="20% - Акцент5 3 2 2" xfId="195"/>
    <cellStyle name="20% - Акцент5 3 2 2 2" xfId="196"/>
    <cellStyle name="20% - Акцент5 3 2 3" xfId="197"/>
    <cellStyle name="20% - Акцент5 3 2 4" xfId="198"/>
    <cellStyle name="20% - Акцент5 3 3" xfId="199"/>
    <cellStyle name="20% - Акцент5 3 3 2" xfId="200"/>
    <cellStyle name="20% - Акцент5 3 4" xfId="201"/>
    <cellStyle name="20% - Акцент5 3 4 2" xfId="202"/>
    <cellStyle name="20% - Акцент5 3 5" xfId="203"/>
    <cellStyle name="20% - Акцент5 3 6" xfId="204"/>
    <cellStyle name="20% - Акцент5 4" xfId="205"/>
    <cellStyle name="20% - Акцент5 4 2" xfId="206"/>
    <cellStyle name="20% - Акцент5 4 2 2" xfId="207"/>
    <cellStyle name="20% - Акцент5 4 3" xfId="208"/>
    <cellStyle name="20% - Акцент5 4 3 2" xfId="209"/>
    <cellStyle name="20% - Акцент5 4 4" xfId="210"/>
    <cellStyle name="20% - Акцент5 4 5" xfId="211"/>
    <cellStyle name="20% - Акцент5 5" xfId="212"/>
    <cellStyle name="20% - Акцент5 5 2" xfId="213"/>
    <cellStyle name="20% - Акцент5 6" xfId="214"/>
    <cellStyle name="20% - Акцент5 6 2" xfId="215"/>
    <cellStyle name="20% - Акцент5 7" xfId="216"/>
    <cellStyle name="20% - Акцент5 7 2" xfId="217"/>
    <cellStyle name="20% - Акцент5 8" xfId="218"/>
    <cellStyle name="20% - Акцент5 9" xfId="219"/>
    <cellStyle name="20% - Акцент6 10" xfId="220"/>
    <cellStyle name="20% - Акцент6 2" xfId="221"/>
    <cellStyle name="20% - Акцент6 2 2" xfId="222"/>
    <cellStyle name="20% - Акцент6 2 2 2" xfId="223"/>
    <cellStyle name="20% - Акцент6 2 2 2 2" xfId="224"/>
    <cellStyle name="20% - Акцент6 2 2 3" xfId="225"/>
    <cellStyle name="20% - Акцент6 2 2 4" xfId="226"/>
    <cellStyle name="20% - Акцент6 2 3" xfId="227"/>
    <cellStyle name="20% - Акцент6 2 3 2" xfId="228"/>
    <cellStyle name="20% - Акцент6 2 4" xfId="229"/>
    <cellStyle name="20% - Акцент6 2 4 2" xfId="230"/>
    <cellStyle name="20% - Акцент6 2 5" xfId="231"/>
    <cellStyle name="20% - Акцент6 2 6" xfId="232"/>
    <cellStyle name="20% - Акцент6 3" xfId="233"/>
    <cellStyle name="20% - Акцент6 3 2" xfId="234"/>
    <cellStyle name="20% - Акцент6 3 2 2" xfId="235"/>
    <cellStyle name="20% - Акцент6 3 2 2 2" xfId="236"/>
    <cellStyle name="20% - Акцент6 3 2 3" xfId="237"/>
    <cellStyle name="20% - Акцент6 3 2 4" xfId="238"/>
    <cellStyle name="20% - Акцент6 3 3" xfId="239"/>
    <cellStyle name="20% - Акцент6 3 3 2" xfId="240"/>
    <cellStyle name="20% - Акцент6 3 4" xfId="241"/>
    <cellStyle name="20% - Акцент6 3 4 2" xfId="242"/>
    <cellStyle name="20% - Акцент6 3 5" xfId="243"/>
    <cellStyle name="20% - Акцент6 3 6" xfId="244"/>
    <cellStyle name="20% - Акцент6 4" xfId="245"/>
    <cellStyle name="20% - Акцент6 4 2" xfId="246"/>
    <cellStyle name="20% - Акцент6 4 2 2" xfId="247"/>
    <cellStyle name="20% - Акцент6 4 3" xfId="248"/>
    <cellStyle name="20% - Акцент6 4 3 2" xfId="249"/>
    <cellStyle name="20% - Акцент6 4 4" xfId="250"/>
    <cellStyle name="20% - Акцент6 4 5" xfId="251"/>
    <cellStyle name="20% - Акцент6 5" xfId="252"/>
    <cellStyle name="20% - Акцент6 5 2" xfId="253"/>
    <cellStyle name="20% - Акцент6 6" xfId="254"/>
    <cellStyle name="20% - Акцент6 6 2" xfId="255"/>
    <cellStyle name="20% - Акцент6 7" xfId="256"/>
    <cellStyle name="20% - Акцент6 7 2" xfId="257"/>
    <cellStyle name="20% - Акцент6 8" xfId="258"/>
    <cellStyle name="20% - Акцент6 9" xfId="259"/>
    <cellStyle name="40% - Акцент1 10" xfId="260"/>
    <cellStyle name="40% - Акцент1 2" xfId="261"/>
    <cellStyle name="40% - Акцент1 2 2" xfId="262"/>
    <cellStyle name="40% - Акцент1 2 2 2" xfId="263"/>
    <cellStyle name="40% - Акцент1 2 2 2 2" xfId="264"/>
    <cellStyle name="40% - Акцент1 2 2 3" xfId="265"/>
    <cellStyle name="40% - Акцент1 2 2 4" xfId="266"/>
    <cellStyle name="40% - Акцент1 2 3" xfId="267"/>
    <cellStyle name="40% - Акцент1 2 3 2" xfId="268"/>
    <cellStyle name="40% - Акцент1 2 4" xfId="269"/>
    <cellStyle name="40% - Акцент1 2 4 2" xfId="270"/>
    <cellStyle name="40% - Акцент1 2 5" xfId="271"/>
    <cellStyle name="40% - Акцент1 2 6" xfId="272"/>
    <cellStyle name="40% - Акцент1 3" xfId="273"/>
    <cellStyle name="40% - Акцент1 3 2" xfId="274"/>
    <cellStyle name="40% - Акцент1 3 2 2" xfId="275"/>
    <cellStyle name="40% - Акцент1 3 2 2 2" xfId="276"/>
    <cellStyle name="40% - Акцент1 3 2 3" xfId="277"/>
    <cellStyle name="40% - Акцент1 3 2 4" xfId="278"/>
    <cellStyle name="40% - Акцент1 3 3" xfId="279"/>
    <cellStyle name="40% - Акцент1 3 3 2" xfId="280"/>
    <cellStyle name="40% - Акцент1 3 4" xfId="281"/>
    <cellStyle name="40% - Акцент1 3 4 2" xfId="282"/>
    <cellStyle name="40% - Акцент1 3 5" xfId="283"/>
    <cellStyle name="40% - Акцент1 3 6" xfId="284"/>
    <cellStyle name="40% - Акцент1 4" xfId="285"/>
    <cellStyle name="40% - Акцент1 4 2" xfId="286"/>
    <cellStyle name="40% - Акцент1 4 2 2" xfId="287"/>
    <cellStyle name="40% - Акцент1 4 3" xfId="288"/>
    <cellStyle name="40% - Акцент1 4 3 2" xfId="289"/>
    <cellStyle name="40% - Акцент1 4 4" xfId="290"/>
    <cellStyle name="40% - Акцент1 4 5" xfId="291"/>
    <cellStyle name="40% - Акцент1 5" xfId="292"/>
    <cellStyle name="40% - Акцент1 5 2" xfId="293"/>
    <cellStyle name="40% - Акцент1 6" xfId="294"/>
    <cellStyle name="40% - Акцент1 6 2" xfId="295"/>
    <cellStyle name="40% - Акцент1 7" xfId="296"/>
    <cellStyle name="40% - Акцент1 7 2" xfId="297"/>
    <cellStyle name="40% - Акцент1 8" xfId="298"/>
    <cellStyle name="40% - Акцент1 9" xfId="299"/>
    <cellStyle name="40% - Акцент2 10" xfId="300"/>
    <cellStyle name="40% - Акцент2 2" xfId="301"/>
    <cellStyle name="40% - Акцент2 2 2" xfId="302"/>
    <cellStyle name="40% - Акцент2 2 2 2" xfId="303"/>
    <cellStyle name="40% - Акцент2 2 2 2 2" xfId="304"/>
    <cellStyle name="40% - Акцент2 2 2 3" xfId="305"/>
    <cellStyle name="40% - Акцент2 2 2 4" xfId="306"/>
    <cellStyle name="40% - Акцент2 2 3" xfId="307"/>
    <cellStyle name="40% - Акцент2 2 3 2" xfId="308"/>
    <cellStyle name="40% - Акцент2 2 4" xfId="309"/>
    <cellStyle name="40% - Акцент2 2 4 2" xfId="310"/>
    <cellStyle name="40% - Акцент2 2 5" xfId="311"/>
    <cellStyle name="40% - Акцент2 2 6" xfId="312"/>
    <cellStyle name="40% - Акцент2 3" xfId="313"/>
    <cellStyle name="40% - Акцент2 3 2" xfId="314"/>
    <cellStyle name="40% - Акцент2 3 2 2" xfId="315"/>
    <cellStyle name="40% - Акцент2 3 2 2 2" xfId="316"/>
    <cellStyle name="40% - Акцент2 3 2 3" xfId="317"/>
    <cellStyle name="40% - Акцент2 3 2 4" xfId="318"/>
    <cellStyle name="40% - Акцент2 3 3" xfId="319"/>
    <cellStyle name="40% - Акцент2 3 3 2" xfId="320"/>
    <cellStyle name="40% - Акцент2 3 4" xfId="321"/>
    <cellStyle name="40% - Акцент2 3 4 2" xfId="322"/>
    <cellStyle name="40% - Акцент2 3 5" xfId="323"/>
    <cellStyle name="40% - Акцент2 3 6" xfId="324"/>
    <cellStyle name="40% - Акцент2 4" xfId="325"/>
    <cellStyle name="40% - Акцент2 4 2" xfId="326"/>
    <cellStyle name="40% - Акцент2 4 2 2" xfId="327"/>
    <cellStyle name="40% - Акцент2 4 3" xfId="328"/>
    <cellStyle name="40% - Акцент2 4 3 2" xfId="329"/>
    <cellStyle name="40% - Акцент2 4 4" xfId="330"/>
    <cellStyle name="40% - Акцент2 4 5" xfId="331"/>
    <cellStyle name="40% - Акцент2 5" xfId="332"/>
    <cellStyle name="40% - Акцент2 5 2" xfId="333"/>
    <cellStyle name="40% - Акцент2 6" xfId="334"/>
    <cellStyle name="40% - Акцент2 6 2" xfId="335"/>
    <cellStyle name="40% - Акцент2 7" xfId="336"/>
    <cellStyle name="40% - Акцент2 7 2" xfId="337"/>
    <cellStyle name="40% - Акцент2 8" xfId="338"/>
    <cellStyle name="40% - Акцент2 9" xfId="339"/>
    <cellStyle name="40% - Акцент3 10" xfId="340"/>
    <cellStyle name="40% - Акцент3 2" xfId="341"/>
    <cellStyle name="40% - Акцент3 2 2" xfId="342"/>
    <cellStyle name="40% - Акцент3 2 2 2" xfId="343"/>
    <cellStyle name="40% - Акцент3 2 2 2 2" xfId="344"/>
    <cellStyle name="40% - Акцент3 2 2 3" xfId="345"/>
    <cellStyle name="40% - Акцент3 2 2 4" xfId="346"/>
    <cellStyle name="40% - Акцент3 2 3" xfId="347"/>
    <cellStyle name="40% - Акцент3 2 3 2" xfId="348"/>
    <cellStyle name="40% - Акцент3 2 4" xfId="349"/>
    <cellStyle name="40% - Акцент3 2 4 2" xfId="350"/>
    <cellStyle name="40% - Акцент3 2 5" xfId="351"/>
    <cellStyle name="40% - Акцент3 2 6" xfId="352"/>
    <cellStyle name="40% - Акцент3 3" xfId="353"/>
    <cellStyle name="40% - Акцент3 3 2" xfId="354"/>
    <cellStyle name="40% - Акцент3 3 2 2" xfId="355"/>
    <cellStyle name="40% - Акцент3 3 2 2 2" xfId="356"/>
    <cellStyle name="40% - Акцент3 3 2 3" xfId="357"/>
    <cellStyle name="40% - Акцент3 3 2 4" xfId="358"/>
    <cellStyle name="40% - Акцент3 3 3" xfId="359"/>
    <cellStyle name="40% - Акцент3 3 3 2" xfId="360"/>
    <cellStyle name="40% - Акцент3 3 4" xfId="361"/>
    <cellStyle name="40% - Акцент3 3 4 2" xfId="362"/>
    <cellStyle name="40% - Акцент3 3 5" xfId="363"/>
    <cellStyle name="40% - Акцент3 3 6" xfId="364"/>
    <cellStyle name="40% - Акцент3 4" xfId="365"/>
    <cellStyle name="40% - Акцент3 4 2" xfId="366"/>
    <cellStyle name="40% - Акцент3 4 2 2" xfId="367"/>
    <cellStyle name="40% - Акцент3 4 3" xfId="368"/>
    <cellStyle name="40% - Акцент3 4 3 2" xfId="369"/>
    <cellStyle name="40% - Акцент3 4 4" xfId="370"/>
    <cellStyle name="40% - Акцент3 4 5" xfId="371"/>
    <cellStyle name="40% - Акцент3 5" xfId="372"/>
    <cellStyle name="40% - Акцент3 5 2" xfId="373"/>
    <cellStyle name="40% - Акцент3 6" xfId="374"/>
    <cellStyle name="40% - Акцент3 6 2" xfId="375"/>
    <cellStyle name="40% - Акцент3 7" xfId="376"/>
    <cellStyle name="40% - Акцент3 7 2" xfId="377"/>
    <cellStyle name="40% - Акцент3 8" xfId="378"/>
    <cellStyle name="40% - Акцент3 9" xfId="379"/>
    <cellStyle name="40% - Акцент4 10" xfId="380"/>
    <cellStyle name="40% - Акцент4 2" xfId="381"/>
    <cellStyle name="40% - Акцент4 2 2" xfId="382"/>
    <cellStyle name="40% - Акцент4 2 2 2" xfId="383"/>
    <cellStyle name="40% - Акцент4 2 2 2 2" xfId="384"/>
    <cellStyle name="40% - Акцент4 2 2 3" xfId="385"/>
    <cellStyle name="40% - Акцент4 2 2 4" xfId="386"/>
    <cellStyle name="40% - Акцент4 2 3" xfId="387"/>
    <cellStyle name="40% - Акцент4 2 3 2" xfId="388"/>
    <cellStyle name="40% - Акцент4 2 4" xfId="389"/>
    <cellStyle name="40% - Акцент4 2 4 2" xfId="390"/>
    <cellStyle name="40% - Акцент4 2 5" xfId="391"/>
    <cellStyle name="40% - Акцент4 2 6" xfId="392"/>
    <cellStyle name="40% - Акцент4 3" xfId="393"/>
    <cellStyle name="40% - Акцент4 3 2" xfId="394"/>
    <cellStyle name="40% - Акцент4 3 2 2" xfId="395"/>
    <cellStyle name="40% - Акцент4 3 2 2 2" xfId="396"/>
    <cellStyle name="40% - Акцент4 3 2 3" xfId="397"/>
    <cellStyle name="40% - Акцент4 3 2 4" xfId="398"/>
    <cellStyle name="40% - Акцент4 3 3" xfId="399"/>
    <cellStyle name="40% - Акцент4 3 3 2" xfId="400"/>
    <cellStyle name="40% - Акцент4 3 4" xfId="401"/>
    <cellStyle name="40% - Акцент4 3 4 2" xfId="402"/>
    <cellStyle name="40% - Акцент4 3 5" xfId="403"/>
    <cellStyle name="40% - Акцент4 3 6" xfId="404"/>
    <cellStyle name="40% - Акцент4 4" xfId="405"/>
    <cellStyle name="40% - Акцент4 4 2" xfId="406"/>
    <cellStyle name="40% - Акцент4 4 2 2" xfId="407"/>
    <cellStyle name="40% - Акцент4 4 3" xfId="408"/>
    <cellStyle name="40% - Акцент4 4 3 2" xfId="409"/>
    <cellStyle name="40% - Акцент4 4 4" xfId="410"/>
    <cellStyle name="40% - Акцент4 4 5" xfId="411"/>
    <cellStyle name="40% - Акцент4 5" xfId="412"/>
    <cellStyle name="40% - Акцент4 5 2" xfId="413"/>
    <cellStyle name="40% - Акцент4 6" xfId="414"/>
    <cellStyle name="40% - Акцент4 6 2" xfId="415"/>
    <cellStyle name="40% - Акцент4 7" xfId="416"/>
    <cellStyle name="40% - Акцент4 7 2" xfId="417"/>
    <cellStyle name="40% - Акцент4 8" xfId="418"/>
    <cellStyle name="40% - Акцент4 9" xfId="419"/>
    <cellStyle name="40% - Акцент5 10" xfId="420"/>
    <cellStyle name="40% - Акцент5 2" xfId="421"/>
    <cellStyle name="40% - Акцент5 2 2" xfId="422"/>
    <cellStyle name="40% - Акцент5 2 2 2" xfId="423"/>
    <cellStyle name="40% - Акцент5 2 2 2 2" xfId="424"/>
    <cellStyle name="40% - Акцент5 2 2 3" xfId="425"/>
    <cellStyle name="40% - Акцент5 2 2 4" xfId="426"/>
    <cellStyle name="40% - Акцент5 2 3" xfId="427"/>
    <cellStyle name="40% - Акцент5 2 3 2" xfId="428"/>
    <cellStyle name="40% - Акцент5 2 4" xfId="429"/>
    <cellStyle name="40% - Акцент5 2 4 2" xfId="430"/>
    <cellStyle name="40% - Акцент5 2 5" xfId="431"/>
    <cellStyle name="40% - Акцент5 2 6" xfId="432"/>
    <cellStyle name="40% - Акцент5 3" xfId="433"/>
    <cellStyle name="40% - Акцент5 3 2" xfId="434"/>
    <cellStyle name="40% - Акцент5 3 2 2" xfId="435"/>
    <cellStyle name="40% - Акцент5 3 2 2 2" xfId="436"/>
    <cellStyle name="40% - Акцент5 3 2 3" xfId="437"/>
    <cellStyle name="40% - Акцент5 3 2 4" xfId="438"/>
    <cellStyle name="40% - Акцент5 3 3" xfId="439"/>
    <cellStyle name="40% - Акцент5 3 3 2" xfId="440"/>
    <cellStyle name="40% - Акцент5 3 4" xfId="441"/>
    <cellStyle name="40% - Акцент5 3 4 2" xfId="442"/>
    <cellStyle name="40% - Акцент5 3 5" xfId="443"/>
    <cellStyle name="40% - Акцент5 3 6" xfId="444"/>
    <cellStyle name="40% - Акцент5 4" xfId="445"/>
    <cellStyle name="40% - Акцент5 4 2" xfId="446"/>
    <cellStyle name="40% - Акцент5 4 2 2" xfId="447"/>
    <cellStyle name="40% - Акцент5 4 3" xfId="448"/>
    <cellStyle name="40% - Акцент5 4 3 2" xfId="449"/>
    <cellStyle name="40% - Акцент5 4 4" xfId="450"/>
    <cellStyle name="40% - Акцент5 4 5" xfId="451"/>
    <cellStyle name="40% - Акцент5 5" xfId="452"/>
    <cellStyle name="40% - Акцент5 5 2" xfId="453"/>
    <cellStyle name="40% - Акцент5 6" xfId="454"/>
    <cellStyle name="40% - Акцент5 6 2" xfId="455"/>
    <cellStyle name="40% - Акцент5 7" xfId="456"/>
    <cellStyle name="40% - Акцент5 7 2" xfId="457"/>
    <cellStyle name="40% - Акцент5 8" xfId="458"/>
    <cellStyle name="40% - Акцент5 9" xfId="459"/>
    <cellStyle name="40% - Акцент6 10" xfId="460"/>
    <cellStyle name="40% - Акцент6 2" xfId="461"/>
    <cellStyle name="40% - Акцент6 2 2" xfId="462"/>
    <cellStyle name="40% - Акцент6 2 2 2" xfId="463"/>
    <cellStyle name="40% - Акцент6 2 2 2 2" xfId="464"/>
    <cellStyle name="40% - Акцент6 2 2 3" xfId="465"/>
    <cellStyle name="40% - Акцент6 2 2 4" xfId="466"/>
    <cellStyle name="40% - Акцент6 2 3" xfId="467"/>
    <cellStyle name="40% - Акцент6 2 3 2" xfId="468"/>
    <cellStyle name="40% - Акцент6 2 4" xfId="469"/>
    <cellStyle name="40% - Акцент6 2 4 2" xfId="470"/>
    <cellStyle name="40% - Акцент6 2 5" xfId="471"/>
    <cellStyle name="40% - Акцент6 2 6" xfId="472"/>
    <cellStyle name="40% - Акцент6 3" xfId="473"/>
    <cellStyle name="40% - Акцент6 3 2" xfId="474"/>
    <cellStyle name="40% - Акцент6 3 2 2" xfId="475"/>
    <cellStyle name="40% - Акцент6 3 2 2 2" xfId="476"/>
    <cellStyle name="40% - Акцент6 3 2 3" xfId="477"/>
    <cellStyle name="40% - Акцент6 3 2 4" xfId="478"/>
    <cellStyle name="40% - Акцент6 3 3" xfId="479"/>
    <cellStyle name="40% - Акцент6 3 3 2" xfId="480"/>
    <cellStyle name="40% - Акцент6 3 4" xfId="481"/>
    <cellStyle name="40% - Акцент6 3 4 2" xfId="482"/>
    <cellStyle name="40% - Акцент6 3 5" xfId="483"/>
    <cellStyle name="40% - Акцент6 3 6" xfId="484"/>
    <cellStyle name="40% - Акцент6 4" xfId="485"/>
    <cellStyle name="40% - Акцент6 4 2" xfId="486"/>
    <cellStyle name="40% - Акцент6 4 2 2" xfId="487"/>
    <cellStyle name="40% - Акцент6 4 3" xfId="488"/>
    <cellStyle name="40% - Акцент6 4 3 2" xfId="489"/>
    <cellStyle name="40% - Акцент6 4 4" xfId="490"/>
    <cellStyle name="40% - Акцент6 4 5" xfId="491"/>
    <cellStyle name="40% - Акцент6 5" xfId="492"/>
    <cellStyle name="40% - Акцент6 5 2" xfId="493"/>
    <cellStyle name="40% - Акцент6 6" xfId="494"/>
    <cellStyle name="40% - Акцент6 6 2" xfId="495"/>
    <cellStyle name="40% - Акцент6 7" xfId="496"/>
    <cellStyle name="40% - Акцент6 7 2" xfId="497"/>
    <cellStyle name="40% - Акцент6 8" xfId="498"/>
    <cellStyle name="40% - Акцент6 9" xfId="499"/>
    <cellStyle name="Обычный 10" xfId="500"/>
    <cellStyle name="Обычный 10 2" xfId="501"/>
    <cellStyle name="Обычный 11" xfId="502"/>
    <cellStyle name="Обычный 2" xfId="503"/>
    <cellStyle name="Обычный 2 2" xfId="504"/>
    <cellStyle name="Обычный 2 2 2" xfId="505"/>
    <cellStyle name="Обычный 2 2 2 2" xfId="506"/>
    <cellStyle name="Обычный 2 2 3" xfId="507"/>
    <cellStyle name="Обычный 2 2 4" xfId="508"/>
    <cellStyle name="Обычный 2 3" xfId="509"/>
    <cellStyle name="Обычный 2 3 2" xfId="510"/>
    <cellStyle name="Обычный 2 4" xfId="511"/>
    <cellStyle name="Обычный 2 4 2" xfId="512"/>
    <cellStyle name="Обычный 2 5" xfId="513"/>
    <cellStyle name="Обычный 2 6" xfId="514"/>
    <cellStyle name="Обычный 3" xfId="515"/>
    <cellStyle name="Обычный 3 2" xfId="516"/>
    <cellStyle name="Обычный 3 2 2" xfId="517"/>
    <cellStyle name="Обычный 3 2 2 2" xfId="518"/>
    <cellStyle name="Обычный 3 2 3" xfId="519"/>
    <cellStyle name="Обычный 3 2 4" xfId="520"/>
    <cellStyle name="Обычный 3 3" xfId="521"/>
    <cellStyle name="Обычный 3 3 2" xfId="522"/>
    <cellStyle name="Обычный 3 4" xfId="523"/>
    <cellStyle name="Обычный 3 4 2" xfId="524"/>
    <cellStyle name="Обычный 3 5" xfId="525"/>
    <cellStyle name="Обычный 3 6" xfId="526"/>
    <cellStyle name="Обычный 4" xfId="527"/>
    <cellStyle name="Обычный 4 2" xfId="528"/>
    <cellStyle name="Обычный 4 2 2" xfId="529"/>
    <cellStyle name="Обычный 4 2 2 2" xfId="530"/>
    <cellStyle name="Обычный 4 2 3" xfId="531"/>
    <cellStyle name="Обычный 4 2 4" xfId="532"/>
    <cellStyle name="Обычный 4 3" xfId="533"/>
    <cellStyle name="Обычный 4 3 2" xfId="534"/>
    <cellStyle name="Обычный 4 4" xfId="535"/>
    <cellStyle name="Обычный 4 4 2" xfId="536"/>
    <cellStyle name="Обычный 4 5" xfId="537"/>
    <cellStyle name="Обычный 4 6" xfId="538"/>
    <cellStyle name="Обычный 5" xfId="539"/>
    <cellStyle name="Обычный 5 2" xfId="540"/>
    <cellStyle name="Обычный 5 2 2" xfId="541"/>
    <cellStyle name="Обычный 5 2 2 2" xfId="542"/>
    <cellStyle name="Обычный 5 2 3" xfId="543"/>
    <cellStyle name="Обычный 5 2 4" xfId="544"/>
    <cellStyle name="Обычный 5 3" xfId="545"/>
    <cellStyle name="Обычный 5 3 2" xfId="546"/>
    <cellStyle name="Обычный 5 4" xfId="547"/>
    <cellStyle name="Обычный 5 4 2" xfId="548"/>
    <cellStyle name="Обычный 5 5" xfId="549"/>
    <cellStyle name="Обычный 5 6" xfId="550"/>
    <cellStyle name="Обычный 6" xfId="551"/>
    <cellStyle name="Обычный 6 2" xfId="552"/>
    <cellStyle name="Обычный 6 2 2" xfId="553"/>
    <cellStyle name="Обычный 6 2 2 2" xfId="554"/>
    <cellStyle name="Обычный 6 2 3" xfId="555"/>
    <cellStyle name="Обычный 6 2 4" xfId="556"/>
    <cellStyle name="Обычный 6 3" xfId="557"/>
    <cellStyle name="Обычный 6 3 2" xfId="558"/>
    <cellStyle name="Обычный 6 4" xfId="559"/>
    <cellStyle name="Обычный 6 4 2" xfId="560"/>
    <cellStyle name="Обычный 6 5" xfId="561"/>
    <cellStyle name="Обычный 6 6" xfId="562"/>
    <cellStyle name="Обычный 7" xfId="563"/>
    <cellStyle name="Обычный 7 2" xfId="564"/>
    <cellStyle name="Обычный 7 2 2" xfId="565"/>
    <cellStyle name="Обычный 7 2 2 2" xfId="566"/>
    <cellStyle name="Обычный 7 2 3" xfId="567"/>
    <cellStyle name="Обычный 7 2 4" xfId="568"/>
    <cellStyle name="Обычный 7 3" xfId="569"/>
    <cellStyle name="Обычный 7 3 2" xfId="570"/>
    <cellStyle name="Обычный 7 4" xfId="571"/>
    <cellStyle name="Обычный 7 4 2" xfId="572"/>
    <cellStyle name="Обычный 7 5" xfId="573"/>
    <cellStyle name="Обычный 7 6" xfId="574"/>
    <cellStyle name="Обычный 8" xfId="575"/>
    <cellStyle name="Обычный 8 2" xfId="576"/>
    <cellStyle name="Обычный 8 2 2" xfId="577"/>
    <cellStyle name="Обычный 8 2 2 2" xfId="578"/>
    <cellStyle name="Обычный 8 2 3" xfId="579"/>
    <cellStyle name="Обычный 8 2 4" xfId="580"/>
    <cellStyle name="Обычный 8 3" xfId="581"/>
    <cellStyle name="Обычный 8 3 2" xfId="582"/>
    <cellStyle name="Обычный 8 4" xfId="583"/>
    <cellStyle name="Обычный 8 4 2" xfId="584"/>
    <cellStyle name="Обычный 8 5" xfId="585"/>
    <cellStyle name="Обычный 8 6" xfId="586"/>
    <cellStyle name="Обычный 9" xfId="587"/>
    <cellStyle name="Обычный 9 2" xfId="588"/>
    <cellStyle name="Обычный_CLAC_1" xfId="589"/>
    <cellStyle name="Обычный_CLRE_1" xfId="590"/>
    <cellStyle name="Обычный_CLVL_1" xfId="591"/>
    <cellStyle name="Обычный_EQEQ" xfId="592"/>
    <cellStyle name="Обычный_Март2010" xfId="593"/>
    <cellStyle name="Примечание 2" xfId="594"/>
    <cellStyle name="Примечание 2 2" xfId="595"/>
    <cellStyle name="Примечание 2 2 2" xfId="596"/>
    <cellStyle name="Примечание 2 2 2 2" xfId="597"/>
    <cellStyle name="Примечание 2 2 3" xfId="598"/>
    <cellStyle name="Примечание 2 2 4" xfId="599"/>
    <cellStyle name="Примечание 2 3" xfId="600"/>
    <cellStyle name="Примечание 2 3 2" xfId="601"/>
    <cellStyle name="Примечание 2 4" xfId="602"/>
    <cellStyle name="Примечание 2 4 2" xfId="603"/>
    <cellStyle name="Примечание 2 5" xfId="604"/>
    <cellStyle name="Примечание 2 6" xfId="605"/>
    <cellStyle name="Примечание 3" xfId="606"/>
    <cellStyle name="Примечание 3 2" xfId="607"/>
    <cellStyle name="Примечание 3 2 2" xfId="608"/>
    <cellStyle name="Примечание 3 2 2 2" xfId="609"/>
    <cellStyle name="Примечание 3 2 3" xfId="610"/>
    <cellStyle name="Примечание 3 2 4" xfId="611"/>
    <cellStyle name="Примечание 3 3" xfId="612"/>
    <cellStyle name="Примечание 3 3 2" xfId="613"/>
    <cellStyle name="Примечание 3 4" xfId="614"/>
    <cellStyle name="Примечание 3 4 2" xfId="615"/>
    <cellStyle name="Примечание 3 5" xfId="616"/>
    <cellStyle name="Примечание 3 6" xfId="617"/>
    <cellStyle name="Примечание 4" xfId="618"/>
    <cellStyle name="Примечание 4 2" xfId="619"/>
    <cellStyle name="Примечание 4 2 2" xfId="620"/>
    <cellStyle name="Примечание 4 2 2 2" xfId="621"/>
    <cellStyle name="Примечание 4 2 3" xfId="622"/>
    <cellStyle name="Примечание 4 2 4" xfId="623"/>
    <cellStyle name="Примечание 4 3" xfId="624"/>
    <cellStyle name="Примечание 4 3 2" xfId="625"/>
    <cellStyle name="Примечание 4 4" xfId="626"/>
    <cellStyle name="Примечание 4 4 2" xfId="627"/>
    <cellStyle name="Примечание 4 5" xfId="628"/>
    <cellStyle name="Примечание 4 6" xfId="629"/>
    <cellStyle name="Примечание 5" xfId="630"/>
    <cellStyle name="Примечание 5 2" xfId="631"/>
    <cellStyle name="Примечание 6" xfId="632"/>
    <cellStyle name="Примечание 6 2" xfId="633"/>
    <cellStyle name="Примечание 7" xfId="634"/>
  </cellStyles>
  <colors>
    <indexedColors>
      <rgbColor rgb="FF000000"/>
      <rgbColor rgb="FFFFFFFF"/>
      <rgbColor rgb="FFFF0000"/>
      <rgbColor rgb="FF00FF00"/>
      <rgbColor rgb="FF0000FF"/>
      <rgbColor rgb="FFFDEAD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B7DEE8"/>
      <rgbColor rgb="FF993366"/>
      <rgbColor rgb="FFFFFFCC"/>
      <rgbColor rgb="FFCCFFFF"/>
      <rgbColor rgb="FF660066"/>
      <rgbColor rgb="FFF2DCDB"/>
      <rgbColor rgb="FF0066CC"/>
      <rgbColor rgb="FFB9CDE5"/>
      <rgbColor rgb="FF000080"/>
      <rgbColor rgb="FFFF00FF"/>
      <rgbColor rgb="FFEBF1DE"/>
      <rgbColor rgb="FF00FFFF"/>
      <rgbColor rgb="FF800080"/>
      <rgbColor rgb="FF800000"/>
      <rgbColor rgb="FF008080"/>
      <rgbColor rgb="FF0000FF"/>
      <rgbColor rgb="FF00CCFF"/>
      <rgbColor rgb="FFDBEEF4"/>
      <rgbColor rgb="FFCCFFCC"/>
      <rgbColor rgb="FFFFFF99"/>
      <rgbColor rgb="FF99CCFF"/>
      <rgbColor rgb="FFFF99CC"/>
      <rgbColor rgb="FFE6B9B8"/>
      <rgbColor rgb="FFFCD5B5"/>
      <rgbColor rgb="FF3366FF"/>
      <rgbColor rgb="FFDCE6F2"/>
      <rgbColor rgb="FFE3E3E3"/>
      <rgbColor rgb="FFD7E4BD"/>
      <rgbColor rgb="FFE6E0EC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Январь2012!$C$50:$H$50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Январь2012!$B$51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Январь2012!$C$51:$H$51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Январь2012!$B$52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Январь2012!$C$52:$H$52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Январь2012!$B$53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Январь2012!$C$53:$H$53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93882375"/>
        <c:axId val="37113280"/>
        <c:axId val="0"/>
      </c:bar3DChart>
      <c:catAx>
        <c:axId val="93882375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37113280"/>
        <c:crosses val="autoZero"/>
        <c:auto val="1"/>
        <c:lblAlgn val="ctr"/>
        <c:lblOffset val="100"/>
        <c:noMultiLvlLbl val="0"/>
      </c:catAx>
      <c:valAx>
        <c:axId val="371132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93882375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Январь2012!$C$83:$H$83</c:f>
              <c:strCache>
                <c:ptCount val="6"/>
                <c:pt idx="0">
                  <c:v>Август 2011</c:v>
                </c:pt>
                <c:pt idx="1">
                  <c:v>Сентябрь 2011</c:v>
                </c:pt>
                <c:pt idx="2">
                  <c:v>Октябрь 2011</c:v>
                </c:pt>
                <c:pt idx="3">
                  <c:v>Ноябрь 2011</c:v>
                </c:pt>
                <c:pt idx="4">
                  <c:v>Декабрь 2011</c:v>
                </c:pt>
                <c:pt idx="5">
                  <c:v>Январь 2012</c:v>
                </c:pt>
              </c:strCache>
            </c:strRef>
          </c:cat>
          <c:val>
            <c:numRef>
              <c:f>Январь2012!$C$84:$H$84</c:f>
              <c:numCache>
                <c:formatCode>General</c:formatCode>
                <c:ptCount val="6"/>
                <c:pt idx="0">
                  <c:v>760620</c:v>
                </c:pt>
                <c:pt idx="1">
                  <c:v>756182</c:v>
                </c:pt>
                <c:pt idx="2">
                  <c:v>767680</c:v>
                </c:pt>
                <c:pt idx="3">
                  <c:v>774773</c:v>
                </c:pt>
                <c:pt idx="4">
                  <c:v>772175</c:v>
                </c:pt>
                <c:pt idx="5">
                  <c:v>779514</c:v>
                </c:pt>
              </c:numCache>
            </c:numRef>
          </c:val>
        </c:ser>
        <c:ser>
          <c:idx val="1"/>
          <c:order val="1"/>
          <c:tx>
            <c:strRef>
              <c:f>Январь2012!$B$85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Январь2012!$C$83:$H$83</c:f>
              <c:strCache>
                <c:ptCount val="6"/>
                <c:pt idx="0">
                  <c:v>Август 2011</c:v>
                </c:pt>
                <c:pt idx="1">
                  <c:v>Сентябрь 2011</c:v>
                </c:pt>
                <c:pt idx="2">
                  <c:v>Октябрь 2011</c:v>
                </c:pt>
                <c:pt idx="3">
                  <c:v>Ноябрь 2011</c:v>
                </c:pt>
                <c:pt idx="4">
                  <c:v>Декабрь 2011</c:v>
                </c:pt>
                <c:pt idx="5">
                  <c:v>Январь 2012</c:v>
                </c:pt>
              </c:strCache>
            </c:strRef>
          </c:cat>
          <c:val>
            <c:numRef>
              <c:f>Январь2012!$C$85:$H$85</c:f>
              <c:numCache>
                <c:formatCode>General</c:formatCode>
                <c:ptCount val="6"/>
                <c:pt idx="0">
                  <c:v>17914</c:v>
                </c:pt>
                <c:pt idx="1">
                  <c:v>16858</c:v>
                </c:pt>
                <c:pt idx="2">
                  <c:v>17003</c:v>
                </c:pt>
                <c:pt idx="3">
                  <c:v>17114</c:v>
                </c:pt>
                <c:pt idx="4">
                  <c:v>16850</c:v>
                </c:pt>
                <c:pt idx="5">
                  <c:v>17011</c:v>
                </c:pt>
              </c:numCache>
            </c:numRef>
          </c:val>
        </c:ser>
        <c:ser>
          <c:idx val="2"/>
          <c:order val="2"/>
          <c:tx>
            <c:strRef>
              <c:f>Январь2012!$B$86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Январь2012!$C$83:$H$83</c:f>
              <c:strCache>
                <c:ptCount val="6"/>
                <c:pt idx="0">
                  <c:v>Август 2011</c:v>
                </c:pt>
                <c:pt idx="1">
                  <c:v>Сентябрь 2011</c:v>
                </c:pt>
                <c:pt idx="2">
                  <c:v>Октябрь 2011</c:v>
                </c:pt>
                <c:pt idx="3">
                  <c:v>Ноябрь 2011</c:v>
                </c:pt>
                <c:pt idx="4">
                  <c:v>Декабрь 2011</c:v>
                </c:pt>
                <c:pt idx="5">
                  <c:v>Январь 2012</c:v>
                </c:pt>
              </c:strCache>
            </c:strRef>
          </c:cat>
          <c:val>
            <c:numRef>
              <c:f>Январь2012!$C$86:$H$86</c:f>
              <c:numCache>
                <c:formatCode>General</c:formatCode>
                <c:ptCount val="6"/>
                <c:pt idx="0">
                  <c:v>3165</c:v>
                </c:pt>
                <c:pt idx="1">
                  <c:v>2939</c:v>
                </c:pt>
                <c:pt idx="2">
                  <c:v>2972</c:v>
                </c:pt>
                <c:pt idx="3">
                  <c:v>3002</c:v>
                </c:pt>
                <c:pt idx="4">
                  <c:v>5058</c:v>
                </c:pt>
                <c:pt idx="5">
                  <c:v>5180</c:v>
                </c:pt>
              </c:numCache>
            </c:numRef>
          </c:val>
        </c:ser>
        <c:ser>
          <c:idx val="3"/>
          <c:order val="3"/>
          <c:tx>
            <c:strRef>
              <c:f>Январь2012!$B$87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Январь2012!$C$83:$H$83</c:f>
              <c:strCache>
                <c:ptCount val="6"/>
                <c:pt idx="0">
                  <c:v>Август 2011</c:v>
                </c:pt>
                <c:pt idx="1">
                  <c:v>Сентябрь 2011</c:v>
                </c:pt>
                <c:pt idx="2">
                  <c:v>Октябрь 2011</c:v>
                </c:pt>
                <c:pt idx="3">
                  <c:v>Ноябрь 2011</c:v>
                </c:pt>
                <c:pt idx="4">
                  <c:v>Декабрь 2011</c:v>
                </c:pt>
                <c:pt idx="5">
                  <c:v>Январь 2012</c:v>
                </c:pt>
              </c:strCache>
            </c:strRef>
          </c:cat>
          <c:val>
            <c:numRef>
              <c:f>Январь2012!$C$87:$H$87</c:f>
              <c:numCache>
                <c:formatCode>General</c:formatCode>
                <c:ptCount val="6"/>
                <c:pt idx="0">
                  <c:v>5845</c:v>
                </c:pt>
                <c:pt idx="1">
                  <c:v>5301</c:v>
                </c:pt>
                <c:pt idx="2">
                  <c:v>5439</c:v>
                </c:pt>
                <c:pt idx="3">
                  <c:v>5463</c:v>
                </c:pt>
                <c:pt idx="4">
                  <c:v>5242</c:v>
                </c:pt>
                <c:pt idx="5">
                  <c:v>5257</c:v>
                </c:pt>
              </c:numCache>
            </c:numRef>
          </c:val>
        </c:ser>
        <c:gapWidth val="150"/>
        <c:shape val="box"/>
        <c:axId val="15516815"/>
        <c:axId val="24052102"/>
        <c:axId val="0"/>
      </c:bar3DChart>
      <c:catAx>
        <c:axId val="15516815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24052102"/>
        <c:crosses val="autoZero"/>
        <c:auto val="1"/>
        <c:lblAlgn val="ctr"/>
        <c:lblOffset val="100"/>
        <c:noMultiLvlLbl val="0"/>
      </c:catAx>
      <c:valAx>
        <c:axId val="2405210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5516815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Февраль2012!$C$50:$H$50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Февраль2012!$B$51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Февраль2012!$C$51:$H$51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Февраль2012!$B$52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Февраль2012!$C$52:$H$52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Февраль2012!$B$53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Февраль2012!$C$53:$H$53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9890043"/>
        <c:axId val="35848247"/>
        <c:axId val="0"/>
      </c:bar3DChart>
      <c:catAx>
        <c:axId val="989004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35848247"/>
        <c:crosses val="autoZero"/>
        <c:auto val="1"/>
        <c:lblAlgn val="ctr"/>
        <c:lblOffset val="100"/>
        <c:noMultiLvlLbl val="0"/>
      </c:catAx>
      <c:valAx>
        <c:axId val="35848247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989004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Февраль2012!$C$83:$H$83</c:f>
              <c:strCache>
                <c:ptCount val="6"/>
                <c:pt idx="0">
                  <c:v>Сентябрь 2011</c:v>
                </c:pt>
                <c:pt idx="1">
                  <c:v>Октябрь 2011</c:v>
                </c:pt>
                <c:pt idx="2">
                  <c:v>Ноябрь 2011</c:v>
                </c:pt>
                <c:pt idx="3">
                  <c:v>Декабрь 2011</c:v>
                </c:pt>
                <c:pt idx="4">
                  <c:v>Январь 2012</c:v>
                </c:pt>
                <c:pt idx="5">
                  <c:v>Февраль 2012</c:v>
                </c:pt>
              </c:strCache>
            </c:strRef>
          </c:cat>
          <c:val>
            <c:numRef>
              <c:f>Февраль2012!$C$84:$H$84</c:f>
              <c:numCache>
                <c:formatCode>General</c:formatCode>
                <c:ptCount val="6"/>
                <c:pt idx="0">
                  <c:v>756182</c:v>
                </c:pt>
                <c:pt idx="1">
                  <c:v>767680</c:v>
                </c:pt>
                <c:pt idx="2">
                  <c:v>774773</c:v>
                </c:pt>
                <c:pt idx="3">
                  <c:v>772175</c:v>
                </c:pt>
                <c:pt idx="4">
                  <c:v>779514</c:v>
                </c:pt>
                <c:pt idx="5">
                  <c:v>782553</c:v>
                </c:pt>
              </c:numCache>
            </c:numRef>
          </c:val>
        </c:ser>
        <c:ser>
          <c:idx val="1"/>
          <c:order val="1"/>
          <c:tx>
            <c:strRef>
              <c:f>Февраль2012!$B$85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Февраль2012!$C$83:$H$83</c:f>
              <c:strCache>
                <c:ptCount val="6"/>
                <c:pt idx="0">
                  <c:v>Сентябрь 2011</c:v>
                </c:pt>
                <c:pt idx="1">
                  <c:v>Октябрь 2011</c:v>
                </c:pt>
                <c:pt idx="2">
                  <c:v>Ноябрь 2011</c:v>
                </c:pt>
                <c:pt idx="3">
                  <c:v>Декабрь 2011</c:v>
                </c:pt>
                <c:pt idx="4">
                  <c:v>Январь 2012</c:v>
                </c:pt>
                <c:pt idx="5">
                  <c:v>Февраль 2012</c:v>
                </c:pt>
              </c:strCache>
            </c:strRef>
          </c:cat>
          <c:val>
            <c:numRef>
              <c:f>Февраль2012!$C$85:$H$85</c:f>
              <c:numCache>
                <c:formatCode>General</c:formatCode>
                <c:ptCount val="6"/>
                <c:pt idx="0">
                  <c:v>16858</c:v>
                </c:pt>
                <c:pt idx="1">
                  <c:v>17003</c:v>
                </c:pt>
                <c:pt idx="2">
                  <c:v>17114</c:v>
                </c:pt>
                <c:pt idx="3">
                  <c:v>16850</c:v>
                </c:pt>
                <c:pt idx="4">
                  <c:v>17011</c:v>
                </c:pt>
                <c:pt idx="5">
                  <c:v>17054</c:v>
                </c:pt>
              </c:numCache>
            </c:numRef>
          </c:val>
        </c:ser>
        <c:ser>
          <c:idx val="2"/>
          <c:order val="2"/>
          <c:tx>
            <c:strRef>
              <c:f>Февраль2012!$B$86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Февраль2012!$C$83:$H$83</c:f>
              <c:strCache>
                <c:ptCount val="6"/>
                <c:pt idx="0">
                  <c:v>Сентябрь 2011</c:v>
                </c:pt>
                <c:pt idx="1">
                  <c:v>Октябрь 2011</c:v>
                </c:pt>
                <c:pt idx="2">
                  <c:v>Ноябрь 2011</c:v>
                </c:pt>
                <c:pt idx="3">
                  <c:v>Декабрь 2011</c:v>
                </c:pt>
                <c:pt idx="4">
                  <c:v>Январь 2012</c:v>
                </c:pt>
                <c:pt idx="5">
                  <c:v>Февраль 2012</c:v>
                </c:pt>
              </c:strCache>
            </c:strRef>
          </c:cat>
          <c:val>
            <c:numRef>
              <c:f>Февраль2012!$C$86:$H$86</c:f>
              <c:numCache>
                <c:formatCode>General</c:formatCode>
                <c:ptCount val="6"/>
                <c:pt idx="0">
                  <c:v>2939</c:v>
                </c:pt>
                <c:pt idx="1">
                  <c:v>2972</c:v>
                </c:pt>
                <c:pt idx="2">
                  <c:v>3002</c:v>
                </c:pt>
                <c:pt idx="3">
                  <c:v>5058</c:v>
                </c:pt>
                <c:pt idx="4">
                  <c:v>5180</c:v>
                </c:pt>
                <c:pt idx="5">
                  <c:v>5224</c:v>
                </c:pt>
              </c:numCache>
            </c:numRef>
          </c:val>
        </c:ser>
        <c:ser>
          <c:idx val="3"/>
          <c:order val="3"/>
          <c:tx>
            <c:strRef>
              <c:f>Февраль2012!$B$87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Февраль2012!$C$83:$H$83</c:f>
              <c:strCache>
                <c:ptCount val="6"/>
                <c:pt idx="0">
                  <c:v>Сентябрь 2011</c:v>
                </c:pt>
                <c:pt idx="1">
                  <c:v>Октябрь 2011</c:v>
                </c:pt>
                <c:pt idx="2">
                  <c:v>Ноябрь 2011</c:v>
                </c:pt>
                <c:pt idx="3">
                  <c:v>Декабрь 2011</c:v>
                </c:pt>
                <c:pt idx="4">
                  <c:v>Январь 2012</c:v>
                </c:pt>
                <c:pt idx="5">
                  <c:v>Февраль 2012</c:v>
                </c:pt>
              </c:strCache>
            </c:strRef>
          </c:cat>
          <c:val>
            <c:numRef>
              <c:f>Февраль2012!$C$87:$H$87</c:f>
              <c:numCache>
                <c:formatCode>General</c:formatCode>
                <c:ptCount val="6"/>
                <c:pt idx="0">
                  <c:v>5301</c:v>
                </c:pt>
                <c:pt idx="1">
                  <c:v>5439</c:v>
                </c:pt>
                <c:pt idx="2">
                  <c:v>5463</c:v>
                </c:pt>
                <c:pt idx="3">
                  <c:v>5242</c:v>
                </c:pt>
                <c:pt idx="4">
                  <c:v>5257</c:v>
                </c:pt>
                <c:pt idx="5">
                  <c:v>5274</c:v>
                </c:pt>
              </c:numCache>
            </c:numRef>
          </c:val>
        </c:ser>
        <c:gapWidth val="150"/>
        <c:shape val="box"/>
        <c:axId val="28469647"/>
        <c:axId val="35272172"/>
        <c:axId val="0"/>
      </c:bar3DChart>
      <c:catAx>
        <c:axId val="28469647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35272172"/>
        <c:crosses val="autoZero"/>
        <c:auto val="1"/>
        <c:lblAlgn val="ctr"/>
        <c:lblOffset val="100"/>
        <c:noMultiLvlLbl val="0"/>
      </c:catAx>
      <c:valAx>
        <c:axId val="3527217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28469647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Март2012!$C$50:$H$50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Март2012!$B$51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Март2012!$C$51:$H$51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Март2012!$B$52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Март2012!$C$52:$H$52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Март2012!$B$53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Март2012!$C$53:$H$53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86013493"/>
        <c:axId val="70994780"/>
        <c:axId val="0"/>
      </c:bar3DChart>
      <c:catAx>
        <c:axId val="8601349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70994780"/>
        <c:crosses val="autoZero"/>
        <c:auto val="1"/>
        <c:lblAlgn val="ctr"/>
        <c:lblOffset val="100"/>
        <c:noMultiLvlLbl val="0"/>
      </c:catAx>
      <c:valAx>
        <c:axId val="709947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8601349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Март2012!$C$83:$H$83</c:f>
              <c:strCache>
                <c:ptCount val="6"/>
                <c:pt idx="0">
                  <c:v>Октябрь 2011</c:v>
                </c:pt>
                <c:pt idx="1">
                  <c:v>Ноябрь 2011</c:v>
                </c:pt>
                <c:pt idx="2">
                  <c:v>Декабрь 2011</c:v>
                </c:pt>
                <c:pt idx="3">
                  <c:v>Январь 2012</c:v>
                </c:pt>
                <c:pt idx="4">
                  <c:v>Февраль 2012</c:v>
                </c:pt>
                <c:pt idx="5">
                  <c:v>Март 2012</c:v>
                </c:pt>
              </c:strCache>
            </c:strRef>
          </c:cat>
          <c:val>
            <c:numRef>
              <c:f>Март2012!$C$84:$H$84</c:f>
              <c:numCache>
                <c:formatCode>General</c:formatCode>
                <c:ptCount val="6"/>
                <c:pt idx="0">
                  <c:v>767680</c:v>
                </c:pt>
                <c:pt idx="1">
                  <c:v>774773</c:v>
                </c:pt>
                <c:pt idx="2">
                  <c:v>772175</c:v>
                </c:pt>
                <c:pt idx="3">
                  <c:v>779514</c:v>
                </c:pt>
                <c:pt idx="4">
                  <c:v>782553</c:v>
                </c:pt>
                <c:pt idx="5">
                  <c:v>787742</c:v>
                </c:pt>
              </c:numCache>
            </c:numRef>
          </c:val>
        </c:ser>
        <c:ser>
          <c:idx val="1"/>
          <c:order val="1"/>
          <c:tx>
            <c:strRef>
              <c:f>Март2012!$B$85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Март2012!$C$83:$H$83</c:f>
              <c:strCache>
                <c:ptCount val="6"/>
                <c:pt idx="0">
                  <c:v>Октябрь 2011</c:v>
                </c:pt>
                <c:pt idx="1">
                  <c:v>Ноябрь 2011</c:v>
                </c:pt>
                <c:pt idx="2">
                  <c:v>Декабрь 2011</c:v>
                </c:pt>
                <c:pt idx="3">
                  <c:v>Январь 2012</c:v>
                </c:pt>
                <c:pt idx="4">
                  <c:v>Февраль 2012</c:v>
                </c:pt>
                <c:pt idx="5">
                  <c:v>Март 2012</c:v>
                </c:pt>
              </c:strCache>
            </c:strRef>
          </c:cat>
          <c:val>
            <c:numRef>
              <c:f>Март2012!$C$85:$H$85</c:f>
              <c:numCache>
                <c:formatCode>General</c:formatCode>
                <c:ptCount val="6"/>
                <c:pt idx="0">
                  <c:v>17003</c:v>
                </c:pt>
                <c:pt idx="1">
                  <c:v>17114</c:v>
                </c:pt>
                <c:pt idx="2">
                  <c:v>16850</c:v>
                </c:pt>
                <c:pt idx="3">
                  <c:v>17011</c:v>
                </c:pt>
                <c:pt idx="4">
                  <c:v>17054</c:v>
                </c:pt>
                <c:pt idx="5">
                  <c:v>17159</c:v>
                </c:pt>
              </c:numCache>
            </c:numRef>
          </c:val>
        </c:ser>
        <c:ser>
          <c:idx val="2"/>
          <c:order val="2"/>
          <c:tx>
            <c:strRef>
              <c:f>Март2012!$B$86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Март2012!$C$83:$H$83</c:f>
              <c:strCache>
                <c:ptCount val="6"/>
                <c:pt idx="0">
                  <c:v>Октябрь 2011</c:v>
                </c:pt>
                <c:pt idx="1">
                  <c:v>Ноябрь 2011</c:v>
                </c:pt>
                <c:pt idx="2">
                  <c:v>Декабрь 2011</c:v>
                </c:pt>
                <c:pt idx="3">
                  <c:v>Январь 2012</c:v>
                </c:pt>
                <c:pt idx="4">
                  <c:v>Февраль 2012</c:v>
                </c:pt>
                <c:pt idx="5">
                  <c:v>Март 2012</c:v>
                </c:pt>
              </c:strCache>
            </c:strRef>
          </c:cat>
          <c:val>
            <c:numRef>
              <c:f>Март2012!$C$86:$H$86</c:f>
              <c:numCache>
                <c:formatCode>General</c:formatCode>
                <c:ptCount val="6"/>
                <c:pt idx="0">
                  <c:v>2972</c:v>
                </c:pt>
                <c:pt idx="1">
                  <c:v>3002</c:v>
                </c:pt>
                <c:pt idx="2">
                  <c:v>5058</c:v>
                </c:pt>
                <c:pt idx="3">
                  <c:v>5180</c:v>
                </c:pt>
                <c:pt idx="4">
                  <c:v>5224</c:v>
                </c:pt>
                <c:pt idx="5">
                  <c:v>5311</c:v>
                </c:pt>
              </c:numCache>
            </c:numRef>
          </c:val>
        </c:ser>
        <c:ser>
          <c:idx val="3"/>
          <c:order val="3"/>
          <c:tx>
            <c:strRef>
              <c:f>Март2012!$B$87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Март2012!$C$83:$H$83</c:f>
              <c:strCache>
                <c:ptCount val="6"/>
                <c:pt idx="0">
                  <c:v>Октябрь 2011</c:v>
                </c:pt>
                <c:pt idx="1">
                  <c:v>Ноябрь 2011</c:v>
                </c:pt>
                <c:pt idx="2">
                  <c:v>Декабрь 2011</c:v>
                </c:pt>
                <c:pt idx="3">
                  <c:v>Январь 2012</c:v>
                </c:pt>
                <c:pt idx="4">
                  <c:v>Февраль 2012</c:v>
                </c:pt>
                <c:pt idx="5">
                  <c:v>Март 2012</c:v>
                </c:pt>
              </c:strCache>
            </c:strRef>
          </c:cat>
          <c:val>
            <c:numRef>
              <c:f>Март2012!$C$87:$H$87</c:f>
              <c:numCache>
                <c:formatCode>General</c:formatCode>
                <c:ptCount val="6"/>
                <c:pt idx="0">
                  <c:v>5439</c:v>
                </c:pt>
                <c:pt idx="1">
                  <c:v>5463</c:v>
                </c:pt>
                <c:pt idx="2">
                  <c:v>5242</c:v>
                </c:pt>
                <c:pt idx="3">
                  <c:v>5257</c:v>
                </c:pt>
                <c:pt idx="4">
                  <c:v>5274</c:v>
                </c:pt>
                <c:pt idx="5">
                  <c:v>5275</c:v>
                </c:pt>
              </c:numCache>
            </c:numRef>
          </c:val>
        </c:ser>
        <c:gapWidth val="150"/>
        <c:shape val="box"/>
        <c:axId val="97544153"/>
        <c:axId val="36709017"/>
        <c:axId val="0"/>
      </c:bar3DChart>
      <c:catAx>
        <c:axId val="9754415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36709017"/>
        <c:crosses val="autoZero"/>
        <c:auto val="1"/>
        <c:lblAlgn val="ctr"/>
        <c:lblOffset val="100"/>
        <c:noMultiLvlLbl val="0"/>
      </c:catAx>
      <c:valAx>
        <c:axId val="36709017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9754415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Апрель2012!$C$50:$H$50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Апрель2012!$B$51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Апрель2012!$C$51:$H$51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Апрель2012!$B$52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Апрель2012!$C$52:$H$52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Апрель2012!$B$53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Апрель2012!$C$53:$H$53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68169947"/>
        <c:axId val="77467643"/>
        <c:axId val="0"/>
      </c:bar3DChart>
      <c:catAx>
        <c:axId val="68169947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77467643"/>
        <c:crosses val="autoZero"/>
        <c:auto val="1"/>
        <c:lblAlgn val="ctr"/>
        <c:lblOffset val="100"/>
        <c:noMultiLvlLbl val="0"/>
      </c:catAx>
      <c:valAx>
        <c:axId val="77467643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68169947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Апрель2012!$C$83:$H$83</c:f>
              <c:strCache>
                <c:ptCount val="6"/>
                <c:pt idx="0">
                  <c:v>Ноябрь 2011</c:v>
                </c:pt>
                <c:pt idx="1">
                  <c:v>Декабрь 2011</c:v>
                </c:pt>
                <c:pt idx="2">
                  <c:v>Январь 2012</c:v>
                </c:pt>
                <c:pt idx="3">
                  <c:v>Февраль 2012</c:v>
                </c:pt>
                <c:pt idx="4">
                  <c:v>Март 2012</c:v>
                </c:pt>
                <c:pt idx="5">
                  <c:v>Апрель 2012</c:v>
                </c:pt>
              </c:strCache>
            </c:strRef>
          </c:cat>
          <c:val>
            <c:numRef>
              <c:f>Апрель2012!$C$84:$H$84</c:f>
              <c:numCache>
                <c:formatCode>General</c:formatCode>
                <c:ptCount val="6"/>
                <c:pt idx="0">
                  <c:v>774773</c:v>
                </c:pt>
                <c:pt idx="1">
                  <c:v>772175</c:v>
                </c:pt>
                <c:pt idx="2">
                  <c:v>779514</c:v>
                </c:pt>
                <c:pt idx="3">
                  <c:v>782553</c:v>
                </c:pt>
                <c:pt idx="4">
                  <c:v>787742</c:v>
                </c:pt>
                <c:pt idx="5">
                  <c:v>794030</c:v>
                </c:pt>
              </c:numCache>
            </c:numRef>
          </c:val>
        </c:ser>
        <c:ser>
          <c:idx val="1"/>
          <c:order val="1"/>
          <c:tx>
            <c:strRef>
              <c:f>Апрель2012!$B$85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Апрель2012!$C$83:$H$83</c:f>
              <c:strCache>
                <c:ptCount val="6"/>
                <c:pt idx="0">
                  <c:v>Ноябрь 2011</c:v>
                </c:pt>
                <c:pt idx="1">
                  <c:v>Декабрь 2011</c:v>
                </c:pt>
                <c:pt idx="2">
                  <c:v>Январь 2012</c:v>
                </c:pt>
                <c:pt idx="3">
                  <c:v>Февраль 2012</c:v>
                </c:pt>
                <c:pt idx="4">
                  <c:v>Март 2012</c:v>
                </c:pt>
                <c:pt idx="5">
                  <c:v>Апрель 2012</c:v>
                </c:pt>
              </c:strCache>
            </c:strRef>
          </c:cat>
          <c:val>
            <c:numRef>
              <c:f>Апрель2012!$C$85:$H$85</c:f>
              <c:numCache>
                <c:formatCode>General</c:formatCode>
                <c:ptCount val="6"/>
                <c:pt idx="0">
                  <c:v>17114</c:v>
                </c:pt>
                <c:pt idx="1">
                  <c:v>16850</c:v>
                </c:pt>
                <c:pt idx="2">
                  <c:v>17011</c:v>
                </c:pt>
                <c:pt idx="3">
                  <c:v>17054</c:v>
                </c:pt>
                <c:pt idx="4">
                  <c:v>17159</c:v>
                </c:pt>
                <c:pt idx="5">
                  <c:v>17296</c:v>
                </c:pt>
              </c:numCache>
            </c:numRef>
          </c:val>
        </c:ser>
        <c:ser>
          <c:idx val="2"/>
          <c:order val="2"/>
          <c:tx>
            <c:strRef>
              <c:f>Апрель2012!$B$86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Апрель2012!$C$83:$H$83</c:f>
              <c:strCache>
                <c:ptCount val="6"/>
                <c:pt idx="0">
                  <c:v>Ноябрь 2011</c:v>
                </c:pt>
                <c:pt idx="1">
                  <c:v>Декабрь 2011</c:v>
                </c:pt>
                <c:pt idx="2">
                  <c:v>Январь 2012</c:v>
                </c:pt>
                <c:pt idx="3">
                  <c:v>Февраль 2012</c:v>
                </c:pt>
                <c:pt idx="4">
                  <c:v>Март 2012</c:v>
                </c:pt>
                <c:pt idx="5">
                  <c:v>Апрель 2012</c:v>
                </c:pt>
              </c:strCache>
            </c:strRef>
          </c:cat>
          <c:val>
            <c:numRef>
              <c:f>Апрель2012!$C$86:$H$86</c:f>
              <c:numCache>
                <c:formatCode>General</c:formatCode>
                <c:ptCount val="6"/>
                <c:pt idx="0">
                  <c:v>3002</c:v>
                </c:pt>
                <c:pt idx="1">
                  <c:v>5058</c:v>
                </c:pt>
                <c:pt idx="2">
                  <c:v>5180</c:v>
                </c:pt>
                <c:pt idx="3">
                  <c:v>5224</c:v>
                </c:pt>
                <c:pt idx="4">
                  <c:v>5311</c:v>
                </c:pt>
                <c:pt idx="5">
                  <c:v>5373</c:v>
                </c:pt>
              </c:numCache>
            </c:numRef>
          </c:val>
        </c:ser>
        <c:ser>
          <c:idx val="3"/>
          <c:order val="3"/>
          <c:tx>
            <c:strRef>
              <c:f>Апрель2012!$B$87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Апрель2012!$C$83:$H$83</c:f>
              <c:strCache>
                <c:ptCount val="6"/>
                <c:pt idx="0">
                  <c:v>Ноябрь 2011</c:v>
                </c:pt>
                <c:pt idx="1">
                  <c:v>Декабрь 2011</c:v>
                </c:pt>
                <c:pt idx="2">
                  <c:v>Январь 2012</c:v>
                </c:pt>
                <c:pt idx="3">
                  <c:v>Февраль 2012</c:v>
                </c:pt>
                <c:pt idx="4">
                  <c:v>Март 2012</c:v>
                </c:pt>
                <c:pt idx="5">
                  <c:v>Апрель 2012</c:v>
                </c:pt>
              </c:strCache>
            </c:strRef>
          </c:cat>
          <c:val>
            <c:numRef>
              <c:f>Апрель2012!$C$87:$H$87</c:f>
              <c:numCache>
                <c:formatCode>General</c:formatCode>
                <c:ptCount val="6"/>
                <c:pt idx="0">
                  <c:v>5463</c:v>
                </c:pt>
                <c:pt idx="1">
                  <c:v>5242</c:v>
                </c:pt>
                <c:pt idx="2">
                  <c:v>5257</c:v>
                </c:pt>
                <c:pt idx="3">
                  <c:v>5274</c:v>
                </c:pt>
                <c:pt idx="4">
                  <c:v>5275</c:v>
                </c:pt>
                <c:pt idx="5">
                  <c:v>5284</c:v>
                </c:pt>
              </c:numCache>
            </c:numRef>
          </c:val>
        </c:ser>
        <c:gapWidth val="150"/>
        <c:shape val="box"/>
        <c:axId val="86076315"/>
        <c:axId val="40644839"/>
        <c:axId val="0"/>
      </c:bar3DChart>
      <c:catAx>
        <c:axId val="86076315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0644839"/>
        <c:crosses val="autoZero"/>
        <c:auto val="1"/>
        <c:lblAlgn val="ctr"/>
        <c:lblOffset val="100"/>
        <c:noMultiLvlLbl val="0"/>
      </c:catAx>
      <c:valAx>
        <c:axId val="40644839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86076315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Май2012!$C$50:$H$50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Май2012!$B$51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Май2012!$C$51:$H$51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Май2012!$B$52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Май2012!$C$52:$H$52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Май2012!$B$53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Май2012!$C$53:$H$53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1227078"/>
        <c:axId val="20979802"/>
        <c:axId val="0"/>
      </c:bar3DChart>
      <c:catAx>
        <c:axId val="1227078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20979802"/>
        <c:crosses val="autoZero"/>
        <c:auto val="1"/>
        <c:lblAlgn val="ctr"/>
        <c:lblOffset val="100"/>
        <c:noMultiLvlLbl val="0"/>
      </c:catAx>
      <c:valAx>
        <c:axId val="2097980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227078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Май2012!$C$83:$H$83</c:f>
              <c:strCache>
                <c:ptCount val="6"/>
                <c:pt idx="0">
                  <c:v>Декабрь 2011</c:v>
                </c:pt>
                <c:pt idx="1">
                  <c:v>Январь 2012</c:v>
                </c:pt>
                <c:pt idx="2">
                  <c:v>Февраль 2012</c:v>
                </c:pt>
                <c:pt idx="3">
                  <c:v>Март 2012</c:v>
                </c:pt>
                <c:pt idx="4">
                  <c:v>Апрель 2012</c:v>
                </c:pt>
                <c:pt idx="5">
                  <c:v>Май 2012</c:v>
                </c:pt>
              </c:strCache>
            </c:strRef>
          </c:cat>
          <c:val>
            <c:numRef>
              <c:f>Май2012!$C$84:$H$84</c:f>
              <c:numCache>
                <c:formatCode>General</c:formatCode>
                <c:ptCount val="6"/>
                <c:pt idx="0">
                  <c:v>772175</c:v>
                </c:pt>
                <c:pt idx="1">
                  <c:v>779514</c:v>
                </c:pt>
                <c:pt idx="2">
                  <c:v>782553</c:v>
                </c:pt>
                <c:pt idx="3">
                  <c:v>787742</c:v>
                </c:pt>
                <c:pt idx="4">
                  <c:v>794030</c:v>
                </c:pt>
                <c:pt idx="5">
                  <c:v>799942</c:v>
                </c:pt>
              </c:numCache>
            </c:numRef>
          </c:val>
        </c:ser>
        <c:ser>
          <c:idx val="1"/>
          <c:order val="1"/>
          <c:tx>
            <c:strRef>
              <c:f>Май2012!$B$85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Май2012!$C$83:$H$83</c:f>
              <c:strCache>
                <c:ptCount val="6"/>
                <c:pt idx="0">
                  <c:v>Декабрь 2011</c:v>
                </c:pt>
                <c:pt idx="1">
                  <c:v>Январь 2012</c:v>
                </c:pt>
                <c:pt idx="2">
                  <c:v>Февраль 2012</c:v>
                </c:pt>
                <c:pt idx="3">
                  <c:v>Март 2012</c:v>
                </c:pt>
                <c:pt idx="4">
                  <c:v>Апрель 2012</c:v>
                </c:pt>
                <c:pt idx="5">
                  <c:v>Май 2012</c:v>
                </c:pt>
              </c:strCache>
            </c:strRef>
          </c:cat>
          <c:val>
            <c:numRef>
              <c:f>Май2012!$C$85:$H$85</c:f>
              <c:numCache>
                <c:formatCode>General</c:formatCode>
                <c:ptCount val="6"/>
                <c:pt idx="0">
                  <c:v>16850</c:v>
                </c:pt>
                <c:pt idx="1">
                  <c:v>17011</c:v>
                </c:pt>
                <c:pt idx="2">
                  <c:v>17054</c:v>
                </c:pt>
                <c:pt idx="3">
                  <c:v>17159</c:v>
                </c:pt>
                <c:pt idx="4">
                  <c:v>17296</c:v>
                </c:pt>
                <c:pt idx="5">
                  <c:v>17333</c:v>
                </c:pt>
              </c:numCache>
            </c:numRef>
          </c:val>
        </c:ser>
        <c:ser>
          <c:idx val="2"/>
          <c:order val="2"/>
          <c:tx>
            <c:strRef>
              <c:f>Май2012!$B$86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Май2012!$C$83:$H$83</c:f>
              <c:strCache>
                <c:ptCount val="6"/>
                <c:pt idx="0">
                  <c:v>Декабрь 2011</c:v>
                </c:pt>
                <c:pt idx="1">
                  <c:v>Январь 2012</c:v>
                </c:pt>
                <c:pt idx="2">
                  <c:v>Февраль 2012</c:v>
                </c:pt>
                <c:pt idx="3">
                  <c:v>Март 2012</c:v>
                </c:pt>
                <c:pt idx="4">
                  <c:v>Апрель 2012</c:v>
                </c:pt>
                <c:pt idx="5">
                  <c:v>Май 2012</c:v>
                </c:pt>
              </c:strCache>
            </c:strRef>
          </c:cat>
          <c:val>
            <c:numRef>
              <c:f>Май2012!$C$86:$H$86</c:f>
              <c:numCache>
                <c:formatCode>General</c:formatCode>
                <c:ptCount val="6"/>
                <c:pt idx="0">
                  <c:v>5058</c:v>
                </c:pt>
                <c:pt idx="1">
                  <c:v>5180</c:v>
                </c:pt>
                <c:pt idx="2">
                  <c:v>5224</c:v>
                </c:pt>
                <c:pt idx="3">
                  <c:v>5311</c:v>
                </c:pt>
                <c:pt idx="4">
                  <c:v>5373</c:v>
                </c:pt>
                <c:pt idx="5">
                  <c:v>5430</c:v>
                </c:pt>
              </c:numCache>
            </c:numRef>
          </c:val>
        </c:ser>
        <c:ser>
          <c:idx val="3"/>
          <c:order val="3"/>
          <c:tx>
            <c:strRef>
              <c:f>Май2012!$B$87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Май2012!$C$83:$H$83</c:f>
              <c:strCache>
                <c:ptCount val="6"/>
                <c:pt idx="0">
                  <c:v>Декабрь 2011</c:v>
                </c:pt>
                <c:pt idx="1">
                  <c:v>Январь 2012</c:v>
                </c:pt>
                <c:pt idx="2">
                  <c:v>Февраль 2012</c:v>
                </c:pt>
                <c:pt idx="3">
                  <c:v>Март 2012</c:v>
                </c:pt>
                <c:pt idx="4">
                  <c:v>Апрель 2012</c:v>
                </c:pt>
                <c:pt idx="5">
                  <c:v>Май 2012</c:v>
                </c:pt>
              </c:strCache>
            </c:strRef>
          </c:cat>
          <c:val>
            <c:numRef>
              <c:f>Май2012!$C$87:$H$87</c:f>
              <c:numCache>
                <c:formatCode>General</c:formatCode>
                <c:ptCount val="6"/>
                <c:pt idx="0">
                  <c:v>5242</c:v>
                </c:pt>
                <c:pt idx="1">
                  <c:v>5257</c:v>
                </c:pt>
                <c:pt idx="2">
                  <c:v>5274</c:v>
                </c:pt>
                <c:pt idx="3">
                  <c:v>5275</c:v>
                </c:pt>
                <c:pt idx="4">
                  <c:v>5284</c:v>
                </c:pt>
                <c:pt idx="5">
                  <c:v>5299</c:v>
                </c:pt>
              </c:numCache>
            </c:numRef>
          </c:val>
        </c:ser>
        <c:gapWidth val="150"/>
        <c:shape val="box"/>
        <c:axId val="71706489"/>
        <c:axId val="86000828"/>
        <c:axId val="0"/>
      </c:bar3DChart>
      <c:catAx>
        <c:axId val="71706489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86000828"/>
        <c:crosses val="autoZero"/>
        <c:auto val="1"/>
        <c:lblAlgn val="ctr"/>
        <c:lblOffset val="100"/>
        <c:noMultiLvlLbl val="0"/>
      </c:catAx>
      <c:valAx>
        <c:axId val="8600082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71706489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Июнь2012!$C$50:$H$50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Июнь2012!$B$51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Июнь2012!$C$51:$H$51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Июнь2012!$B$52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Июнь2012!$C$52:$H$52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Июнь2012!$B$53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Июнь2012!$C$53:$H$53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46527982"/>
        <c:axId val="14230812"/>
        <c:axId val="0"/>
      </c:bar3DChart>
      <c:catAx>
        <c:axId val="46527982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4230812"/>
        <c:crosses val="autoZero"/>
        <c:auto val="1"/>
        <c:lblAlgn val="ctr"/>
        <c:lblOffset val="100"/>
        <c:noMultiLvlLbl val="0"/>
      </c:catAx>
      <c:valAx>
        <c:axId val="1423081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6527982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Июнь2012!$C$83:$H$83</c:f>
              <c:strCache>
                <c:ptCount val="6"/>
                <c:pt idx="0">
                  <c:v>Январь 2012</c:v>
                </c:pt>
                <c:pt idx="1">
                  <c:v>Февраль 2012</c:v>
                </c:pt>
                <c:pt idx="2">
                  <c:v>Март 2012</c:v>
                </c:pt>
                <c:pt idx="3">
                  <c:v>Апрель 2012</c:v>
                </c:pt>
                <c:pt idx="4">
                  <c:v>Май 2012</c:v>
                </c:pt>
                <c:pt idx="5">
                  <c:v>Июнь 2012</c:v>
                </c:pt>
              </c:strCache>
            </c:strRef>
          </c:cat>
          <c:val>
            <c:numRef>
              <c:f>Июнь2012!$C$84:$H$84</c:f>
              <c:numCache>
                <c:formatCode>General</c:formatCode>
                <c:ptCount val="6"/>
                <c:pt idx="0">
                  <c:v>779514</c:v>
                </c:pt>
                <c:pt idx="1">
                  <c:v>782553</c:v>
                </c:pt>
                <c:pt idx="2">
                  <c:v>787742</c:v>
                </c:pt>
                <c:pt idx="3">
                  <c:v>794030</c:v>
                </c:pt>
                <c:pt idx="4">
                  <c:v>799942</c:v>
                </c:pt>
                <c:pt idx="5">
                  <c:v>794477</c:v>
                </c:pt>
              </c:numCache>
            </c:numRef>
          </c:val>
        </c:ser>
        <c:ser>
          <c:idx val="1"/>
          <c:order val="1"/>
          <c:tx>
            <c:strRef>
              <c:f>Июнь2012!$B$85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Июнь2012!$C$83:$H$83</c:f>
              <c:strCache>
                <c:ptCount val="6"/>
                <c:pt idx="0">
                  <c:v>Январь 2012</c:v>
                </c:pt>
                <c:pt idx="1">
                  <c:v>Февраль 2012</c:v>
                </c:pt>
                <c:pt idx="2">
                  <c:v>Март 2012</c:v>
                </c:pt>
                <c:pt idx="3">
                  <c:v>Апрель 2012</c:v>
                </c:pt>
                <c:pt idx="4">
                  <c:v>Май 2012</c:v>
                </c:pt>
                <c:pt idx="5">
                  <c:v>Июнь 2012</c:v>
                </c:pt>
              </c:strCache>
            </c:strRef>
          </c:cat>
          <c:val>
            <c:numRef>
              <c:f>Июнь2012!$C$85:$H$85</c:f>
              <c:numCache>
                <c:formatCode>General</c:formatCode>
                <c:ptCount val="6"/>
                <c:pt idx="0">
                  <c:v>17011</c:v>
                </c:pt>
                <c:pt idx="1">
                  <c:v>17054</c:v>
                </c:pt>
                <c:pt idx="2">
                  <c:v>17159</c:v>
                </c:pt>
                <c:pt idx="3">
                  <c:v>17296</c:v>
                </c:pt>
                <c:pt idx="4">
                  <c:v>17333</c:v>
                </c:pt>
                <c:pt idx="5">
                  <c:v>17454</c:v>
                </c:pt>
              </c:numCache>
            </c:numRef>
          </c:val>
        </c:ser>
        <c:ser>
          <c:idx val="2"/>
          <c:order val="2"/>
          <c:tx>
            <c:strRef>
              <c:f>Июнь2012!$B$86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Июнь2012!$C$83:$H$83</c:f>
              <c:strCache>
                <c:ptCount val="6"/>
                <c:pt idx="0">
                  <c:v>Январь 2012</c:v>
                </c:pt>
                <c:pt idx="1">
                  <c:v>Февраль 2012</c:v>
                </c:pt>
                <c:pt idx="2">
                  <c:v>Март 2012</c:v>
                </c:pt>
                <c:pt idx="3">
                  <c:v>Апрель 2012</c:v>
                </c:pt>
                <c:pt idx="4">
                  <c:v>Май 2012</c:v>
                </c:pt>
                <c:pt idx="5">
                  <c:v>Июнь 2012</c:v>
                </c:pt>
              </c:strCache>
            </c:strRef>
          </c:cat>
          <c:val>
            <c:numRef>
              <c:f>Июнь2012!$C$86:$H$86</c:f>
              <c:numCache>
                <c:formatCode>General</c:formatCode>
                <c:ptCount val="6"/>
                <c:pt idx="0">
                  <c:v>5180</c:v>
                </c:pt>
                <c:pt idx="1">
                  <c:v>5224</c:v>
                </c:pt>
                <c:pt idx="2">
                  <c:v>5311</c:v>
                </c:pt>
                <c:pt idx="3">
                  <c:v>5373</c:v>
                </c:pt>
                <c:pt idx="4">
                  <c:v>5430</c:v>
                </c:pt>
                <c:pt idx="5">
                  <c:v>5452</c:v>
                </c:pt>
              </c:numCache>
            </c:numRef>
          </c:val>
        </c:ser>
        <c:ser>
          <c:idx val="3"/>
          <c:order val="3"/>
          <c:tx>
            <c:strRef>
              <c:f>Июнь2012!$B$87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Июнь2012!$C$83:$H$83</c:f>
              <c:strCache>
                <c:ptCount val="6"/>
                <c:pt idx="0">
                  <c:v>Январь 2012</c:v>
                </c:pt>
                <c:pt idx="1">
                  <c:v>Февраль 2012</c:v>
                </c:pt>
                <c:pt idx="2">
                  <c:v>Март 2012</c:v>
                </c:pt>
                <c:pt idx="3">
                  <c:v>Апрель 2012</c:v>
                </c:pt>
                <c:pt idx="4">
                  <c:v>Май 2012</c:v>
                </c:pt>
                <c:pt idx="5">
                  <c:v>Июнь 2012</c:v>
                </c:pt>
              </c:strCache>
            </c:strRef>
          </c:cat>
          <c:val>
            <c:numRef>
              <c:f>Июнь2012!$C$87:$H$87</c:f>
              <c:numCache>
                <c:formatCode>General</c:formatCode>
                <c:ptCount val="6"/>
                <c:pt idx="0">
                  <c:v>5257</c:v>
                </c:pt>
                <c:pt idx="1">
                  <c:v>5274</c:v>
                </c:pt>
                <c:pt idx="2">
                  <c:v>5275</c:v>
                </c:pt>
                <c:pt idx="3">
                  <c:v>5284</c:v>
                </c:pt>
                <c:pt idx="4">
                  <c:v>5299</c:v>
                </c:pt>
                <c:pt idx="5">
                  <c:v>5267</c:v>
                </c:pt>
              </c:numCache>
            </c:numRef>
          </c:val>
        </c:ser>
        <c:gapWidth val="150"/>
        <c:shape val="box"/>
        <c:axId val="40993383"/>
        <c:axId val="58229423"/>
        <c:axId val="0"/>
      </c:bar3DChart>
      <c:catAx>
        <c:axId val="4099338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58229423"/>
        <c:crosses val="autoZero"/>
        <c:auto val="1"/>
        <c:lblAlgn val="ctr"/>
        <c:lblOffset val="100"/>
        <c:noMultiLvlLbl val="0"/>
      </c:catAx>
      <c:valAx>
        <c:axId val="58229423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099338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Июль2012!$C$50:$H$50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Июль2012!$B$51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Июль2012!$C$51:$H$51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Июль2012!$B$52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Июль2012!$C$52:$H$52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Июль2012!$B$53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Июль2012!$C$53:$H$53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4933038"/>
        <c:axId val="61302103"/>
        <c:axId val="0"/>
      </c:bar3DChart>
      <c:catAx>
        <c:axId val="4933038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61302103"/>
        <c:crosses val="autoZero"/>
        <c:auto val="1"/>
        <c:lblAlgn val="ctr"/>
        <c:lblOffset val="100"/>
        <c:noMultiLvlLbl val="0"/>
      </c:catAx>
      <c:valAx>
        <c:axId val="61302103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933038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Июль2012!$C$83:$H$83</c:f>
              <c:strCache>
                <c:ptCount val="6"/>
                <c:pt idx="0">
                  <c:v>Февраль 2012</c:v>
                </c:pt>
                <c:pt idx="1">
                  <c:v>Март 2012</c:v>
                </c:pt>
                <c:pt idx="2">
                  <c:v>Апрель 2012</c:v>
                </c:pt>
                <c:pt idx="3">
                  <c:v>Май 2012</c:v>
                </c:pt>
                <c:pt idx="4">
                  <c:v>Июнь 2012</c:v>
                </c:pt>
                <c:pt idx="5">
                  <c:v>Июль 2012</c:v>
                </c:pt>
              </c:strCache>
            </c:strRef>
          </c:cat>
          <c:val>
            <c:numRef>
              <c:f>Июль2012!$C$84:$H$84</c:f>
              <c:numCache>
                <c:formatCode>General</c:formatCode>
                <c:ptCount val="6"/>
                <c:pt idx="0">
                  <c:v>782553</c:v>
                </c:pt>
                <c:pt idx="1">
                  <c:v>787742</c:v>
                </c:pt>
                <c:pt idx="2">
                  <c:v>794030</c:v>
                </c:pt>
                <c:pt idx="3">
                  <c:v>799942</c:v>
                </c:pt>
                <c:pt idx="4">
                  <c:v>794477</c:v>
                </c:pt>
                <c:pt idx="5">
                  <c:v>799804</c:v>
                </c:pt>
              </c:numCache>
            </c:numRef>
          </c:val>
        </c:ser>
        <c:ser>
          <c:idx val="1"/>
          <c:order val="1"/>
          <c:tx>
            <c:strRef>
              <c:f>Июль2012!$B$85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Июль2012!$C$83:$H$83</c:f>
              <c:strCache>
                <c:ptCount val="6"/>
                <c:pt idx="0">
                  <c:v>Февраль 2012</c:v>
                </c:pt>
                <c:pt idx="1">
                  <c:v>Март 2012</c:v>
                </c:pt>
                <c:pt idx="2">
                  <c:v>Апрель 2012</c:v>
                </c:pt>
                <c:pt idx="3">
                  <c:v>Май 2012</c:v>
                </c:pt>
                <c:pt idx="4">
                  <c:v>Июнь 2012</c:v>
                </c:pt>
                <c:pt idx="5">
                  <c:v>Июль 2012</c:v>
                </c:pt>
              </c:strCache>
            </c:strRef>
          </c:cat>
          <c:val>
            <c:numRef>
              <c:f>Июль2012!$C$85:$H$85</c:f>
              <c:numCache>
                <c:formatCode>General</c:formatCode>
                <c:ptCount val="6"/>
                <c:pt idx="0">
                  <c:v>17054</c:v>
                </c:pt>
                <c:pt idx="1">
                  <c:v>17159</c:v>
                </c:pt>
                <c:pt idx="2">
                  <c:v>17296</c:v>
                </c:pt>
                <c:pt idx="3">
                  <c:v>17333</c:v>
                </c:pt>
                <c:pt idx="4">
                  <c:v>17454</c:v>
                </c:pt>
                <c:pt idx="5">
                  <c:v>17565</c:v>
                </c:pt>
              </c:numCache>
            </c:numRef>
          </c:val>
        </c:ser>
        <c:ser>
          <c:idx val="2"/>
          <c:order val="2"/>
          <c:tx>
            <c:strRef>
              <c:f>Июль2012!$B$86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Июль2012!$C$83:$H$83</c:f>
              <c:strCache>
                <c:ptCount val="6"/>
                <c:pt idx="0">
                  <c:v>Февраль 2012</c:v>
                </c:pt>
                <c:pt idx="1">
                  <c:v>Март 2012</c:v>
                </c:pt>
                <c:pt idx="2">
                  <c:v>Апрель 2012</c:v>
                </c:pt>
                <c:pt idx="3">
                  <c:v>Май 2012</c:v>
                </c:pt>
                <c:pt idx="4">
                  <c:v>Июнь 2012</c:v>
                </c:pt>
                <c:pt idx="5">
                  <c:v>Июль 2012</c:v>
                </c:pt>
              </c:strCache>
            </c:strRef>
          </c:cat>
          <c:val>
            <c:numRef>
              <c:f>Июль2012!$C$86:$H$86</c:f>
              <c:numCache>
                <c:formatCode>General</c:formatCode>
                <c:ptCount val="6"/>
                <c:pt idx="0">
                  <c:v>5224</c:v>
                </c:pt>
                <c:pt idx="1">
                  <c:v>5311</c:v>
                </c:pt>
                <c:pt idx="2">
                  <c:v>5373</c:v>
                </c:pt>
                <c:pt idx="3">
                  <c:v>5430</c:v>
                </c:pt>
                <c:pt idx="4">
                  <c:v>5452</c:v>
                </c:pt>
                <c:pt idx="5">
                  <c:v>5540</c:v>
                </c:pt>
              </c:numCache>
            </c:numRef>
          </c:val>
        </c:ser>
        <c:ser>
          <c:idx val="3"/>
          <c:order val="3"/>
          <c:tx>
            <c:strRef>
              <c:f>Июль2012!$B$87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Июль2012!$C$83:$H$83</c:f>
              <c:strCache>
                <c:ptCount val="6"/>
                <c:pt idx="0">
                  <c:v>Февраль 2012</c:v>
                </c:pt>
                <c:pt idx="1">
                  <c:v>Март 2012</c:v>
                </c:pt>
                <c:pt idx="2">
                  <c:v>Апрель 2012</c:v>
                </c:pt>
                <c:pt idx="3">
                  <c:v>Май 2012</c:v>
                </c:pt>
                <c:pt idx="4">
                  <c:v>Июнь 2012</c:v>
                </c:pt>
                <c:pt idx="5">
                  <c:v>Июль 2012</c:v>
                </c:pt>
              </c:strCache>
            </c:strRef>
          </c:cat>
          <c:val>
            <c:numRef>
              <c:f>Июль2012!$C$87:$H$87</c:f>
              <c:numCache>
                <c:formatCode>General</c:formatCode>
                <c:ptCount val="6"/>
                <c:pt idx="0">
                  <c:v>5274</c:v>
                </c:pt>
                <c:pt idx="1">
                  <c:v>5275</c:v>
                </c:pt>
                <c:pt idx="2">
                  <c:v>5284</c:v>
                </c:pt>
                <c:pt idx="3">
                  <c:v>5299</c:v>
                </c:pt>
                <c:pt idx="4">
                  <c:v>5267</c:v>
                </c:pt>
                <c:pt idx="5">
                  <c:v>5245</c:v>
                </c:pt>
              </c:numCache>
            </c:numRef>
          </c:val>
        </c:ser>
        <c:gapWidth val="150"/>
        <c:shape val="box"/>
        <c:axId val="43435204"/>
        <c:axId val="48430447"/>
        <c:axId val="0"/>
      </c:bar3DChart>
      <c:catAx>
        <c:axId val="43435204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8430447"/>
        <c:crosses val="autoZero"/>
        <c:auto val="1"/>
        <c:lblAlgn val="ctr"/>
        <c:lblOffset val="100"/>
        <c:noMultiLvlLbl val="0"/>
      </c:catAx>
      <c:valAx>
        <c:axId val="48430447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3435204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Август2012!$C$50:$H$50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Август2012!$B$51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Август2012!$C$51:$H$51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Август2012!$B$52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Август2012!$C$52:$H$52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Август2012!$B$53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Август2012!$C$53:$H$53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15538293"/>
        <c:axId val="43875169"/>
        <c:axId val="0"/>
      </c:bar3DChart>
      <c:catAx>
        <c:axId val="1553829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3875169"/>
        <c:crosses val="autoZero"/>
        <c:auto val="1"/>
        <c:lblAlgn val="ctr"/>
        <c:lblOffset val="100"/>
        <c:noMultiLvlLbl val="0"/>
      </c:catAx>
      <c:valAx>
        <c:axId val="43875169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553829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Август2012!$C$83:$H$83</c:f>
              <c:strCache>
                <c:ptCount val="6"/>
                <c:pt idx="0">
                  <c:v>Март 2012</c:v>
                </c:pt>
                <c:pt idx="1">
                  <c:v>Апрель 2012</c:v>
                </c:pt>
                <c:pt idx="2">
                  <c:v>Май 2012</c:v>
                </c:pt>
                <c:pt idx="3">
                  <c:v>Июнь 2012</c:v>
                </c:pt>
                <c:pt idx="4">
                  <c:v>Июль 2012</c:v>
                </c:pt>
                <c:pt idx="5">
                  <c:v>Август 2012</c:v>
                </c:pt>
              </c:strCache>
            </c:strRef>
          </c:cat>
          <c:val>
            <c:numRef>
              <c:f>Август2012!$C$84:$H$84</c:f>
              <c:numCache>
                <c:formatCode>General</c:formatCode>
                <c:ptCount val="6"/>
                <c:pt idx="0">
                  <c:v>787742</c:v>
                </c:pt>
                <c:pt idx="1">
                  <c:v>794030</c:v>
                </c:pt>
                <c:pt idx="2">
                  <c:v>799942</c:v>
                </c:pt>
                <c:pt idx="3">
                  <c:v>794477</c:v>
                </c:pt>
                <c:pt idx="4">
                  <c:v>799804</c:v>
                </c:pt>
                <c:pt idx="5">
                  <c:v>791512</c:v>
                </c:pt>
              </c:numCache>
            </c:numRef>
          </c:val>
        </c:ser>
        <c:ser>
          <c:idx val="1"/>
          <c:order val="1"/>
          <c:tx>
            <c:strRef>
              <c:f>Август2012!$B$85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Август2012!$C$83:$H$83</c:f>
              <c:strCache>
                <c:ptCount val="6"/>
                <c:pt idx="0">
                  <c:v>Март 2012</c:v>
                </c:pt>
                <c:pt idx="1">
                  <c:v>Апрель 2012</c:v>
                </c:pt>
                <c:pt idx="2">
                  <c:v>Май 2012</c:v>
                </c:pt>
                <c:pt idx="3">
                  <c:v>Июнь 2012</c:v>
                </c:pt>
                <c:pt idx="4">
                  <c:v>Июль 2012</c:v>
                </c:pt>
                <c:pt idx="5">
                  <c:v>Август 2012</c:v>
                </c:pt>
              </c:strCache>
            </c:strRef>
          </c:cat>
          <c:val>
            <c:numRef>
              <c:f>Август2012!$C$85:$H$85</c:f>
              <c:numCache>
                <c:formatCode>General</c:formatCode>
                <c:ptCount val="6"/>
                <c:pt idx="0">
                  <c:v>17159</c:v>
                </c:pt>
                <c:pt idx="1">
                  <c:v>17296</c:v>
                </c:pt>
                <c:pt idx="2">
                  <c:v>17333</c:v>
                </c:pt>
                <c:pt idx="3">
                  <c:v>17454</c:v>
                </c:pt>
                <c:pt idx="4">
                  <c:v>17565</c:v>
                </c:pt>
                <c:pt idx="5">
                  <c:v>17475</c:v>
                </c:pt>
              </c:numCache>
            </c:numRef>
          </c:val>
        </c:ser>
        <c:ser>
          <c:idx val="2"/>
          <c:order val="2"/>
          <c:tx>
            <c:strRef>
              <c:f>Август2012!$B$86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Август2012!$C$83:$H$83</c:f>
              <c:strCache>
                <c:ptCount val="6"/>
                <c:pt idx="0">
                  <c:v>Март 2012</c:v>
                </c:pt>
                <c:pt idx="1">
                  <c:v>Апрель 2012</c:v>
                </c:pt>
                <c:pt idx="2">
                  <c:v>Май 2012</c:v>
                </c:pt>
                <c:pt idx="3">
                  <c:v>Июнь 2012</c:v>
                </c:pt>
                <c:pt idx="4">
                  <c:v>Июль 2012</c:v>
                </c:pt>
                <c:pt idx="5">
                  <c:v>Август 2012</c:v>
                </c:pt>
              </c:strCache>
            </c:strRef>
          </c:cat>
          <c:val>
            <c:numRef>
              <c:f>Август2012!$C$86:$H$86</c:f>
              <c:numCache>
                <c:formatCode>General</c:formatCode>
                <c:ptCount val="6"/>
                <c:pt idx="0">
                  <c:v>5311</c:v>
                </c:pt>
                <c:pt idx="1">
                  <c:v>5373</c:v>
                </c:pt>
                <c:pt idx="2">
                  <c:v>5430</c:v>
                </c:pt>
                <c:pt idx="3">
                  <c:v>5452</c:v>
                </c:pt>
                <c:pt idx="4">
                  <c:v>5540</c:v>
                </c:pt>
                <c:pt idx="5">
                  <c:v>5636</c:v>
                </c:pt>
              </c:numCache>
            </c:numRef>
          </c:val>
        </c:ser>
        <c:ser>
          <c:idx val="3"/>
          <c:order val="3"/>
          <c:tx>
            <c:strRef>
              <c:f>Август2012!$B$87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Август2012!$C$83:$H$83</c:f>
              <c:strCache>
                <c:ptCount val="6"/>
                <c:pt idx="0">
                  <c:v>Март 2012</c:v>
                </c:pt>
                <c:pt idx="1">
                  <c:v>Апрель 2012</c:v>
                </c:pt>
                <c:pt idx="2">
                  <c:v>Май 2012</c:v>
                </c:pt>
                <c:pt idx="3">
                  <c:v>Июнь 2012</c:v>
                </c:pt>
                <c:pt idx="4">
                  <c:v>Июль 2012</c:v>
                </c:pt>
                <c:pt idx="5">
                  <c:v>Август 2012</c:v>
                </c:pt>
              </c:strCache>
            </c:strRef>
          </c:cat>
          <c:val>
            <c:numRef>
              <c:f>Август2012!$C$87:$H$87</c:f>
              <c:numCache>
                <c:formatCode>General</c:formatCode>
                <c:ptCount val="6"/>
                <c:pt idx="0">
                  <c:v>5275</c:v>
                </c:pt>
                <c:pt idx="1">
                  <c:v>5284</c:v>
                </c:pt>
                <c:pt idx="2">
                  <c:v>5299</c:v>
                </c:pt>
                <c:pt idx="3">
                  <c:v>5267</c:v>
                </c:pt>
                <c:pt idx="4">
                  <c:v>5245</c:v>
                </c:pt>
                <c:pt idx="5">
                  <c:v>5250</c:v>
                </c:pt>
              </c:numCache>
            </c:numRef>
          </c:val>
        </c:ser>
        <c:gapWidth val="150"/>
        <c:shape val="box"/>
        <c:axId val="15838178"/>
        <c:axId val="37069015"/>
        <c:axId val="0"/>
      </c:bar3DChart>
      <c:catAx>
        <c:axId val="15838178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37069015"/>
        <c:crosses val="autoZero"/>
        <c:auto val="1"/>
        <c:lblAlgn val="ctr"/>
        <c:lblOffset val="100"/>
        <c:noMultiLvlLbl val="0"/>
      </c:catAx>
      <c:valAx>
        <c:axId val="37069015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5838178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Сентябрь2012!$C$50:$H$50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Сентябрь2012!$B$51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Сентябрь2012!$C$51:$H$51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Сентябрь2012!$B$52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Сентябрь2012!$C$52:$H$52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Сентябрь2012!$B$53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Сентябрь2012!$C$53:$H$53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24648102"/>
        <c:axId val="14650247"/>
        <c:axId val="0"/>
      </c:bar3DChart>
      <c:catAx>
        <c:axId val="24648102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4650247"/>
        <c:crosses val="autoZero"/>
        <c:auto val="1"/>
        <c:lblAlgn val="ctr"/>
        <c:lblOffset val="100"/>
        <c:noMultiLvlLbl val="0"/>
      </c:catAx>
      <c:valAx>
        <c:axId val="14650247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24648102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Сентябрь2012!$C$83:$H$83</c:f>
              <c:strCache>
                <c:ptCount val="6"/>
                <c:pt idx="0">
                  <c:v>Апрель 2012</c:v>
                </c:pt>
                <c:pt idx="1">
                  <c:v>Май 2012</c:v>
                </c:pt>
                <c:pt idx="2">
                  <c:v>Июнь 2012</c:v>
                </c:pt>
                <c:pt idx="3">
                  <c:v>Июль 2012</c:v>
                </c:pt>
                <c:pt idx="4">
                  <c:v>Август 2012</c:v>
                </c:pt>
                <c:pt idx="5">
                  <c:v>Сентябрь 2012</c:v>
                </c:pt>
              </c:strCache>
            </c:strRef>
          </c:cat>
          <c:val>
            <c:numRef>
              <c:f>Сентябрь2012!$C$84:$H$84</c:f>
              <c:numCache>
                <c:formatCode>General</c:formatCode>
                <c:ptCount val="6"/>
                <c:pt idx="0">
                  <c:v>794030</c:v>
                </c:pt>
                <c:pt idx="1">
                  <c:v>799942</c:v>
                </c:pt>
                <c:pt idx="2">
                  <c:v>794477</c:v>
                </c:pt>
                <c:pt idx="3">
                  <c:v>799804</c:v>
                </c:pt>
                <c:pt idx="4">
                  <c:v>791512</c:v>
                </c:pt>
                <c:pt idx="5">
                  <c:v>796839</c:v>
                </c:pt>
              </c:numCache>
            </c:numRef>
          </c:val>
        </c:ser>
        <c:ser>
          <c:idx val="1"/>
          <c:order val="1"/>
          <c:tx>
            <c:strRef>
              <c:f>Сентябрь2012!$B$85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Сентябрь2012!$C$83:$H$83</c:f>
              <c:strCache>
                <c:ptCount val="6"/>
                <c:pt idx="0">
                  <c:v>Апрель 2012</c:v>
                </c:pt>
                <c:pt idx="1">
                  <c:v>Май 2012</c:v>
                </c:pt>
                <c:pt idx="2">
                  <c:v>Июнь 2012</c:v>
                </c:pt>
                <c:pt idx="3">
                  <c:v>Июль 2012</c:v>
                </c:pt>
                <c:pt idx="4">
                  <c:v>Август 2012</c:v>
                </c:pt>
                <c:pt idx="5">
                  <c:v>Сентябрь 2012</c:v>
                </c:pt>
              </c:strCache>
            </c:strRef>
          </c:cat>
          <c:val>
            <c:numRef>
              <c:f>Сентябрь2012!$C$85:$H$85</c:f>
              <c:numCache>
                <c:formatCode>General</c:formatCode>
                <c:ptCount val="6"/>
                <c:pt idx="0">
                  <c:v>17296</c:v>
                </c:pt>
                <c:pt idx="1">
                  <c:v>17333</c:v>
                </c:pt>
                <c:pt idx="2">
                  <c:v>17454</c:v>
                </c:pt>
                <c:pt idx="3">
                  <c:v>17565</c:v>
                </c:pt>
                <c:pt idx="4">
                  <c:v>17475</c:v>
                </c:pt>
                <c:pt idx="5">
                  <c:v>17573</c:v>
                </c:pt>
              </c:numCache>
            </c:numRef>
          </c:val>
        </c:ser>
        <c:ser>
          <c:idx val="2"/>
          <c:order val="2"/>
          <c:tx>
            <c:strRef>
              <c:f>Сентябрь2012!$B$86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Сентябрь2012!$C$83:$H$83</c:f>
              <c:strCache>
                <c:ptCount val="6"/>
                <c:pt idx="0">
                  <c:v>Апрель 2012</c:v>
                </c:pt>
                <c:pt idx="1">
                  <c:v>Май 2012</c:v>
                </c:pt>
                <c:pt idx="2">
                  <c:v>Июнь 2012</c:v>
                </c:pt>
                <c:pt idx="3">
                  <c:v>Июль 2012</c:v>
                </c:pt>
                <c:pt idx="4">
                  <c:v>Август 2012</c:v>
                </c:pt>
                <c:pt idx="5">
                  <c:v>Сентябрь 2012</c:v>
                </c:pt>
              </c:strCache>
            </c:strRef>
          </c:cat>
          <c:val>
            <c:numRef>
              <c:f>Сентябрь2012!$C$86:$H$86</c:f>
              <c:numCache>
                <c:formatCode>General</c:formatCode>
                <c:ptCount val="6"/>
                <c:pt idx="0">
                  <c:v>5373</c:v>
                </c:pt>
                <c:pt idx="1">
                  <c:v>5430</c:v>
                </c:pt>
                <c:pt idx="2">
                  <c:v>5452</c:v>
                </c:pt>
                <c:pt idx="3">
                  <c:v>5540</c:v>
                </c:pt>
                <c:pt idx="4">
                  <c:v>5636</c:v>
                </c:pt>
                <c:pt idx="5">
                  <c:v>5703</c:v>
                </c:pt>
              </c:numCache>
            </c:numRef>
          </c:val>
        </c:ser>
        <c:ser>
          <c:idx val="3"/>
          <c:order val="3"/>
          <c:tx>
            <c:strRef>
              <c:f>Сентябрь2012!$B$87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Сентябрь2012!$C$83:$H$83</c:f>
              <c:strCache>
                <c:ptCount val="6"/>
                <c:pt idx="0">
                  <c:v>Апрель 2012</c:v>
                </c:pt>
                <c:pt idx="1">
                  <c:v>Май 2012</c:v>
                </c:pt>
                <c:pt idx="2">
                  <c:v>Июнь 2012</c:v>
                </c:pt>
                <c:pt idx="3">
                  <c:v>Июль 2012</c:v>
                </c:pt>
                <c:pt idx="4">
                  <c:v>Август 2012</c:v>
                </c:pt>
                <c:pt idx="5">
                  <c:v>Сентябрь 2012</c:v>
                </c:pt>
              </c:strCache>
            </c:strRef>
          </c:cat>
          <c:val>
            <c:numRef>
              <c:f>Сентябрь2012!$C$87:$H$87</c:f>
              <c:numCache>
                <c:formatCode>General</c:formatCode>
                <c:ptCount val="6"/>
                <c:pt idx="0">
                  <c:v>5284</c:v>
                </c:pt>
                <c:pt idx="1">
                  <c:v>5299</c:v>
                </c:pt>
                <c:pt idx="2">
                  <c:v>5267</c:v>
                </c:pt>
                <c:pt idx="3">
                  <c:v>5245</c:v>
                </c:pt>
                <c:pt idx="4">
                  <c:v>5250</c:v>
                </c:pt>
                <c:pt idx="5">
                  <c:v>5246</c:v>
                </c:pt>
              </c:numCache>
            </c:numRef>
          </c:val>
        </c:ser>
        <c:gapWidth val="150"/>
        <c:shape val="box"/>
        <c:axId val="25593764"/>
        <c:axId val="65491934"/>
        <c:axId val="0"/>
      </c:bar3DChart>
      <c:catAx>
        <c:axId val="25593764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65491934"/>
        <c:crosses val="autoZero"/>
        <c:auto val="1"/>
        <c:lblAlgn val="ctr"/>
        <c:lblOffset val="100"/>
        <c:noMultiLvlLbl val="0"/>
      </c:catAx>
      <c:valAx>
        <c:axId val="6549193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25593764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Октябрь2012!$C$50:$H$50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Октябрь2012!$B$51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Октябрь2012!$C$51:$H$51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Октябрь2012!$B$52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Октябрь2012!$C$52:$H$52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Октябрь2012!$B$53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Октябрь2012!$C$53:$H$53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53673158"/>
        <c:axId val="14193492"/>
        <c:axId val="0"/>
      </c:bar3DChart>
      <c:catAx>
        <c:axId val="53673158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14193492"/>
        <c:crosses val="autoZero"/>
        <c:auto val="1"/>
        <c:lblAlgn val="ctr"/>
        <c:lblOffset val="100"/>
        <c:noMultiLvlLbl val="0"/>
      </c:catAx>
      <c:valAx>
        <c:axId val="1419349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53673158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Октябрь2012!$C$83:$H$83</c:f>
              <c:strCache>
                <c:ptCount val="6"/>
                <c:pt idx="0">
                  <c:v>Май 2012</c:v>
                </c:pt>
                <c:pt idx="1">
                  <c:v>Июнь 2012</c:v>
                </c:pt>
                <c:pt idx="2">
                  <c:v>Июль 2012</c:v>
                </c:pt>
                <c:pt idx="3">
                  <c:v>Август 2012</c:v>
                </c:pt>
                <c:pt idx="4">
                  <c:v>Сентябрь 2012</c:v>
                </c:pt>
                <c:pt idx="5">
                  <c:v>Октябрь 2012</c:v>
                </c:pt>
              </c:strCache>
            </c:strRef>
          </c:cat>
          <c:val>
            <c:numRef>
              <c:f>Октябрь2012!$C$84:$H$84</c:f>
              <c:numCache>
                <c:formatCode>General</c:formatCode>
                <c:ptCount val="6"/>
                <c:pt idx="0">
                  <c:v>799942</c:v>
                </c:pt>
                <c:pt idx="1">
                  <c:v>794477</c:v>
                </c:pt>
                <c:pt idx="2">
                  <c:v>799804</c:v>
                </c:pt>
                <c:pt idx="3">
                  <c:v>791512</c:v>
                </c:pt>
                <c:pt idx="4">
                  <c:v>796839</c:v>
                </c:pt>
                <c:pt idx="5">
                  <c:v>804740</c:v>
                </c:pt>
              </c:numCache>
            </c:numRef>
          </c:val>
        </c:ser>
        <c:ser>
          <c:idx val="1"/>
          <c:order val="1"/>
          <c:tx>
            <c:strRef>
              <c:f>Октябрь2012!$B$85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Октябрь2012!$C$83:$H$83</c:f>
              <c:strCache>
                <c:ptCount val="6"/>
                <c:pt idx="0">
                  <c:v>Май 2012</c:v>
                </c:pt>
                <c:pt idx="1">
                  <c:v>Июнь 2012</c:v>
                </c:pt>
                <c:pt idx="2">
                  <c:v>Июль 2012</c:v>
                </c:pt>
                <c:pt idx="3">
                  <c:v>Август 2012</c:v>
                </c:pt>
                <c:pt idx="4">
                  <c:v>Сентябрь 2012</c:v>
                </c:pt>
                <c:pt idx="5">
                  <c:v>Октябрь 2012</c:v>
                </c:pt>
              </c:strCache>
            </c:strRef>
          </c:cat>
          <c:val>
            <c:numRef>
              <c:f>Октябрь2012!$C$85:$H$85</c:f>
              <c:numCache>
                <c:formatCode>General</c:formatCode>
                <c:ptCount val="6"/>
                <c:pt idx="0">
                  <c:v>17333</c:v>
                </c:pt>
                <c:pt idx="1">
                  <c:v>17454</c:v>
                </c:pt>
                <c:pt idx="2">
                  <c:v>17565</c:v>
                </c:pt>
                <c:pt idx="3">
                  <c:v>17475</c:v>
                </c:pt>
                <c:pt idx="4">
                  <c:v>17573</c:v>
                </c:pt>
                <c:pt idx="5">
                  <c:v>17648</c:v>
                </c:pt>
              </c:numCache>
            </c:numRef>
          </c:val>
        </c:ser>
        <c:ser>
          <c:idx val="2"/>
          <c:order val="2"/>
          <c:tx>
            <c:strRef>
              <c:f>Октябрь2012!$B$86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Октябрь2012!$C$83:$H$83</c:f>
              <c:strCache>
                <c:ptCount val="6"/>
                <c:pt idx="0">
                  <c:v>Май 2012</c:v>
                </c:pt>
                <c:pt idx="1">
                  <c:v>Июнь 2012</c:v>
                </c:pt>
                <c:pt idx="2">
                  <c:v>Июль 2012</c:v>
                </c:pt>
                <c:pt idx="3">
                  <c:v>Август 2012</c:v>
                </c:pt>
                <c:pt idx="4">
                  <c:v>Сентябрь 2012</c:v>
                </c:pt>
                <c:pt idx="5">
                  <c:v>Октябрь 2012</c:v>
                </c:pt>
              </c:strCache>
            </c:strRef>
          </c:cat>
          <c:val>
            <c:numRef>
              <c:f>Октябрь2012!$C$86:$H$86</c:f>
              <c:numCache>
                <c:formatCode>General</c:formatCode>
                <c:ptCount val="6"/>
                <c:pt idx="0">
                  <c:v>5430</c:v>
                </c:pt>
                <c:pt idx="1">
                  <c:v>5452</c:v>
                </c:pt>
                <c:pt idx="2">
                  <c:v>5540</c:v>
                </c:pt>
                <c:pt idx="3">
                  <c:v>5636</c:v>
                </c:pt>
                <c:pt idx="4">
                  <c:v>5703</c:v>
                </c:pt>
                <c:pt idx="5">
                  <c:v>5781</c:v>
                </c:pt>
              </c:numCache>
            </c:numRef>
          </c:val>
        </c:ser>
        <c:ser>
          <c:idx val="3"/>
          <c:order val="3"/>
          <c:tx>
            <c:strRef>
              <c:f>Октябрь2012!$B$87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Октябрь2012!$C$83:$H$83</c:f>
              <c:strCache>
                <c:ptCount val="6"/>
                <c:pt idx="0">
                  <c:v>Май 2012</c:v>
                </c:pt>
                <c:pt idx="1">
                  <c:v>Июнь 2012</c:v>
                </c:pt>
                <c:pt idx="2">
                  <c:v>Июль 2012</c:v>
                </c:pt>
                <c:pt idx="3">
                  <c:v>Август 2012</c:v>
                </c:pt>
                <c:pt idx="4">
                  <c:v>Сентябрь 2012</c:v>
                </c:pt>
                <c:pt idx="5">
                  <c:v>Октябрь 2012</c:v>
                </c:pt>
              </c:strCache>
            </c:strRef>
          </c:cat>
          <c:val>
            <c:numRef>
              <c:f>Октябрь2012!$C$87:$H$87</c:f>
              <c:numCache>
                <c:formatCode>General</c:formatCode>
                <c:ptCount val="6"/>
                <c:pt idx="0">
                  <c:v>5299</c:v>
                </c:pt>
                <c:pt idx="1">
                  <c:v>5267</c:v>
                </c:pt>
                <c:pt idx="2">
                  <c:v>5245</c:v>
                </c:pt>
                <c:pt idx="3">
                  <c:v>5250</c:v>
                </c:pt>
                <c:pt idx="4">
                  <c:v>5246</c:v>
                </c:pt>
                <c:pt idx="5">
                  <c:v>5247</c:v>
                </c:pt>
              </c:numCache>
            </c:numRef>
          </c:val>
        </c:ser>
        <c:gapWidth val="150"/>
        <c:shape val="box"/>
        <c:axId val="30994623"/>
        <c:axId val="23445485"/>
        <c:axId val="0"/>
      </c:bar3DChart>
      <c:catAx>
        <c:axId val="3099462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23445485"/>
        <c:crosses val="autoZero"/>
        <c:auto val="1"/>
        <c:lblAlgn val="ctr"/>
        <c:lblOffset val="100"/>
        <c:noMultiLvlLbl val="0"/>
      </c:catAx>
      <c:valAx>
        <c:axId val="23445485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3099462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148623493681"/>
          <c:y val="0.0261080752884032"/>
          <c:w val="0.925149407269521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Ноябрь2012!$B$50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Ноябрь2012!$C$50:$H$50</c:f>
              <c:numCache>
                <c:formatCode>General</c:formatCode>
                <c:ptCount val="6"/>
                <c:pt idx="2">
                  <c:v>559320</c:v>
                </c:pt>
                <c:pt idx="3">
                  <c:v>671475</c:v>
                </c:pt>
                <c:pt idx="4">
                  <c:v>714295</c:v>
                </c:pt>
                <c:pt idx="5">
                  <c:v>772175</c:v>
                </c:pt>
              </c:numCache>
            </c:numRef>
          </c:val>
        </c:ser>
        <c:ser>
          <c:idx val="1"/>
          <c:order val="1"/>
          <c:tx>
            <c:strRef>
              <c:f>Ноябрь2012!$B$51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Ноябрь2012!$C$51:$H$51</c:f>
              <c:numCache>
                <c:formatCode>General</c:formatCode>
                <c:ptCount val="6"/>
                <c:pt idx="2">
                  <c:v>14748</c:v>
                </c:pt>
                <c:pt idx="3">
                  <c:v>16364</c:v>
                </c:pt>
                <c:pt idx="4">
                  <c:v>17170</c:v>
                </c:pt>
                <c:pt idx="5">
                  <c:v>16850</c:v>
                </c:pt>
              </c:numCache>
            </c:numRef>
          </c:val>
        </c:ser>
        <c:ser>
          <c:idx val="2"/>
          <c:order val="2"/>
          <c:tx>
            <c:strRef>
              <c:f>Ноябрь2012!$B$52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Ноябрь2012!$C$52:$H$52</c:f>
              <c:numCache>
                <c:formatCode>General</c:formatCode>
                <c:ptCount val="6"/>
                <c:pt idx="2">
                  <c:v>3097</c:v>
                </c:pt>
                <c:pt idx="3">
                  <c:v>3851</c:v>
                </c:pt>
                <c:pt idx="4">
                  <c:v>4295</c:v>
                </c:pt>
                <c:pt idx="5">
                  <c:v>5058</c:v>
                </c:pt>
              </c:numCache>
            </c:numRef>
          </c:val>
        </c:ser>
        <c:ser>
          <c:idx val="3"/>
          <c:order val="3"/>
          <c:tx>
            <c:strRef>
              <c:f>Ноябрь2012!$B$53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2008</c:v>
                </c:pt>
                <c:pt idx="3">
                  <c:v>Декабрь 2009</c:v>
                </c:pt>
                <c:pt idx="4">
                  <c:v>Декабрь 2010</c:v>
                </c:pt>
                <c:pt idx="5">
                  <c:v>Декабрь 2011</c:v>
                </c:pt>
              </c:strCache>
            </c:strRef>
          </c:cat>
          <c:val>
            <c:numRef>
              <c:f>Ноябрь2012!$C$53:$H$53</c:f>
              <c:numCache>
                <c:formatCode>General</c:formatCode>
                <c:ptCount val="6"/>
                <c:pt idx="2">
                  <c:v>4512</c:v>
                </c:pt>
                <c:pt idx="3">
                  <c:v>4717</c:v>
                </c:pt>
                <c:pt idx="4">
                  <c:v>5348</c:v>
                </c:pt>
                <c:pt idx="5">
                  <c:v>5242</c:v>
                </c:pt>
              </c:numCache>
            </c:numRef>
          </c:val>
        </c:ser>
        <c:gapWidth val="150"/>
        <c:shape val="box"/>
        <c:axId val="70691793"/>
        <c:axId val="89495419"/>
        <c:axId val="0"/>
      </c:bar3DChart>
      <c:catAx>
        <c:axId val="70691793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89495419"/>
        <c:crosses val="autoZero"/>
        <c:auto val="1"/>
        <c:lblAlgn val="ctr"/>
        <c:lblOffset val="100"/>
        <c:noMultiLvlLbl val="0"/>
      </c:catAx>
      <c:valAx>
        <c:axId val="89495419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70691793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Ноябрь2012!$B$84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Ноябрь2012!$C$83:$H$83</c:f>
              <c:strCache>
                <c:ptCount val="6"/>
                <c:pt idx="0">
                  <c:v>Июнь 2012</c:v>
                </c:pt>
                <c:pt idx="1">
                  <c:v>Июль 2012</c:v>
                </c:pt>
                <c:pt idx="2">
                  <c:v>Август 2012</c:v>
                </c:pt>
                <c:pt idx="3">
                  <c:v>Сентябрь 2012</c:v>
                </c:pt>
                <c:pt idx="4">
                  <c:v>Октябрь 2012</c:v>
                </c:pt>
                <c:pt idx="5">
                  <c:v>Ноябрь 2012</c:v>
                </c:pt>
              </c:strCache>
            </c:strRef>
          </c:cat>
          <c:val>
            <c:numRef>
              <c:f>Ноябрь2012!$C$84:$H$84</c:f>
              <c:numCache>
                <c:formatCode>General</c:formatCode>
                <c:ptCount val="6"/>
                <c:pt idx="0">
                  <c:v>794477</c:v>
                </c:pt>
                <c:pt idx="1">
                  <c:v>799804</c:v>
                </c:pt>
                <c:pt idx="2">
                  <c:v>791512</c:v>
                </c:pt>
                <c:pt idx="3">
                  <c:v>796839</c:v>
                </c:pt>
                <c:pt idx="4">
                  <c:v>804740</c:v>
                </c:pt>
                <c:pt idx="5">
                  <c:v>815485</c:v>
                </c:pt>
              </c:numCache>
            </c:numRef>
          </c:val>
        </c:ser>
        <c:ser>
          <c:idx val="1"/>
          <c:order val="1"/>
          <c:tx>
            <c:strRef>
              <c:f>Ноябрь2012!$B$85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Ноябрь2012!$C$83:$H$83</c:f>
              <c:strCache>
                <c:ptCount val="6"/>
                <c:pt idx="0">
                  <c:v>Июнь 2012</c:v>
                </c:pt>
                <c:pt idx="1">
                  <c:v>Июль 2012</c:v>
                </c:pt>
                <c:pt idx="2">
                  <c:v>Август 2012</c:v>
                </c:pt>
                <c:pt idx="3">
                  <c:v>Сентябрь 2012</c:v>
                </c:pt>
                <c:pt idx="4">
                  <c:v>Октябрь 2012</c:v>
                </c:pt>
                <c:pt idx="5">
                  <c:v>Ноябрь 2012</c:v>
                </c:pt>
              </c:strCache>
            </c:strRef>
          </c:cat>
          <c:val>
            <c:numRef>
              <c:f>Ноябрь2012!$C$85:$H$85</c:f>
              <c:numCache>
                <c:formatCode>General</c:formatCode>
                <c:ptCount val="6"/>
                <c:pt idx="0">
                  <c:v>17454</c:v>
                </c:pt>
                <c:pt idx="1">
                  <c:v>17565</c:v>
                </c:pt>
                <c:pt idx="2">
                  <c:v>17475</c:v>
                </c:pt>
                <c:pt idx="3">
                  <c:v>17573</c:v>
                </c:pt>
                <c:pt idx="4">
                  <c:v>17648</c:v>
                </c:pt>
                <c:pt idx="5">
                  <c:v>17752</c:v>
                </c:pt>
              </c:numCache>
            </c:numRef>
          </c:val>
        </c:ser>
        <c:ser>
          <c:idx val="2"/>
          <c:order val="2"/>
          <c:tx>
            <c:strRef>
              <c:f>Ноябрь2012!$B$86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Ноябрь2012!$C$83:$H$83</c:f>
              <c:strCache>
                <c:ptCount val="6"/>
                <c:pt idx="0">
                  <c:v>Июнь 2012</c:v>
                </c:pt>
                <c:pt idx="1">
                  <c:v>Июль 2012</c:v>
                </c:pt>
                <c:pt idx="2">
                  <c:v>Август 2012</c:v>
                </c:pt>
                <c:pt idx="3">
                  <c:v>Сентябрь 2012</c:v>
                </c:pt>
                <c:pt idx="4">
                  <c:v>Октябрь 2012</c:v>
                </c:pt>
                <c:pt idx="5">
                  <c:v>Ноябрь 2012</c:v>
                </c:pt>
              </c:strCache>
            </c:strRef>
          </c:cat>
          <c:val>
            <c:numRef>
              <c:f>Ноябрь2012!$C$86:$H$86</c:f>
              <c:numCache>
                <c:formatCode>General</c:formatCode>
                <c:ptCount val="6"/>
                <c:pt idx="0">
                  <c:v>5452</c:v>
                </c:pt>
                <c:pt idx="1">
                  <c:v>5540</c:v>
                </c:pt>
                <c:pt idx="2">
                  <c:v>5636</c:v>
                </c:pt>
                <c:pt idx="3">
                  <c:v>5703</c:v>
                </c:pt>
                <c:pt idx="4">
                  <c:v>5781</c:v>
                </c:pt>
                <c:pt idx="5">
                  <c:v>5845</c:v>
                </c:pt>
              </c:numCache>
            </c:numRef>
          </c:val>
        </c:ser>
        <c:ser>
          <c:idx val="3"/>
          <c:order val="3"/>
          <c:tx>
            <c:strRef>
              <c:f>Ноябрь2012!$B$87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Ноябрь2012!$C$83:$H$83</c:f>
              <c:strCache>
                <c:ptCount val="6"/>
                <c:pt idx="0">
                  <c:v>Июнь 2012</c:v>
                </c:pt>
                <c:pt idx="1">
                  <c:v>Июль 2012</c:v>
                </c:pt>
                <c:pt idx="2">
                  <c:v>Август 2012</c:v>
                </c:pt>
                <c:pt idx="3">
                  <c:v>Сентябрь 2012</c:v>
                </c:pt>
                <c:pt idx="4">
                  <c:v>Октябрь 2012</c:v>
                </c:pt>
                <c:pt idx="5">
                  <c:v>Ноябрь 2012</c:v>
                </c:pt>
              </c:strCache>
            </c:strRef>
          </c:cat>
          <c:val>
            <c:numRef>
              <c:f>Ноябрь2012!$C$87:$H$87</c:f>
              <c:numCache>
                <c:formatCode>General</c:formatCode>
                <c:ptCount val="6"/>
                <c:pt idx="0">
                  <c:v>5267</c:v>
                </c:pt>
                <c:pt idx="1">
                  <c:v>5245</c:v>
                </c:pt>
                <c:pt idx="2">
                  <c:v>5250</c:v>
                </c:pt>
                <c:pt idx="3">
                  <c:v>5246</c:v>
                </c:pt>
                <c:pt idx="4">
                  <c:v>5247</c:v>
                </c:pt>
                <c:pt idx="5">
                  <c:v>5266</c:v>
                </c:pt>
              </c:numCache>
            </c:numRef>
          </c:val>
        </c:ser>
        <c:gapWidth val="150"/>
        <c:shape val="box"/>
        <c:axId val="99812036"/>
        <c:axId val="68842097"/>
        <c:axId val="0"/>
      </c:bar3DChart>
      <c:catAx>
        <c:axId val="99812036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68842097"/>
        <c:crosses val="autoZero"/>
        <c:auto val="1"/>
        <c:lblAlgn val="ctr"/>
        <c:lblOffset val="100"/>
        <c:noMultiLvlLbl val="0"/>
      </c:catAx>
      <c:valAx>
        <c:axId val="68842097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99812036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669004936347103"/>
          <c:y val="0.0261080752884032"/>
          <c:w val="0.925142894258249"/>
          <c:h val="0.88145112325440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Декабрь2012!$B$50:$B$50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2009</c:v>
                </c:pt>
                <c:pt idx="3">
                  <c:v>Декабрь 2010</c:v>
                </c:pt>
                <c:pt idx="4">
                  <c:v>Декабрь 2011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Декабрь2012!$C$50:$H$50</c:f>
              <c:numCache>
                <c:formatCode>General</c:formatCode>
                <c:ptCount val="6"/>
                <c:pt idx="2">
                  <c:v>671475</c:v>
                </c:pt>
                <c:pt idx="3">
                  <c:v>714295</c:v>
                </c:pt>
                <c:pt idx="4">
                  <c:v>772175</c:v>
                </c:pt>
                <c:pt idx="5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Декабрь2012!$B$51:$B$51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2009</c:v>
                </c:pt>
                <c:pt idx="3">
                  <c:v>Декабрь 2010</c:v>
                </c:pt>
                <c:pt idx="4">
                  <c:v>Декабрь 2011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Декабрь2012!$C$51:$H$51</c:f>
              <c:numCache>
                <c:formatCode>General</c:formatCode>
                <c:ptCount val="6"/>
                <c:pt idx="2">
                  <c:v>16364</c:v>
                </c:pt>
                <c:pt idx="3">
                  <c:v>17170</c:v>
                </c:pt>
                <c:pt idx="4">
                  <c:v>16850</c:v>
                </c:pt>
                <c:pt idx="5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Декабрь2012!$B$52:$B$52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2009</c:v>
                </c:pt>
                <c:pt idx="3">
                  <c:v>Декабрь 2010</c:v>
                </c:pt>
                <c:pt idx="4">
                  <c:v>Декабрь 2011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Декабрь2012!$C$52:$H$52</c:f>
              <c:numCache>
                <c:formatCode>General</c:formatCode>
                <c:ptCount val="6"/>
                <c:pt idx="2">
                  <c:v>3851</c:v>
                </c:pt>
                <c:pt idx="3">
                  <c:v>4295</c:v>
                </c:pt>
                <c:pt idx="4">
                  <c:v>5058</c:v>
                </c:pt>
                <c:pt idx="5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Декабрь2012!$B$53:$B$53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Декабрь2012!$C$49:$H$49</c:f>
              <c:strCache>
                <c:ptCount val="6"/>
                <c:pt idx="0">
                  <c:v/>
                </c:pt>
                <c:pt idx="1">
                  <c:v/>
                </c:pt>
                <c:pt idx="2">
                  <c:v>Декабрь 2009</c:v>
                </c:pt>
                <c:pt idx="3">
                  <c:v>Декабрь 2010</c:v>
                </c:pt>
                <c:pt idx="4">
                  <c:v>Декабрь 2011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Декабрь2012!$C$53:$H$53</c:f>
              <c:numCache>
                <c:formatCode>General</c:formatCode>
                <c:ptCount val="6"/>
                <c:pt idx="2">
                  <c:v>4717</c:v>
                </c:pt>
                <c:pt idx="3">
                  <c:v>5348</c:v>
                </c:pt>
                <c:pt idx="4">
                  <c:v>5242</c:v>
                </c:pt>
                <c:pt idx="5">
                  <c:v>5261</c:v>
                </c:pt>
              </c:numCache>
            </c:numRef>
          </c:val>
        </c:ser>
        <c:gapWidth val="150"/>
        <c:shape val="box"/>
        <c:axId val="88271168"/>
        <c:axId val="67111565"/>
        <c:axId val="0"/>
      </c:bar3DChart>
      <c:catAx>
        <c:axId val="88271168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67111565"/>
        <c:crosses val="autoZero"/>
        <c:auto val="1"/>
        <c:lblAlgn val="ctr"/>
        <c:lblOffset val="100"/>
        <c:noMultiLvlLbl val="0"/>
      </c:catAx>
      <c:valAx>
        <c:axId val="67111565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88271168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view3D>
      <c:rotX val="15"/>
      <c:rotY val="20"/>
      <c:rAngAx val="1"/>
      <c:perspective val="30"/>
    </c:view3D>
    <c:floor>
      <c:spPr>
        <a:noFill/>
        <a:ln w="9360">
          <a:noFill/>
        </a:ln>
      </c:spPr>
    </c:floor>
    <c:sideWall>
      <c:spPr>
        <a:noFill/>
        <a:ln w="25560">
          <a:noFill/>
        </a:ln>
      </c:spPr>
    </c:sideWall>
    <c:backWall>
      <c:spPr>
        <a:noFill/>
        <a:ln w="25560">
          <a:noFill/>
        </a:ln>
      </c:spPr>
    </c:backWall>
    <c:plotArea>
      <c:layout>
        <c:manualLayout>
          <c:layoutTarget val="inner"/>
          <c:xMode val="edge"/>
          <c:yMode val="edge"/>
          <c:x val="0.0818719179647954"/>
          <c:y val="0.0264342359076945"/>
          <c:w val="0.904020116913229"/>
          <c:h val="0.8846181324569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Декабрь2012!$B$84:$B$84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Декабрь2012!$C$83:$H$83</c:f>
              <c:strCache>
                <c:ptCount val="6"/>
                <c:pt idx="0">
                  <c:v>Июль 2012</c:v>
                </c:pt>
                <c:pt idx="1">
                  <c:v>Август 2012</c:v>
                </c:pt>
                <c:pt idx="2">
                  <c:v>Сентябрь 2012</c:v>
                </c:pt>
                <c:pt idx="3">
                  <c:v>Октябрь 2012</c:v>
                </c:pt>
                <c:pt idx="4">
                  <c:v>Ноябрь 2012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Декабрь2012!$C$84:$H$84</c:f>
              <c:numCache>
                <c:formatCode>General</c:formatCode>
                <c:ptCount val="6"/>
                <c:pt idx="0">
                  <c:v>799804</c:v>
                </c:pt>
                <c:pt idx="1">
                  <c:v>791512</c:v>
                </c:pt>
                <c:pt idx="2">
                  <c:v>796839</c:v>
                </c:pt>
                <c:pt idx="3">
                  <c:v>804740</c:v>
                </c:pt>
                <c:pt idx="4">
                  <c:v>815485</c:v>
                </c:pt>
                <c:pt idx="5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Декабрь2012!$B$85:$B$85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Декабрь2012!$C$83:$H$83</c:f>
              <c:strCache>
                <c:ptCount val="6"/>
                <c:pt idx="0">
                  <c:v>Июль 2012</c:v>
                </c:pt>
                <c:pt idx="1">
                  <c:v>Август 2012</c:v>
                </c:pt>
                <c:pt idx="2">
                  <c:v>Сентябрь 2012</c:v>
                </c:pt>
                <c:pt idx="3">
                  <c:v>Октябрь 2012</c:v>
                </c:pt>
                <c:pt idx="4">
                  <c:v>Ноябрь 2012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Декабрь2012!$C$85:$H$85</c:f>
              <c:numCache>
                <c:formatCode>General</c:formatCode>
                <c:ptCount val="6"/>
                <c:pt idx="0">
                  <c:v>17565</c:v>
                </c:pt>
                <c:pt idx="1">
                  <c:v>17475</c:v>
                </c:pt>
                <c:pt idx="2">
                  <c:v>17573</c:v>
                </c:pt>
                <c:pt idx="3">
                  <c:v>17648</c:v>
                </c:pt>
                <c:pt idx="4">
                  <c:v>17752</c:v>
                </c:pt>
                <c:pt idx="5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Декабрь2012!$B$86:$B$86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Декабрь2012!$C$83:$H$83</c:f>
              <c:strCache>
                <c:ptCount val="6"/>
                <c:pt idx="0">
                  <c:v>Июль 2012</c:v>
                </c:pt>
                <c:pt idx="1">
                  <c:v>Август 2012</c:v>
                </c:pt>
                <c:pt idx="2">
                  <c:v>Сентябрь 2012</c:v>
                </c:pt>
                <c:pt idx="3">
                  <c:v>Октябрь 2012</c:v>
                </c:pt>
                <c:pt idx="4">
                  <c:v>Ноябрь 2012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Декабрь2012!$C$86:$H$86</c:f>
              <c:numCache>
                <c:formatCode>General</c:formatCode>
                <c:ptCount val="6"/>
                <c:pt idx="0">
                  <c:v>5540</c:v>
                </c:pt>
                <c:pt idx="1">
                  <c:v>5636</c:v>
                </c:pt>
                <c:pt idx="2">
                  <c:v>5703</c:v>
                </c:pt>
                <c:pt idx="3">
                  <c:v>5781</c:v>
                </c:pt>
                <c:pt idx="4">
                  <c:v>5845</c:v>
                </c:pt>
                <c:pt idx="5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Декабрь2012!$B$87:$B$87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txPr>
              <a:bodyPr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Декабрь2012!$C$83:$H$83</c:f>
              <c:strCache>
                <c:ptCount val="6"/>
                <c:pt idx="0">
                  <c:v>Июль 2012</c:v>
                </c:pt>
                <c:pt idx="1">
                  <c:v>Август 2012</c:v>
                </c:pt>
                <c:pt idx="2">
                  <c:v>Сентябрь 2012</c:v>
                </c:pt>
                <c:pt idx="3">
                  <c:v>Октябрь 2012</c:v>
                </c:pt>
                <c:pt idx="4">
                  <c:v>Ноябрь 2012</c:v>
                </c:pt>
                <c:pt idx="5">
                  <c:v>Декабрь 2012</c:v>
                </c:pt>
              </c:strCache>
            </c:strRef>
          </c:cat>
          <c:val>
            <c:numRef>
              <c:f>Декабрь2012!$C$87:$H$87</c:f>
              <c:numCache>
                <c:formatCode>General</c:formatCode>
                <c:ptCount val="6"/>
                <c:pt idx="0">
                  <c:v>5245</c:v>
                </c:pt>
                <c:pt idx="1">
                  <c:v>5250</c:v>
                </c:pt>
                <c:pt idx="2">
                  <c:v>5246</c:v>
                </c:pt>
                <c:pt idx="3">
                  <c:v>5247</c:v>
                </c:pt>
                <c:pt idx="4">
                  <c:v>5266</c:v>
                </c:pt>
                <c:pt idx="5">
                  <c:v>5261</c:v>
                </c:pt>
              </c:numCache>
            </c:numRef>
          </c:val>
        </c:ser>
        <c:gapWidth val="150"/>
        <c:shape val="box"/>
        <c:axId val="45728407"/>
        <c:axId val="61350042"/>
        <c:axId val="0"/>
      </c:bar3DChart>
      <c:catAx>
        <c:axId val="45728407"/>
        <c:scaling>
          <c:orientation val="minMax"/>
        </c:scaling>
        <c:delete val="0"/>
        <c:axPos val="b"/>
        <c:numFmt formatCode="[$-419]mmmm\ yyyy;@" sourceLinked="1"/>
        <c:majorTickMark val="out"/>
        <c:minorTickMark val="none"/>
        <c:tickLblPos val="low"/>
        <c:spPr>
          <a:ln w="9360">
            <a:noFill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61350042"/>
        <c:crosses val="autoZero"/>
        <c:auto val="1"/>
        <c:lblAlgn val="ctr"/>
        <c:lblOffset val="100"/>
        <c:noMultiLvlLbl val="0"/>
      </c:catAx>
      <c:valAx>
        <c:axId val="6135004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200" spc="-1" strike="noStrike">
                <a:solidFill>
                  <a:srgbClr val="000000"/>
                </a:solidFill>
                <a:latin typeface="Century Gothic"/>
                <a:ea typeface="Century Gothic"/>
              </a:defRPr>
            </a:pPr>
          </a:p>
        </c:txPr>
        <c:crossAx val="45728407"/>
        <c:crosses val="autoZero"/>
        <c:crossBetween val="between"/>
      </c:valAx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chart" Target="../charts/chart15.xml"/><Relationship Id="rId2" Type="http://schemas.openxmlformats.org/officeDocument/2006/relationships/chart" Target="../charts/chart16.xml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chart" Target="../charts/chart21.xml"/><Relationship Id="rId2" Type="http://schemas.openxmlformats.org/officeDocument/2006/relationships/chart" Target="../charts/chart22.xml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0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1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2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3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4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5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6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7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171360</xdr:colOff>
      <xdr:row>104</xdr:row>
      <xdr:rowOff>133200</xdr:rowOff>
    </xdr:from>
    <xdr:to>
      <xdr:col>1</xdr:col>
      <xdr:colOff>447480</xdr:colOff>
      <xdr:row>106</xdr:row>
      <xdr:rowOff>161640</xdr:rowOff>
    </xdr:to>
    <xdr:sp>
      <xdr:nvSpPr>
        <xdr:cNvPr id="8" name="CustomShape 1"/>
        <xdr:cNvSpPr/>
      </xdr:nvSpPr>
      <xdr:spPr>
        <a:xfrm>
          <a:off x="171360" y="21107160"/>
          <a:ext cx="517320" cy="37116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9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10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11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12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13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14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15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16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17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18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19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171360</xdr:colOff>
      <xdr:row>104</xdr:row>
      <xdr:rowOff>133200</xdr:rowOff>
    </xdr:from>
    <xdr:to>
      <xdr:col>1</xdr:col>
      <xdr:colOff>447480</xdr:colOff>
      <xdr:row>106</xdr:row>
      <xdr:rowOff>161640</xdr:rowOff>
    </xdr:to>
    <xdr:sp>
      <xdr:nvSpPr>
        <xdr:cNvPr id="20" name="CustomShape 1"/>
        <xdr:cNvSpPr/>
      </xdr:nvSpPr>
      <xdr:spPr>
        <a:xfrm>
          <a:off x="171360" y="21107160"/>
          <a:ext cx="517320" cy="37116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21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22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23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24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25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26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27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28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29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1237680</xdr:colOff>
      <xdr:row>79</xdr:row>
      <xdr:rowOff>104400</xdr:rowOff>
    </xdr:to>
    <xdr:graphicFrame>
      <xdr:nvGraphicFramePr>
        <xdr:cNvPr id="30" name="Chart 1"/>
        <xdr:cNvGraphicFramePr/>
      </xdr:nvGraphicFramePr>
      <xdr:xfrm>
        <a:off x="250560" y="11687040"/>
        <a:ext cx="1102320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31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32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54</xdr:row>
      <xdr:rowOff>123840</xdr:rowOff>
    </xdr:from>
    <xdr:to>
      <xdr:col>7</xdr:col>
      <xdr:colOff>1299240</xdr:colOff>
      <xdr:row>79</xdr:row>
      <xdr:rowOff>104400</xdr:rowOff>
    </xdr:to>
    <xdr:graphicFrame>
      <xdr:nvGraphicFramePr>
        <xdr:cNvPr id="33" name="Chart 1"/>
        <xdr:cNvGraphicFramePr/>
      </xdr:nvGraphicFramePr>
      <xdr:xfrm>
        <a:off x="250560" y="11687040"/>
        <a:ext cx="11084760" cy="47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89</xdr:row>
      <xdr:rowOff>162000</xdr:rowOff>
    </xdr:from>
    <xdr:to>
      <xdr:col>7</xdr:col>
      <xdr:colOff>1228320</xdr:colOff>
      <xdr:row>119</xdr:row>
      <xdr:rowOff>28440</xdr:rowOff>
    </xdr:to>
    <xdr:graphicFrame>
      <xdr:nvGraphicFramePr>
        <xdr:cNvPr id="34" name="Chart 2"/>
        <xdr:cNvGraphicFramePr/>
      </xdr:nvGraphicFramePr>
      <xdr:xfrm>
        <a:off x="241200" y="18535680"/>
        <a:ext cx="11023200" cy="50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139</xdr:row>
      <xdr:rowOff>0</xdr:rowOff>
    </xdr:from>
    <xdr:to>
      <xdr:col>1</xdr:col>
      <xdr:colOff>666720</xdr:colOff>
      <xdr:row>141</xdr:row>
      <xdr:rowOff>47520</xdr:rowOff>
    </xdr:to>
    <xdr:sp>
      <xdr:nvSpPr>
        <xdr:cNvPr id="35" name="CustomShape 1"/>
        <xdr:cNvSpPr/>
      </xdr:nvSpPr>
      <xdr:spPr>
        <a:xfrm>
          <a:off x="241200" y="27803160"/>
          <a:ext cx="666720" cy="48564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true" hidden="false" outlineLevel="0" max="10" min="10" style="1" width="9.58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v>40909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40909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40878</v>
      </c>
      <c r="F11" s="20" t="n">
        <v>40909</v>
      </c>
      <c r="G11" s="21" t="s">
        <v>5</v>
      </c>
      <c r="H11" s="21" t="s">
        <v>6</v>
      </c>
      <c r="I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954591</v>
      </c>
      <c r="F12" s="25" t="n">
        <v>964377</v>
      </c>
      <c r="G12" s="26" t="n">
        <f aca="false">F12-E12</f>
        <v>9786</v>
      </c>
      <c r="H12" s="27" t="n">
        <f aca="false">F12/E12-1</f>
        <v>0.010251510856482</v>
      </c>
      <c r="I12" s="28"/>
      <c r="J12" s="28"/>
      <c r="K12" s="28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32930</v>
      </c>
      <c r="F13" s="25" t="n">
        <v>33291</v>
      </c>
      <c r="G13" s="30" t="n">
        <f aca="false">F13-E13</f>
        <v>361</v>
      </c>
      <c r="H13" s="31" t="n">
        <f aca="false">F13/E13-1</f>
        <v>0.0109626480412997</v>
      </c>
      <c r="I13" s="28"/>
      <c r="J13" s="28"/>
      <c r="K13" s="28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9804</v>
      </c>
      <c r="F14" s="25" t="n">
        <v>10654</v>
      </c>
      <c r="G14" s="30" t="n">
        <f aca="false">F14-E14</f>
        <v>850</v>
      </c>
      <c r="H14" s="31" t="n">
        <f aca="false">F14/E14-1</f>
        <v>0.0866993064055488</v>
      </c>
      <c r="I14" s="28"/>
      <c r="J14" s="28"/>
      <c r="K14" s="28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1845</v>
      </c>
      <c r="F15" s="25" t="n">
        <v>1867</v>
      </c>
      <c r="G15" s="30" t="n">
        <v>22</v>
      </c>
      <c r="H15" s="31" t="n">
        <v>0.011924119</v>
      </c>
      <c r="I15" s="28"/>
      <c r="J15" s="28"/>
      <c r="K15" s="28"/>
    </row>
    <row r="16" s="23" customFormat="true" ht="17.25" hidden="false" customHeight="true" outlineLevel="0" collapsed="false">
      <c r="B16" s="32" t="s">
        <v>11</v>
      </c>
      <c r="C16" s="32"/>
      <c r="D16" s="32"/>
      <c r="E16" s="25" t="n">
        <v>7959</v>
      </c>
      <c r="F16" s="25" t="n">
        <v>8787</v>
      </c>
      <c r="G16" s="30" t="n">
        <v>828</v>
      </c>
      <c r="H16" s="31" t="n">
        <v>0.10403317</v>
      </c>
      <c r="I16" s="28"/>
      <c r="J16" s="28"/>
      <c r="K16" s="28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16681</v>
      </c>
      <c r="F17" s="25" t="n">
        <v>16797</v>
      </c>
      <c r="G17" s="34" t="n">
        <f aca="false">F17-E17</f>
        <v>116</v>
      </c>
      <c r="H17" s="35" t="n">
        <f aca="false">F17/E17-1</f>
        <v>0.00695401954319275</v>
      </c>
      <c r="I17" s="28"/>
      <c r="J17" s="28"/>
      <c r="K17" s="28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1014006</v>
      </c>
      <c r="F18" s="39" t="n">
        <v>1025119</v>
      </c>
      <c r="G18" s="39" t="n">
        <f aca="false">F18-E18</f>
        <v>11113</v>
      </c>
      <c r="H18" s="40" t="n">
        <f aca="false">F18/E18-1</f>
        <v>0.010959501225831</v>
      </c>
      <c r="I18" s="28"/>
      <c r="J18" s="28"/>
      <c r="K18" s="28"/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40878</v>
      </c>
      <c r="F22" s="20" t="n">
        <f aca="false">F11</f>
        <v>40909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772175</v>
      </c>
      <c r="F23" s="25" t="n">
        <v>779514</v>
      </c>
      <c r="G23" s="26" t="n">
        <f aca="false">F23-E23</f>
        <v>7339</v>
      </c>
      <c r="H23" s="27" t="n">
        <f aca="false">F23/E23-1</f>
        <v>0.00950432220675368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16850</v>
      </c>
      <c r="F24" s="25" t="n">
        <v>17011</v>
      </c>
      <c r="G24" s="30" t="n">
        <f aca="false">F24-E24</f>
        <v>161</v>
      </c>
      <c r="H24" s="31" t="n">
        <f aca="false">F24/E24-1</f>
        <v>0.00955489614243321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5058</v>
      </c>
      <c r="F25" s="25" t="n">
        <v>5180</v>
      </c>
      <c r="G25" s="30" t="n">
        <f aca="false">F25-E25</f>
        <v>122</v>
      </c>
      <c r="H25" s="31" t="n">
        <f aca="false">F25/E25-1</f>
        <v>0.0241202056148675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1799</v>
      </c>
      <c r="F26" s="25" t="n">
        <v>1820</v>
      </c>
      <c r="G26" s="30" t="n">
        <v>21</v>
      </c>
      <c r="H26" s="31" t="n">
        <v>0.0116731517509727</v>
      </c>
      <c r="I26" s="42"/>
      <c r="K26" s="22"/>
    </row>
    <row r="27" s="23" customFormat="true" ht="17.25" hidden="false" customHeight="true" outlineLevel="0" collapsed="false">
      <c r="B27" s="32" t="s">
        <v>11</v>
      </c>
      <c r="C27" s="32"/>
      <c r="D27" s="32"/>
      <c r="E27" s="43" t="n">
        <v>3259</v>
      </c>
      <c r="F27" s="25" t="n">
        <v>3360</v>
      </c>
      <c r="G27" s="30" t="n">
        <v>101</v>
      </c>
      <c r="H27" s="31" t="n">
        <v>0.0309911015648971</v>
      </c>
      <c r="I27" s="42"/>
      <c r="K27" s="22"/>
    </row>
    <row r="28" s="23" customFormat="true" ht="18" hidden="false" customHeight="true" outlineLevel="0" collapsed="false">
      <c r="B28" s="29" t="s">
        <v>12</v>
      </c>
      <c r="C28" s="29"/>
      <c r="D28" s="29"/>
      <c r="E28" s="25" t="n">
        <v>5242</v>
      </c>
      <c r="F28" s="25" t="n">
        <v>5257</v>
      </c>
      <c r="G28" s="34" t="n">
        <f aca="false">F28-E28</f>
        <v>15</v>
      </c>
      <c r="H28" s="35" t="n">
        <f aca="false">F28/E28-1</f>
        <v>0.00286150324303702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799325</v>
      </c>
      <c r="F29" s="39" t="n">
        <v>806962</v>
      </c>
      <c r="G29" s="39" t="n">
        <f aca="false">F29-E29</f>
        <v>7637</v>
      </c>
      <c r="H29" s="40" t="n">
        <f aca="false">F29/E29-1</f>
        <v>0.00955431145028607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40878</v>
      </c>
      <c r="F33" s="45" t="n">
        <f aca="false">EDATE(E33,1)</f>
        <v>40909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93209</v>
      </c>
      <c r="F34" s="48" t="n">
        <v>88477</v>
      </c>
      <c r="G34" s="26" t="n">
        <f aca="false">F34-E34</f>
        <v>-4732</v>
      </c>
      <c r="H34" s="27" t="n">
        <f aca="false">F34/E34-1</f>
        <v>-0.050767629735326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1775</v>
      </c>
      <c r="F35" s="48" t="n">
        <v>1488</v>
      </c>
      <c r="G35" s="30" t="n">
        <f aca="false">F35-E35</f>
        <v>-287</v>
      </c>
      <c r="H35" s="31" t="n">
        <f aca="false">F35/E35-1</f>
        <v>-0.16169014084507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686</v>
      </c>
      <c r="F36" s="48" t="n">
        <v>616</v>
      </c>
      <c r="G36" s="30" t="n">
        <f aca="false">F36-E36</f>
        <v>-70</v>
      </c>
      <c r="H36" s="31" t="n">
        <f aca="false">F36/E36-1</f>
        <v>-0.102040816326531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201</v>
      </c>
      <c r="F37" s="48" t="n">
        <v>194</v>
      </c>
      <c r="G37" s="30" t="n">
        <v>-7</v>
      </c>
      <c r="H37" s="31" t="n">
        <v>-0.0348258706467661</v>
      </c>
    </row>
    <row r="38" customFormat="false" ht="17.25" hidden="false" customHeight="true" outlineLevel="0" collapsed="false">
      <c r="B38" s="32" t="s">
        <v>11</v>
      </c>
      <c r="C38" s="32"/>
      <c r="D38" s="32"/>
      <c r="E38" s="25" t="n">
        <v>485</v>
      </c>
      <c r="F38" s="48" t="n">
        <v>422</v>
      </c>
      <c r="G38" s="30" t="n">
        <v>-63</v>
      </c>
      <c r="H38" s="31" t="n">
        <v>-0.129896907216495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1486</v>
      </c>
      <c r="F39" s="48" t="n">
        <v>1366</v>
      </c>
      <c r="G39" s="34" t="n">
        <f aca="false">F39-E39</f>
        <v>-120</v>
      </c>
      <c r="H39" s="35" t="n">
        <f aca="false">F39/E39-1</f>
        <v>-0.0807537012113055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53" t="n">
        <v>97156</v>
      </c>
      <c r="F40" s="39" t="n">
        <v>91947</v>
      </c>
      <c r="G40" s="39" t="n">
        <f aca="false">F40-E40</f>
        <v>-5209</v>
      </c>
      <c r="H40" s="40" t="n">
        <f aca="false">F40/E40-1</f>
        <v>-0.0536148050557865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s="1" customFormat="tru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s="1" customFormat="tru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s="1" customFormat="tru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s="1" customFormat="tru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79" t="n">
        <v>40786</v>
      </c>
      <c r="D83" s="79" t="n">
        <v>40816</v>
      </c>
      <c r="E83" s="79" t="n">
        <v>40847</v>
      </c>
      <c r="F83" s="79" t="n">
        <v>40877</v>
      </c>
      <c r="G83" s="79" t="n">
        <v>40908</v>
      </c>
      <c r="H83" s="79" t="n">
        <v>40938</v>
      </c>
      <c r="I83" s="80"/>
    </row>
    <row r="84" customFormat="false" ht="16.5" hidden="false" customHeight="true" outlineLevel="0" collapsed="false">
      <c r="B84" s="81" t="s">
        <v>7</v>
      </c>
      <c r="C84" s="82" t="n">
        <v>760620</v>
      </c>
      <c r="D84" s="82" t="n">
        <v>756182</v>
      </c>
      <c r="E84" s="82" t="n">
        <v>767680</v>
      </c>
      <c r="F84" s="82" t="n">
        <v>774773</v>
      </c>
      <c r="G84" s="82" t="n">
        <v>772175</v>
      </c>
      <c r="H84" s="82" t="n">
        <f aca="false">IF(G83,F23,0)</f>
        <v>779514</v>
      </c>
      <c r="I84" s="80"/>
    </row>
    <row r="85" customFormat="false" ht="16.5" hidden="false" customHeight="true" outlineLevel="0" collapsed="false">
      <c r="B85" s="83" t="s">
        <v>8</v>
      </c>
      <c r="C85" s="84" t="n">
        <v>17914</v>
      </c>
      <c r="D85" s="84" t="n">
        <v>16858</v>
      </c>
      <c r="E85" s="84" t="n">
        <v>17003</v>
      </c>
      <c r="F85" s="84" t="n">
        <v>17114</v>
      </c>
      <c r="G85" s="84" t="n">
        <v>16850</v>
      </c>
      <c r="H85" s="84" t="n">
        <f aca="false">IF(G84,F24,0)</f>
        <v>17011</v>
      </c>
      <c r="I85" s="80"/>
    </row>
    <row r="86" customFormat="false" ht="16.5" hidden="false" customHeight="true" outlineLevel="0" collapsed="false">
      <c r="B86" s="85" t="s">
        <v>9</v>
      </c>
      <c r="C86" s="86" t="n">
        <v>3165</v>
      </c>
      <c r="D86" s="86" t="n">
        <v>2939</v>
      </c>
      <c r="E86" s="86" t="n">
        <v>2972</v>
      </c>
      <c r="F86" s="86" t="n">
        <v>3002</v>
      </c>
      <c r="G86" s="86" t="n">
        <v>5058</v>
      </c>
      <c r="H86" s="86" t="n">
        <f aca="false">IF(G85,F25,0)</f>
        <v>5180</v>
      </c>
      <c r="I86" s="80"/>
    </row>
    <row r="87" customFormat="false" ht="16.5" hidden="false" customHeight="true" outlineLevel="0" collapsed="false">
      <c r="B87" s="87" t="s">
        <v>12</v>
      </c>
      <c r="C87" s="88" t="n">
        <v>5845</v>
      </c>
      <c r="D87" s="88" t="n">
        <v>5301</v>
      </c>
      <c r="E87" s="88" t="n">
        <v>5439</v>
      </c>
      <c r="F87" s="88" t="n">
        <v>5463</v>
      </c>
      <c r="G87" s="88" t="n">
        <v>5242</v>
      </c>
      <c r="H87" s="88" t="n">
        <f aca="false">IF(G86,F28,0)</f>
        <v>5257</v>
      </c>
      <c r="I87" s="80"/>
    </row>
    <row r="88" s="73" customFormat="true" ht="18" hidden="false" customHeight="false" outlineLevel="0" collapsed="false">
      <c r="B88" s="74" t="s">
        <v>13</v>
      </c>
      <c r="C88" s="89" t="n">
        <v>789701</v>
      </c>
      <c r="D88" s="89" t="n">
        <v>783477</v>
      </c>
      <c r="E88" s="89" t="n">
        <v>795338</v>
      </c>
      <c r="F88" s="89" t="n">
        <v>802636</v>
      </c>
      <c r="G88" s="89" t="n">
        <v>799325</v>
      </c>
      <c r="H88" s="89" t="n">
        <f aca="false">IF(G87,F29,0)</f>
        <v>806962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4" t="n">
        <v>40939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97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739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739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456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40909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31</v>
      </c>
      <c r="C140" s="113"/>
      <c r="D140" s="113"/>
      <c r="E140" s="113"/>
      <c r="F140" s="113"/>
      <c r="G140" s="114" t="s">
        <v>32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34</v>
      </c>
      <c r="H141" s="117"/>
      <c r="J141" s="115"/>
      <c r="K141" s="116"/>
    </row>
    <row r="142" customFormat="false" ht="17.25" hidden="false" customHeight="true" outlineLevel="0" collapsed="false">
      <c r="B142" s="49" t="s">
        <v>35</v>
      </c>
      <c r="C142" s="49"/>
      <c r="D142" s="49"/>
      <c r="E142" s="49"/>
      <c r="F142" s="49"/>
      <c r="G142" s="117" t="s">
        <v>36</v>
      </c>
      <c r="H142" s="117"/>
      <c r="J142" s="115"/>
      <c r="K142" s="116"/>
    </row>
    <row r="143" customFormat="false" ht="17.25" hidden="false" customHeight="true" outlineLevel="0" collapsed="false">
      <c r="B143" s="49" t="s">
        <v>37</v>
      </c>
      <c r="C143" s="49"/>
      <c r="D143" s="49"/>
      <c r="E143" s="49"/>
      <c r="F143" s="49"/>
      <c r="G143" s="117" t="s">
        <v>38</v>
      </c>
      <c r="H143" s="117"/>
      <c r="J143" s="115"/>
      <c r="K143" s="116"/>
    </row>
    <row r="144" customFormat="false" ht="17.25" hidden="false" customHeight="true" outlineLevel="0" collapsed="false">
      <c r="B144" s="49" t="s">
        <v>39</v>
      </c>
      <c r="C144" s="49"/>
      <c r="D144" s="49"/>
      <c r="E144" s="49"/>
      <c r="F144" s="49"/>
      <c r="G144" s="117" t="s">
        <v>40</v>
      </c>
      <c r="H144" s="117"/>
      <c r="J144" s="115"/>
      <c r="K144" s="116"/>
    </row>
    <row r="145" customFormat="false" ht="13.5" hidden="false" customHeight="true" outlineLevel="0" collapsed="false">
      <c r="B145" s="49" t="s">
        <v>41</v>
      </c>
      <c r="C145" s="49"/>
      <c r="D145" s="49"/>
      <c r="E145" s="49"/>
      <c r="F145" s="49"/>
      <c r="G145" s="117" t="s">
        <v>42</v>
      </c>
      <c r="H145" s="117"/>
      <c r="J145" s="118"/>
      <c r="K145" s="116"/>
    </row>
    <row r="146" customFormat="false" ht="17.25" hidden="false" customHeight="true" outlineLevel="0" collapsed="false">
      <c r="B146" s="49" t="s">
        <v>43</v>
      </c>
      <c r="C146" s="49"/>
      <c r="D146" s="49"/>
      <c r="E146" s="49"/>
      <c r="F146" s="49"/>
      <c r="G146" s="117" t="s">
        <v>44</v>
      </c>
      <c r="H146" s="117"/>
      <c r="J146" s="115"/>
      <c r="K146" s="116"/>
    </row>
    <row r="147" customFormat="false" ht="17.25" hidden="false" customHeight="true" outlineLevel="0" collapsed="false">
      <c r="B147" s="49" t="s">
        <v>45</v>
      </c>
      <c r="C147" s="49"/>
      <c r="D147" s="49"/>
      <c r="E147" s="49"/>
      <c r="F147" s="49"/>
      <c r="G147" s="117" t="s">
        <v>46</v>
      </c>
      <c r="H147" s="117"/>
      <c r="J147" s="115"/>
      <c r="K147" s="116"/>
    </row>
    <row r="148" customFormat="false" ht="17.25" hidden="false" customHeight="true" outlineLevel="0" collapsed="false">
      <c r="B148" s="49" t="s">
        <v>47</v>
      </c>
      <c r="C148" s="49"/>
      <c r="D148" s="49"/>
      <c r="E148" s="49"/>
      <c r="F148" s="49"/>
      <c r="G148" s="117" t="s">
        <v>48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s">
        <v>50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35</v>
      </c>
      <c r="C154" s="113"/>
      <c r="D154" s="113"/>
      <c r="E154" s="113"/>
      <c r="F154" s="113"/>
      <c r="G154" s="114" t="s">
        <v>52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37</v>
      </c>
      <c r="C155" s="49"/>
      <c r="D155" s="49"/>
      <c r="E155" s="49"/>
      <c r="F155" s="49"/>
      <c r="G155" s="117" t="s">
        <v>53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31</v>
      </c>
      <c r="C156" s="49"/>
      <c r="D156" s="49"/>
      <c r="E156" s="49"/>
      <c r="F156" s="49"/>
      <c r="G156" s="117" t="s">
        <v>54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55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39</v>
      </c>
      <c r="C158" s="49"/>
      <c r="D158" s="49"/>
      <c r="E158" s="49"/>
      <c r="F158" s="49"/>
      <c r="G158" s="117" t="s">
        <v>56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41</v>
      </c>
      <c r="C159" s="49"/>
      <c r="D159" s="49"/>
      <c r="E159" s="49"/>
      <c r="F159" s="49"/>
      <c r="G159" s="117" t="s">
        <v>57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43</v>
      </c>
      <c r="C160" s="49"/>
      <c r="D160" s="49"/>
      <c r="E160" s="49"/>
      <c r="F160" s="49"/>
      <c r="G160" s="117" t="s">
        <v>58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49</v>
      </c>
      <c r="C161" s="49"/>
      <c r="D161" s="49"/>
      <c r="E161" s="49"/>
      <c r="F161" s="49"/>
      <c r="G161" s="117" t="s">
        <v>59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45</v>
      </c>
      <c r="C162" s="49"/>
      <c r="D162" s="49"/>
      <c r="E162" s="49"/>
      <c r="F162" s="49"/>
      <c r="G162" s="117" t="s">
        <v>60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61</v>
      </c>
      <c r="C163" s="103"/>
      <c r="D163" s="103"/>
      <c r="E163" s="103"/>
      <c r="F163" s="103"/>
      <c r="G163" s="119" t="s">
        <v>62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65</v>
      </c>
      <c r="C168" s="113"/>
      <c r="D168" s="113"/>
      <c r="E168" s="113"/>
      <c r="F168" s="113"/>
      <c r="G168" s="114" t="s">
        <v>66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67</v>
      </c>
      <c r="C169" s="49"/>
      <c r="D169" s="49"/>
      <c r="E169" s="49"/>
      <c r="F169" s="49"/>
      <c r="G169" s="117" t="s">
        <v>68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43</v>
      </c>
      <c r="C170" s="49"/>
      <c r="D170" s="49"/>
      <c r="E170" s="49"/>
      <c r="F170" s="49"/>
      <c r="G170" s="117" t="s">
        <v>69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70</v>
      </c>
      <c r="C171" s="49"/>
      <c r="D171" s="49"/>
      <c r="E171" s="49"/>
      <c r="F171" s="49"/>
      <c r="G171" s="117" t="s">
        <v>71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35</v>
      </c>
      <c r="C172" s="49"/>
      <c r="D172" s="49"/>
      <c r="E172" s="49"/>
      <c r="F172" s="49"/>
      <c r="G172" s="117" t="s">
        <v>72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37</v>
      </c>
      <c r="C173" s="49"/>
      <c r="D173" s="49"/>
      <c r="E173" s="49"/>
      <c r="F173" s="49"/>
      <c r="G173" s="117" t="s">
        <v>73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41</v>
      </c>
      <c r="C174" s="49"/>
      <c r="D174" s="49"/>
      <c r="E174" s="49"/>
      <c r="F174" s="49"/>
      <c r="G174" s="117" t="s">
        <v>74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45</v>
      </c>
      <c r="C175" s="49"/>
      <c r="D175" s="49"/>
      <c r="E175" s="49"/>
      <c r="F175" s="49"/>
      <c r="G175" s="117" t="s">
        <v>75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33</v>
      </c>
      <c r="C176" s="49"/>
      <c r="D176" s="49"/>
      <c r="E176" s="49"/>
      <c r="F176" s="49"/>
      <c r="G176" s="117" t="s">
        <v>76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77</v>
      </c>
      <c r="C177" s="103"/>
      <c r="D177" s="103"/>
      <c r="E177" s="103"/>
      <c r="F177" s="103"/>
      <c r="G177" s="119" t="s">
        <v>78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4" manualBreakCount="4">
    <brk id="41" man="true" max="16383" min="0"/>
    <brk id="80" man="true" max="16383" min="0"/>
    <brk id="121" man="true" max="16383" min="0"/>
    <brk id="150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EDATE(Январь2012!B3,1)</f>
        <v>40940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40940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40939</v>
      </c>
      <c r="F11" s="20" t="n">
        <f aca="false">EDATE(E11,1)</f>
        <v>40968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964377</v>
      </c>
      <c r="F12" s="25" t="n">
        <v>968945</v>
      </c>
      <c r="G12" s="26" t="n">
        <f aca="false">F12-E12</f>
        <v>4568</v>
      </c>
      <c r="H12" s="27" t="n">
        <f aca="false">F12/E12-1</f>
        <v>0.0047367367741038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33291</v>
      </c>
      <c r="F13" s="25" t="n">
        <v>33334</v>
      </c>
      <c r="G13" s="30" t="n">
        <f aca="false">F13-E13</f>
        <v>43</v>
      </c>
      <c r="H13" s="31" t="n">
        <f aca="false">F13/E13-1</f>
        <v>0.00129164038328677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10654</v>
      </c>
      <c r="F14" s="25" t="n">
        <v>10792</v>
      </c>
      <c r="G14" s="30" t="n">
        <f aca="false">F14-E14</f>
        <v>138</v>
      </c>
      <c r="H14" s="31" t="n">
        <f aca="false">F14/E14-1</f>
        <v>0.0129528815468369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1867</v>
      </c>
      <c r="F15" s="25" t="n">
        <v>1890</v>
      </c>
      <c r="G15" s="30" t="n">
        <v>23</v>
      </c>
      <c r="H15" s="31" t="n">
        <v>0.0123192287091591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8787</v>
      </c>
      <c r="F16" s="25" t="n">
        <v>8902</v>
      </c>
      <c r="G16" s="30" t="n">
        <v>115</v>
      </c>
      <c r="H16" s="31" t="n">
        <v>0.0130875156481165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16797</v>
      </c>
      <c r="F17" s="25" t="n">
        <v>16802</v>
      </c>
      <c r="G17" s="34" t="n">
        <f aca="false">F17-E17</f>
        <v>5</v>
      </c>
      <c r="H17" s="35" t="n">
        <f aca="false">F17/E17-1</f>
        <v>0.000297672203369626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1025119</v>
      </c>
      <c r="F18" s="39" t="n">
        <v>1029873</v>
      </c>
      <c r="G18" s="39" t="n">
        <f aca="false">F18-E18</f>
        <v>4754</v>
      </c>
      <c r="H18" s="40" t="n">
        <f aca="false">F18/E18-1</f>
        <v>0.00463751037684412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40939</v>
      </c>
      <c r="F22" s="20" t="n">
        <f aca="false">F11</f>
        <v>40968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779514</v>
      </c>
      <c r="F23" s="25" t="n">
        <v>782553</v>
      </c>
      <c r="G23" s="26" t="n">
        <f aca="false">F23-E23</f>
        <v>3039</v>
      </c>
      <c r="H23" s="27" t="n">
        <f aca="false">F23/E23-1</f>
        <v>0.00389858296323098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17011</v>
      </c>
      <c r="F24" s="25" t="n">
        <v>17054</v>
      </c>
      <c r="G24" s="30" t="n">
        <f aca="false">F24-E24</f>
        <v>43</v>
      </c>
      <c r="H24" s="31" t="n">
        <f aca="false">F24/E24-1</f>
        <v>0.00252777614484745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5180</v>
      </c>
      <c r="F25" s="25" t="n">
        <v>5224</v>
      </c>
      <c r="G25" s="30" t="n">
        <f aca="false">F25-E25</f>
        <v>44</v>
      </c>
      <c r="H25" s="31" t="n">
        <f aca="false">F25/E25-1</f>
        <v>0.00849420849420857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1820</v>
      </c>
      <c r="F26" s="25" t="n">
        <v>1842</v>
      </c>
      <c r="G26" s="30" t="n">
        <v>22</v>
      </c>
      <c r="H26" s="31" t="n">
        <v>0.012087912087912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3360</v>
      </c>
      <c r="F27" s="25" t="n">
        <v>3382</v>
      </c>
      <c r="G27" s="30" t="n">
        <v>22</v>
      </c>
      <c r="H27" s="31" t="n">
        <v>0.00654761904761902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5257</v>
      </c>
      <c r="F28" s="25" t="n">
        <v>5274</v>
      </c>
      <c r="G28" s="34" t="n">
        <f aca="false">F28-E28</f>
        <v>17</v>
      </c>
      <c r="H28" s="35" t="n">
        <f aca="false">F28/E28-1</f>
        <v>0.00323378352672621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806962</v>
      </c>
      <c r="F29" s="39" t="n">
        <v>810105</v>
      </c>
      <c r="G29" s="39" t="n">
        <f aca="false">F29-E29</f>
        <v>3143</v>
      </c>
      <c r="H29" s="40" t="n">
        <f aca="false">F29/E29-1</f>
        <v>0.00389485502415221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40909</v>
      </c>
      <c r="F33" s="45" t="n">
        <f aca="false">EDATE(E33,1)</f>
        <v>40940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88477</v>
      </c>
      <c r="F34" s="48" t="n">
        <v>91762</v>
      </c>
      <c r="G34" s="26" t="n">
        <f aca="false">F34-E34</f>
        <v>3285</v>
      </c>
      <c r="H34" s="27" t="n">
        <f aca="false">F34/E34-1</f>
        <v>0.0371282932287487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1488</v>
      </c>
      <c r="F35" s="48" t="n">
        <v>1629</v>
      </c>
      <c r="G35" s="30" t="n">
        <f aca="false">F35-E35</f>
        <v>141</v>
      </c>
      <c r="H35" s="31" t="n">
        <f aca="false">F35/E35-1</f>
        <v>0.094758064516129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616</v>
      </c>
      <c r="F36" s="48" t="n">
        <v>705</v>
      </c>
      <c r="G36" s="30" t="n">
        <f aca="false">F36-E36</f>
        <v>89</v>
      </c>
      <c r="H36" s="31" t="n">
        <f aca="false">F36/E36-1</f>
        <v>0.144480519480519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194</v>
      </c>
      <c r="F37" s="48" t="n">
        <v>213</v>
      </c>
      <c r="G37" s="30" t="n">
        <v>19</v>
      </c>
      <c r="H37" s="31" t="n">
        <v>0.097938144329897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422</v>
      </c>
      <c r="F38" s="48" t="n">
        <v>492</v>
      </c>
      <c r="G38" s="30" t="n">
        <v>70</v>
      </c>
      <c r="H38" s="31" t="n">
        <v>0.165876777251185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1366</v>
      </c>
      <c r="F39" s="48" t="n">
        <v>1432</v>
      </c>
      <c r="G39" s="34" t="n">
        <f aca="false">F39-E39</f>
        <v>66</v>
      </c>
      <c r="H39" s="35" t="n">
        <f aca="false">F39/E39-1</f>
        <v>0.048316251830161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91947</v>
      </c>
      <c r="F40" s="39" t="n">
        <v>95528</v>
      </c>
      <c r="G40" s="39" t="n">
        <f aca="false">F40-E40</f>
        <v>3581</v>
      </c>
      <c r="H40" s="40" t="n">
        <f aca="false">F40/E40-1</f>
        <v>0.0389463495274451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45" t="n">
        <v>40816</v>
      </c>
      <c r="D83" s="45" t="n">
        <v>40847</v>
      </c>
      <c r="E83" s="45" t="n">
        <v>40877</v>
      </c>
      <c r="F83" s="45" t="n">
        <v>40908</v>
      </c>
      <c r="G83" s="45" t="n">
        <v>40938</v>
      </c>
      <c r="H83" s="45" t="n">
        <f aca="false">EDATE(E11,1)</f>
        <v>40968</v>
      </c>
      <c r="I83" s="80"/>
    </row>
    <row r="84" customFormat="false" ht="16.5" hidden="false" customHeight="true" outlineLevel="0" collapsed="false">
      <c r="B84" s="81" t="s">
        <v>7</v>
      </c>
      <c r="C84" s="82" t="n">
        <v>756182</v>
      </c>
      <c r="D84" s="82" t="n">
        <v>767680</v>
      </c>
      <c r="E84" s="82" t="n">
        <v>774773</v>
      </c>
      <c r="F84" s="82" t="n">
        <v>772175</v>
      </c>
      <c r="G84" s="82" t="n">
        <v>779514</v>
      </c>
      <c r="H84" s="82" t="n">
        <v>782553</v>
      </c>
      <c r="I84" s="80"/>
    </row>
    <row r="85" customFormat="false" ht="16.5" hidden="false" customHeight="true" outlineLevel="0" collapsed="false">
      <c r="B85" s="83" t="s">
        <v>8</v>
      </c>
      <c r="C85" s="84" t="n">
        <v>16858</v>
      </c>
      <c r="D85" s="84" t="n">
        <v>17003</v>
      </c>
      <c r="E85" s="84" t="n">
        <v>17114</v>
      </c>
      <c r="F85" s="84" t="n">
        <v>16850</v>
      </c>
      <c r="G85" s="84" t="n">
        <v>17011</v>
      </c>
      <c r="H85" s="84" t="n">
        <v>17054</v>
      </c>
      <c r="I85" s="80"/>
    </row>
    <row r="86" customFormat="false" ht="16.5" hidden="false" customHeight="true" outlineLevel="0" collapsed="false">
      <c r="B86" s="85" t="s">
        <v>9</v>
      </c>
      <c r="C86" s="86" t="n">
        <v>2939</v>
      </c>
      <c r="D86" s="86" t="n">
        <v>2972</v>
      </c>
      <c r="E86" s="86" t="n">
        <v>3002</v>
      </c>
      <c r="F86" s="86" t="n">
        <v>5058</v>
      </c>
      <c r="G86" s="86" t="n">
        <v>5180</v>
      </c>
      <c r="H86" s="86" t="n">
        <v>5224</v>
      </c>
      <c r="I86" s="80"/>
    </row>
    <row r="87" customFormat="false" ht="16.5" hidden="false" customHeight="true" outlineLevel="0" collapsed="false">
      <c r="B87" s="87" t="s">
        <v>12</v>
      </c>
      <c r="C87" s="88" t="n">
        <v>5301</v>
      </c>
      <c r="D87" s="88" t="n">
        <v>5439</v>
      </c>
      <c r="E87" s="88" t="n">
        <v>5463</v>
      </c>
      <c r="F87" s="88" t="n">
        <v>5242</v>
      </c>
      <c r="G87" s="88" t="n">
        <v>5257</v>
      </c>
      <c r="H87" s="88" t="n">
        <v>5274</v>
      </c>
      <c r="I87" s="80"/>
    </row>
    <row r="88" s="73" customFormat="true" ht="18" hidden="false" customHeight="false" outlineLevel="0" collapsed="false">
      <c r="B88" s="74" t="s">
        <v>13</v>
      </c>
      <c r="C88" s="89" t="n">
        <v>783477</v>
      </c>
      <c r="D88" s="89" t="n">
        <v>795338</v>
      </c>
      <c r="E88" s="89" t="n">
        <v>802636</v>
      </c>
      <c r="F88" s="89" t="n">
        <v>799325</v>
      </c>
      <c r="G88" s="89" t="n">
        <v>806962</v>
      </c>
      <c r="H88" s="89" t="n">
        <v>810105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40968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737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737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475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35" t="n">
        <v>40968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31</v>
      </c>
      <c r="C140" s="113"/>
      <c r="D140" s="113"/>
      <c r="E140" s="113"/>
      <c r="F140" s="113"/>
      <c r="G140" s="114" t="s">
        <v>79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80</v>
      </c>
      <c r="H141" s="117"/>
      <c r="J141" s="115"/>
      <c r="K141" s="116"/>
    </row>
    <row r="142" customFormat="false" ht="17.25" hidden="false" customHeight="true" outlineLevel="0" collapsed="false">
      <c r="B142" s="49" t="s">
        <v>35</v>
      </c>
      <c r="C142" s="49"/>
      <c r="D142" s="49"/>
      <c r="E142" s="49"/>
      <c r="F142" s="49"/>
      <c r="G142" s="117" t="s">
        <v>81</v>
      </c>
      <c r="H142" s="117"/>
      <c r="J142" s="115"/>
      <c r="K142" s="116"/>
    </row>
    <row r="143" customFormat="false" ht="17.25" hidden="false" customHeight="true" outlineLevel="0" collapsed="false">
      <c r="B143" s="49" t="s">
        <v>37</v>
      </c>
      <c r="C143" s="49"/>
      <c r="D143" s="49"/>
      <c r="E143" s="49"/>
      <c r="F143" s="49"/>
      <c r="G143" s="117" t="s">
        <v>82</v>
      </c>
      <c r="H143" s="117"/>
      <c r="J143" s="115"/>
      <c r="K143" s="116"/>
    </row>
    <row r="144" customFormat="false" ht="17.25" hidden="false" customHeight="true" outlineLevel="0" collapsed="false">
      <c r="B144" s="49" t="s">
        <v>39</v>
      </c>
      <c r="C144" s="49"/>
      <c r="D144" s="49"/>
      <c r="E144" s="49"/>
      <c r="F144" s="49"/>
      <c r="G144" s="117" t="s">
        <v>83</v>
      </c>
      <c r="H144" s="117"/>
      <c r="J144" s="115"/>
      <c r="K144" s="116"/>
    </row>
    <row r="145" customFormat="false" ht="13.5" hidden="false" customHeight="true" outlineLevel="0" collapsed="false">
      <c r="B145" s="49" t="s">
        <v>41</v>
      </c>
      <c r="C145" s="49"/>
      <c r="D145" s="49"/>
      <c r="E145" s="49"/>
      <c r="F145" s="49"/>
      <c r="G145" s="117" t="s">
        <v>84</v>
      </c>
      <c r="H145" s="117"/>
      <c r="J145" s="118"/>
      <c r="K145" s="116"/>
    </row>
    <row r="146" customFormat="false" ht="17.25" hidden="false" customHeight="true" outlineLevel="0" collapsed="false">
      <c r="B146" s="49" t="s">
        <v>43</v>
      </c>
      <c r="C146" s="49"/>
      <c r="D146" s="49"/>
      <c r="E146" s="49"/>
      <c r="F146" s="49"/>
      <c r="G146" s="117" t="s">
        <v>85</v>
      </c>
      <c r="H146" s="117"/>
      <c r="J146" s="115"/>
      <c r="K146" s="116"/>
    </row>
    <row r="147" customFormat="false" ht="17.25" hidden="false" customHeight="true" outlineLevel="0" collapsed="false">
      <c r="B147" s="49" t="s">
        <v>45</v>
      </c>
      <c r="C147" s="49"/>
      <c r="D147" s="49"/>
      <c r="E147" s="49"/>
      <c r="F147" s="49"/>
      <c r="G147" s="117" t="s">
        <v>86</v>
      </c>
      <c r="H147" s="117"/>
      <c r="J147" s="115"/>
      <c r="K147" s="116"/>
    </row>
    <row r="148" customFormat="false" ht="17.25" hidden="false" customHeight="true" outlineLevel="0" collapsed="false">
      <c r="B148" s="49" t="s">
        <v>47</v>
      </c>
      <c r="C148" s="49"/>
      <c r="D148" s="49"/>
      <c r="E148" s="49"/>
      <c r="F148" s="49"/>
      <c r="G148" s="117" t="s">
        <v>87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s">
        <v>88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35</v>
      </c>
      <c r="C154" s="113"/>
      <c r="D154" s="113"/>
      <c r="E154" s="113"/>
      <c r="F154" s="113"/>
      <c r="G154" s="114" t="s">
        <v>89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37</v>
      </c>
      <c r="C155" s="49"/>
      <c r="D155" s="49"/>
      <c r="E155" s="49"/>
      <c r="F155" s="49"/>
      <c r="G155" s="117" t="s">
        <v>90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31</v>
      </c>
      <c r="C156" s="49"/>
      <c r="D156" s="49"/>
      <c r="E156" s="49"/>
      <c r="F156" s="49"/>
      <c r="G156" s="117" t="s">
        <v>91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92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39</v>
      </c>
      <c r="C158" s="49"/>
      <c r="D158" s="49"/>
      <c r="E158" s="49"/>
      <c r="F158" s="49"/>
      <c r="G158" s="117" t="s">
        <v>93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41</v>
      </c>
      <c r="C159" s="49"/>
      <c r="D159" s="49"/>
      <c r="E159" s="49"/>
      <c r="F159" s="49"/>
      <c r="G159" s="117" t="s">
        <v>94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43</v>
      </c>
      <c r="C160" s="49"/>
      <c r="D160" s="49"/>
      <c r="E160" s="49"/>
      <c r="F160" s="49"/>
      <c r="G160" s="117" t="s">
        <v>95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49</v>
      </c>
      <c r="C161" s="49"/>
      <c r="D161" s="49"/>
      <c r="E161" s="49"/>
      <c r="F161" s="49"/>
      <c r="G161" s="117" t="s">
        <v>96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45</v>
      </c>
      <c r="C162" s="49"/>
      <c r="D162" s="49"/>
      <c r="E162" s="49"/>
      <c r="F162" s="49"/>
      <c r="G162" s="117" t="s">
        <v>97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61</v>
      </c>
      <c r="C163" s="103"/>
      <c r="D163" s="103"/>
      <c r="E163" s="103"/>
      <c r="F163" s="103"/>
      <c r="G163" s="119" t="s">
        <v>98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67</v>
      </c>
      <c r="C168" s="113"/>
      <c r="D168" s="113"/>
      <c r="E168" s="113"/>
      <c r="F168" s="113"/>
      <c r="G168" s="114" t="s">
        <v>99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65</v>
      </c>
      <c r="C169" s="49"/>
      <c r="D169" s="49"/>
      <c r="E169" s="49"/>
      <c r="F169" s="49"/>
      <c r="G169" s="117" t="s">
        <v>100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43</v>
      </c>
      <c r="C170" s="49"/>
      <c r="D170" s="49"/>
      <c r="E170" s="49"/>
      <c r="F170" s="49"/>
      <c r="G170" s="117" t="s">
        <v>101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35</v>
      </c>
      <c r="C171" s="49"/>
      <c r="D171" s="49"/>
      <c r="E171" s="49"/>
      <c r="F171" s="49"/>
      <c r="G171" s="117" t="s">
        <v>102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70</v>
      </c>
      <c r="C172" s="49"/>
      <c r="D172" s="49"/>
      <c r="E172" s="49"/>
      <c r="F172" s="49"/>
      <c r="G172" s="117" t="s">
        <v>103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37</v>
      </c>
      <c r="C173" s="49"/>
      <c r="D173" s="49"/>
      <c r="E173" s="49"/>
      <c r="F173" s="49"/>
      <c r="G173" s="117" t="s">
        <v>104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41</v>
      </c>
      <c r="C174" s="49"/>
      <c r="D174" s="49"/>
      <c r="E174" s="49"/>
      <c r="F174" s="49"/>
      <c r="G174" s="117" t="s">
        <v>105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45</v>
      </c>
      <c r="C175" s="49"/>
      <c r="D175" s="49"/>
      <c r="E175" s="49"/>
      <c r="F175" s="49"/>
      <c r="G175" s="117" t="s">
        <v>106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107</v>
      </c>
      <c r="C176" s="49"/>
      <c r="D176" s="49"/>
      <c r="E176" s="49"/>
      <c r="F176" s="49"/>
      <c r="G176" s="117" t="s">
        <v>108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77</v>
      </c>
      <c r="C177" s="103"/>
      <c r="D177" s="103"/>
      <c r="E177" s="103"/>
      <c r="F177" s="103"/>
      <c r="G177" s="119" t="s">
        <v>109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EDATE(Февраль2012!B3,1)</f>
        <v>40969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40969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40968</v>
      </c>
      <c r="F11" s="20" t="n">
        <f aca="false">EDATE(E11,1)</f>
        <v>40997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968945</v>
      </c>
      <c r="F12" s="25" t="n">
        <v>975514</v>
      </c>
      <c r="G12" s="26" t="n">
        <f aca="false">F12-E12</f>
        <v>6569</v>
      </c>
      <c r="H12" s="27" t="n">
        <f aca="false">F12/E12-1</f>
        <v>0.00677953857030067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33334</v>
      </c>
      <c r="F13" s="25" t="n">
        <v>33497</v>
      </c>
      <c r="G13" s="30" t="n">
        <f aca="false">F13-E13</f>
        <v>163</v>
      </c>
      <c r="H13" s="31" t="n">
        <f aca="false">F13/E13-1</f>
        <v>0.00488990220195595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10792</v>
      </c>
      <c r="F14" s="25" t="n">
        <v>10160</v>
      </c>
      <c r="G14" s="30" t="n">
        <f aca="false">F14-E14</f>
        <v>-632</v>
      </c>
      <c r="H14" s="31" t="n">
        <f aca="false">F14/E14-1</f>
        <v>-0.0585618977020015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1890</v>
      </c>
      <c r="F15" s="25" t="n">
        <v>1931</v>
      </c>
      <c r="G15" s="30" t="n">
        <v>41</v>
      </c>
      <c r="H15" s="31" t="n">
        <v>0.0216931216931218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8902</v>
      </c>
      <c r="F16" s="25" t="n">
        <v>8229</v>
      </c>
      <c r="G16" s="30" t="n">
        <v>-673</v>
      </c>
      <c r="H16" s="31" t="n">
        <v>-0.0756009885419007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16802</v>
      </c>
      <c r="F17" s="25" t="n">
        <v>16898</v>
      </c>
      <c r="G17" s="34" t="n">
        <f aca="false">F17-E17</f>
        <v>96</v>
      </c>
      <c r="H17" s="35" t="n">
        <f aca="false">F17/E17-1</f>
        <v>0.00571360552315192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1029873</v>
      </c>
      <c r="F18" s="39" t="n">
        <v>1036069</v>
      </c>
      <c r="G18" s="39" t="n">
        <f aca="false">F18-E18</f>
        <v>6196</v>
      </c>
      <c r="H18" s="40" t="n">
        <f aca="false">F18/E18-1</f>
        <v>0.00601627579322894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40968</v>
      </c>
      <c r="F22" s="20" t="n">
        <f aca="false">F11</f>
        <v>40997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782553</v>
      </c>
      <c r="F23" s="25" t="n">
        <v>787742</v>
      </c>
      <c r="G23" s="26" t="n">
        <f aca="false">F23-E23</f>
        <v>5189</v>
      </c>
      <c r="H23" s="27" t="n">
        <f aca="false">F23/E23-1</f>
        <v>0.00663086078514819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17054</v>
      </c>
      <c r="F24" s="25" t="n">
        <v>17159</v>
      </c>
      <c r="G24" s="30" t="n">
        <f aca="false">F24-E24</f>
        <v>105</v>
      </c>
      <c r="H24" s="31" t="n">
        <f aca="false">F24/E24-1</f>
        <v>0.00615691333411506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5224</v>
      </c>
      <c r="F25" s="25" t="n">
        <v>5311</v>
      </c>
      <c r="G25" s="30" t="n">
        <f aca="false">F25-E25</f>
        <v>87</v>
      </c>
      <c r="H25" s="31" t="n">
        <f aca="false">F25/E25-1</f>
        <v>0.0166539050535988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1842</v>
      </c>
      <c r="F26" s="25" t="n">
        <v>1880</v>
      </c>
      <c r="G26" s="30" t="n">
        <v>38</v>
      </c>
      <c r="H26" s="31" t="n">
        <v>0.0206297502714441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3382</v>
      </c>
      <c r="F27" s="25" t="n">
        <v>3431</v>
      </c>
      <c r="G27" s="30" t="n">
        <v>49</v>
      </c>
      <c r="H27" s="31" t="n">
        <v>0.014488468361916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5274</v>
      </c>
      <c r="F28" s="25" t="n">
        <v>5275</v>
      </c>
      <c r="G28" s="34" t="n">
        <f aca="false">F28-E28</f>
        <v>1</v>
      </c>
      <c r="H28" s="35" t="n">
        <f aca="false">F28/E28-1</f>
        <v>0.000189609404626534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810105</v>
      </c>
      <c r="F29" s="39" t="n">
        <v>815487</v>
      </c>
      <c r="G29" s="39" t="n">
        <f aca="false">F29-E29</f>
        <v>5382</v>
      </c>
      <c r="H29" s="40" t="n">
        <f aca="false">F29/E29-1</f>
        <v>0.00664358323920977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40940</v>
      </c>
      <c r="F33" s="45" t="n">
        <f aca="false">EDATE(E33,1)</f>
        <v>40969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91762</v>
      </c>
      <c r="F34" s="48" t="n">
        <v>92258</v>
      </c>
      <c r="G34" s="26" t="n">
        <f aca="false">F34-E34</f>
        <v>496</v>
      </c>
      <c r="H34" s="27" t="n">
        <f aca="false">F34/E34-1</f>
        <v>0.00540528759181358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1629</v>
      </c>
      <c r="F35" s="48" t="n">
        <v>1701</v>
      </c>
      <c r="G35" s="30" t="n">
        <f aca="false">F35-E35</f>
        <v>72</v>
      </c>
      <c r="H35" s="31" t="n">
        <f aca="false">F35/E35-1</f>
        <v>0.0441988950276244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705</v>
      </c>
      <c r="F36" s="48" t="n">
        <v>703</v>
      </c>
      <c r="G36" s="30" t="n">
        <f aca="false">F36-E36</f>
        <v>-2</v>
      </c>
      <c r="H36" s="31" t="n">
        <f aca="false">F36/E36-1</f>
        <v>-0.00283687943262412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213</v>
      </c>
      <c r="F37" s="48" t="n">
        <v>200</v>
      </c>
      <c r="G37" s="30" t="n">
        <v>-13</v>
      </c>
      <c r="H37" s="31" t="n">
        <v>-0.0610328638497653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492</v>
      </c>
      <c r="F38" s="48" t="n">
        <v>503</v>
      </c>
      <c r="G38" s="30" t="n">
        <v>11</v>
      </c>
      <c r="H38" s="31" t="n">
        <v>0.0223577235772359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1432</v>
      </c>
      <c r="F39" s="48" t="n">
        <v>1299</v>
      </c>
      <c r="G39" s="34" t="n">
        <f aca="false">F39-E39</f>
        <v>-133</v>
      </c>
      <c r="H39" s="35" t="n">
        <f aca="false">F39/E39-1</f>
        <v>-0.0928770949720671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95528</v>
      </c>
      <c r="F40" s="39" t="n">
        <v>95961</v>
      </c>
      <c r="G40" s="39" t="n">
        <f aca="false">F40-E40</f>
        <v>433</v>
      </c>
      <c r="H40" s="40" t="n">
        <f aca="false">F40/E40-1</f>
        <v>0.00453270245373094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45" t="n">
        <v>40847</v>
      </c>
      <c r="D83" s="45" t="n">
        <v>40877</v>
      </c>
      <c r="E83" s="45" t="n">
        <v>40908</v>
      </c>
      <c r="F83" s="45" t="n">
        <f aca="false">EDATE(G83,-1)</f>
        <v>40937</v>
      </c>
      <c r="G83" s="45" t="n">
        <f aca="false">EDATE(H83,-1)</f>
        <v>40968</v>
      </c>
      <c r="H83" s="45" t="n">
        <f aca="false">EDATE(E11,1)</f>
        <v>40997</v>
      </c>
      <c r="I83" s="80"/>
    </row>
    <row r="84" customFormat="false" ht="16.5" hidden="false" customHeight="true" outlineLevel="0" collapsed="false">
      <c r="B84" s="81" t="s">
        <v>7</v>
      </c>
      <c r="C84" s="82" t="n">
        <v>767680</v>
      </c>
      <c r="D84" s="82" t="n">
        <v>774773</v>
      </c>
      <c r="E84" s="82" t="n">
        <v>772175</v>
      </c>
      <c r="F84" s="82" t="n">
        <v>779514</v>
      </c>
      <c r="G84" s="82" t="n">
        <v>782553</v>
      </c>
      <c r="H84" s="82" t="n">
        <v>787742</v>
      </c>
      <c r="I84" s="80"/>
    </row>
    <row r="85" customFormat="false" ht="16.5" hidden="false" customHeight="true" outlineLevel="0" collapsed="false">
      <c r="B85" s="83" t="s">
        <v>8</v>
      </c>
      <c r="C85" s="84" t="n">
        <v>17003</v>
      </c>
      <c r="D85" s="84" t="n">
        <v>17114</v>
      </c>
      <c r="E85" s="84" t="n">
        <v>16850</v>
      </c>
      <c r="F85" s="84" t="n">
        <v>17011</v>
      </c>
      <c r="G85" s="84" t="n">
        <v>17054</v>
      </c>
      <c r="H85" s="84" t="n">
        <v>17159</v>
      </c>
      <c r="I85" s="80"/>
    </row>
    <row r="86" customFormat="false" ht="16.5" hidden="false" customHeight="true" outlineLevel="0" collapsed="false">
      <c r="B86" s="85" t="s">
        <v>9</v>
      </c>
      <c r="C86" s="86" t="n">
        <v>2972</v>
      </c>
      <c r="D86" s="86" t="n">
        <v>3002</v>
      </c>
      <c r="E86" s="86" t="n">
        <v>5058</v>
      </c>
      <c r="F86" s="86" t="n">
        <v>5180</v>
      </c>
      <c r="G86" s="86" t="n">
        <v>5224</v>
      </c>
      <c r="H86" s="86" t="n">
        <v>5311</v>
      </c>
      <c r="I86" s="80"/>
    </row>
    <row r="87" customFormat="false" ht="16.5" hidden="false" customHeight="true" outlineLevel="0" collapsed="false">
      <c r="B87" s="87" t="s">
        <v>12</v>
      </c>
      <c r="C87" s="88" t="n">
        <v>5439</v>
      </c>
      <c r="D87" s="88" t="n">
        <v>5463</v>
      </c>
      <c r="E87" s="88" t="n">
        <v>5242</v>
      </c>
      <c r="F87" s="88" t="n">
        <v>5257</v>
      </c>
      <c r="G87" s="88" t="n">
        <v>5274</v>
      </c>
      <c r="H87" s="88" t="n">
        <v>5275</v>
      </c>
      <c r="I87" s="80"/>
    </row>
    <row r="88" s="73" customFormat="true" ht="18" hidden="false" customHeight="false" outlineLevel="0" collapsed="false">
      <c r="B88" s="74" t="s">
        <v>13</v>
      </c>
      <c r="C88" s="89" t="n">
        <v>795338</v>
      </c>
      <c r="D88" s="89" t="n">
        <v>802636</v>
      </c>
      <c r="E88" s="89" t="n">
        <v>799325</v>
      </c>
      <c r="F88" s="89" t="n">
        <v>806962</v>
      </c>
      <c r="G88" s="89" t="n">
        <v>810105</v>
      </c>
      <c r="H88" s="89" t="n">
        <v>815487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40998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729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729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483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40969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31</v>
      </c>
      <c r="C140" s="113"/>
      <c r="D140" s="113"/>
      <c r="E140" s="113"/>
      <c r="F140" s="113"/>
      <c r="G140" s="114" t="s">
        <v>110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111</v>
      </c>
      <c r="H141" s="117"/>
      <c r="J141" s="115"/>
      <c r="K141" s="116"/>
    </row>
    <row r="142" customFormat="false" ht="17.25" hidden="false" customHeight="true" outlineLevel="0" collapsed="false">
      <c r="B142" s="49" t="s">
        <v>35</v>
      </c>
      <c r="C142" s="49"/>
      <c r="D142" s="49"/>
      <c r="E142" s="49"/>
      <c r="F142" s="49"/>
      <c r="G142" s="117" t="s">
        <v>112</v>
      </c>
      <c r="H142" s="117"/>
      <c r="J142" s="115"/>
      <c r="K142" s="116"/>
    </row>
    <row r="143" customFormat="false" ht="17.25" hidden="false" customHeight="true" outlineLevel="0" collapsed="false">
      <c r="B143" s="49" t="s">
        <v>37</v>
      </c>
      <c r="C143" s="49"/>
      <c r="D143" s="49"/>
      <c r="E143" s="49"/>
      <c r="F143" s="49"/>
      <c r="G143" s="117" t="s">
        <v>113</v>
      </c>
      <c r="H143" s="117"/>
      <c r="J143" s="115"/>
      <c r="K143" s="116"/>
    </row>
    <row r="144" customFormat="false" ht="17.25" hidden="false" customHeight="true" outlineLevel="0" collapsed="false">
      <c r="B144" s="49" t="s">
        <v>39</v>
      </c>
      <c r="C144" s="49"/>
      <c r="D144" s="49"/>
      <c r="E144" s="49"/>
      <c r="F144" s="49"/>
      <c r="G144" s="117" t="s">
        <v>114</v>
      </c>
      <c r="H144" s="117"/>
      <c r="J144" s="115"/>
      <c r="K144" s="116"/>
    </row>
    <row r="145" customFormat="false" ht="13.5" hidden="false" customHeight="true" outlineLevel="0" collapsed="false">
      <c r="B145" s="49" t="s">
        <v>41</v>
      </c>
      <c r="C145" s="49"/>
      <c r="D145" s="49"/>
      <c r="E145" s="49"/>
      <c r="F145" s="49"/>
      <c r="G145" s="117" t="s">
        <v>115</v>
      </c>
      <c r="H145" s="117"/>
      <c r="J145" s="118"/>
      <c r="K145" s="116"/>
    </row>
    <row r="146" customFormat="false" ht="17.25" hidden="false" customHeight="true" outlineLevel="0" collapsed="false">
      <c r="B146" s="49" t="s">
        <v>43</v>
      </c>
      <c r="C146" s="49"/>
      <c r="D146" s="49"/>
      <c r="E146" s="49"/>
      <c r="F146" s="49"/>
      <c r="G146" s="117" t="s">
        <v>116</v>
      </c>
      <c r="H146" s="117"/>
      <c r="J146" s="115"/>
      <c r="K146" s="116"/>
    </row>
    <row r="147" customFormat="false" ht="17.25" hidden="false" customHeight="true" outlineLevel="0" collapsed="false">
      <c r="B147" s="49" t="s">
        <v>45</v>
      </c>
      <c r="C147" s="49"/>
      <c r="D147" s="49"/>
      <c r="E147" s="49"/>
      <c r="F147" s="49"/>
      <c r="G147" s="117" t="s">
        <v>117</v>
      </c>
      <c r="H147" s="117"/>
      <c r="J147" s="115"/>
      <c r="K147" s="116"/>
    </row>
    <row r="148" customFormat="false" ht="17.25" hidden="false" customHeight="true" outlineLevel="0" collapsed="false">
      <c r="B148" s="49" t="s">
        <v>47</v>
      </c>
      <c r="C148" s="49"/>
      <c r="D148" s="49"/>
      <c r="E148" s="49"/>
      <c r="F148" s="49"/>
      <c r="G148" s="117" t="s">
        <v>118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s">
        <v>119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35</v>
      </c>
      <c r="C154" s="113"/>
      <c r="D154" s="113"/>
      <c r="E154" s="113"/>
      <c r="F154" s="113"/>
      <c r="G154" s="114" t="s">
        <v>120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37</v>
      </c>
      <c r="C155" s="49"/>
      <c r="D155" s="49"/>
      <c r="E155" s="49"/>
      <c r="F155" s="49"/>
      <c r="G155" s="117" t="s">
        <v>121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31</v>
      </c>
      <c r="C156" s="49"/>
      <c r="D156" s="49"/>
      <c r="E156" s="49"/>
      <c r="F156" s="49"/>
      <c r="G156" s="117" t="s">
        <v>122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123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39</v>
      </c>
      <c r="C158" s="49"/>
      <c r="D158" s="49"/>
      <c r="E158" s="49"/>
      <c r="F158" s="49"/>
      <c r="G158" s="117" t="s">
        <v>124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41</v>
      </c>
      <c r="C159" s="49"/>
      <c r="D159" s="49"/>
      <c r="E159" s="49"/>
      <c r="F159" s="49"/>
      <c r="G159" s="117" t="s">
        <v>125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43</v>
      </c>
      <c r="C160" s="49"/>
      <c r="D160" s="49"/>
      <c r="E160" s="49"/>
      <c r="F160" s="49"/>
      <c r="G160" s="117" t="s">
        <v>126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45</v>
      </c>
      <c r="C161" s="49"/>
      <c r="D161" s="49"/>
      <c r="E161" s="49"/>
      <c r="F161" s="49"/>
      <c r="G161" s="117" t="s">
        <v>127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49</v>
      </c>
      <c r="C162" s="49"/>
      <c r="D162" s="49"/>
      <c r="E162" s="49"/>
      <c r="F162" s="49"/>
      <c r="G162" s="117" t="s">
        <v>128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61</v>
      </c>
      <c r="C163" s="103"/>
      <c r="D163" s="103"/>
      <c r="E163" s="103"/>
      <c r="F163" s="103"/>
      <c r="G163" s="119" t="s">
        <v>129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65</v>
      </c>
      <c r="C168" s="113"/>
      <c r="D168" s="113"/>
      <c r="E168" s="113"/>
      <c r="F168" s="113"/>
      <c r="G168" s="114" t="s">
        <v>130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67</v>
      </c>
      <c r="C169" s="49"/>
      <c r="D169" s="49"/>
      <c r="E169" s="49"/>
      <c r="F169" s="49"/>
      <c r="G169" s="117" t="s">
        <v>131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43</v>
      </c>
      <c r="C170" s="49"/>
      <c r="D170" s="49"/>
      <c r="E170" s="49"/>
      <c r="F170" s="49"/>
      <c r="G170" s="117" t="s">
        <v>132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35</v>
      </c>
      <c r="C171" s="49"/>
      <c r="D171" s="49"/>
      <c r="E171" s="49"/>
      <c r="F171" s="49"/>
      <c r="G171" s="117" t="s">
        <v>133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70</v>
      </c>
      <c r="C172" s="49"/>
      <c r="D172" s="49"/>
      <c r="E172" s="49"/>
      <c r="F172" s="49"/>
      <c r="G172" s="117" t="s">
        <v>134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37</v>
      </c>
      <c r="C173" s="49"/>
      <c r="D173" s="49"/>
      <c r="E173" s="49"/>
      <c r="F173" s="49"/>
      <c r="G173" s="117" t="s">
        <v>135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41</v>
      </c>
      <c r="C174" s="49"/>
      <c r="D174" s="49"/>
      <c r="E174" s="49"/>
      <c r="F174" s="49"/>
      <c r="G174" s="117" t="s">
        <v>136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107</v>
      </c>
      <c r="C175" s="49"/>
      <c r="D175" s="49"/>
      <c r="E175" s="49"/>
      <c r="F175" s="49"/>
      <c r="G175" s="117" t="s">
        <v>137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45</v>
      </c>
      <c r="C176" s="49"/>
      <c r="D176" s="49"/>
      <c r="E176" s="49"/>
      <c r="F176" s="49"/>
      <c r="G176" s="117" t="s">
        <v>138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77</v>
      </c>
      <c r="C177" s="103"/>
      <c r="D177" s="103"/>
      <c r="E177" s="103"/>
      <c r="F177" s="103"/>
      <c r="G177" s="119" t="s">
        <v>139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EDATE(Март2012!B3,1)</f>
        <v>41000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41000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40998</v>
      </c>
      <c r="F11" s="20" t="n">
        <f aca="false">EDATE(E11,1)</f>
        <v>41029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975514</v>
      </c>
      <c r="F12" s="25" t="n">
        <v>984256</v>
      </c>
      <c r="G12" s="26" t="n">
        <f aca="false">F12-E12</f>
        <v>8742</v>
      </c>
      <c r="H12" s="27" t="n">
        <f aca="false">F12/E12-1</f>
        <v>0.00896142956431167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33497</v>
      </c>
      <c r="F13" s="25" t="n">
        <v>33718</v>
      </c>
      <c r="G13" s="30" t="n">
        <f aca="false">F13-E13</f>
        <v>221</v>
      </c>
      <c r="H13" s="31" t="n">
        <f aca="false">F13/E13-1</f>
        <v>0.00659760575573931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10160</v>
      </c>
      <c r="F14" s="25" t="n">
        <v>11077</v>
      </c>
      <c r="G14" s="30" t="n">
        <f aca="false">F14-E14</f>
        <v>917</v>
      </c>
      <c r="H14" s="31" t="n">
        <f aca="false">F14/E14-1</f>
        <v>0.0902559055118111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1931</v>
      </c>
      <c r="F15" s="25" t="n">
        <v>1957</v>
      </c>
      <c r="G15" s="30" t="n">
        <v>26</v>
      </c>
      <c r="H15" s="31" t="n">
        <v>0.0134645261522528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8229</v>
      </c>
      <c r="F16" s="25" t="n">
        <v>9120</v>
      </c>
      <c r="G16" s="30" t="n">
        <v>891</v>
      </c>
      <c r="H16" s="31" t="n">
        <v>0.108275610645279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16898</v>
      </c>
      <c r="F17" s="25" t="n">
        <v>17015</v>
      </c>
      <c r="G17" s="34" t="n">
        <f aca="false">F17-E17</f>
        <v>117</v>
      </c>
      <c r="H17" s="35" t="n">
        <f aca="false">F17/E17-1</f>
        <v>0.00692389631909096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1036069</v>
      </c>
      <c r="F18" s="39" t="n">
        <v>1046066</v>
      </c>
      <c r="G18" s="39" t="n">
        <f aca="false">F18-E18</f>
        <v>9997</v>
      </c>
      <c r="H18" s="40" t="n">
        <f aca="false">F18/E18-1</f>
        <v>0.00964897125577546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40998</v>
      </c>
      <c r="F22" s="20" t="n">
        <f aca="false">F11</f>
        <v>41029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787742</v>
      </c>
      <c r="F23" s="25" t="n">
        <v>794030</v>
      </c>
      <c r="G23" s="26" t="n">
        <f aca="false">F23-E23</f>
        <v>6288</v>
      </c>
      <c r="H23" s="27" t="n">
        <f aca="false">F23/E23-1</f>
        <v>0.00798230892855778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17159</v>
      </c>
      <c r="F24" s="25" t="n">
        <v>17296</v>
      </c>
      <c r="G24" s="30" t="n">
        <f aca="false">F24-E24</f>
        <v>137</v>
      </c>
      <c r="H24" s="31" t="n">
        <f aca="false">F24/E24-1</f>
        <v>0.00798414826038818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5311</v>
      </c>
      <c r="F25" s="25" t="n">
        <v>5373</v>
      </c>
      <c r="G25" s="30" t="n">
        <f aca="false">F25-E25</f>
        <v>62</v>
      </c>
      <c r="H25" s="31" t="n">
        <f aca="false">F25/E25-1</f>
        <v>0.0116738843908868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1880</v>
      </c>
      <c r="F26" s="25" t="n">
        <v>1901</v>
      </c>
      <c r="G26" s="30" t="n">
        <v>21</v>
      </c>
      <c r="H26" s="31" t="n">
        <v>0.0111702127659574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3431</v>
      </c>
      <c r="F27" s="25" t="n">
        <v>3472</v>
      </c>
      <c r="G27" s="30" t="n">
        <v>41</v>
      </c>
      <c r="H27" s="31" t="n">
        <v>0.0119498688429029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5275</v>
      </c>
      <c r="F28" s="25" t="n">
        <v>5284</v>
      </c>
      <c r="G28" s="34" t="n">
        <f aca="false">F28-E28</f>
        <v>9</v>
      </c>
      <c r="H28" s="35" t="n">
        <f aca="false">F28/E28-1</f>
        <v>0.00170616113744071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815487</v>
      </c>
      <c r="F29" s="39" t="n">
        <v>821983</v>
      </c>
      <c r="G29" s="39" t="n">
        <f aca="false">F29-E29</f>
        <v>6496</v>
      </c>
      <c r="H29" s="40" t="n">
        <f aca="false">F29/E29-1</f>
        <v>0.00796579221986371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40969</v>
      </c>
      <c r="F33" s="45" t="n">
        <f aca="false">EDATE(E33,1)</f>
        <v>41000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92258</v>
      </c>
      <c r="F34" s="48" t="n">
        <v>79474</v>
      </c>
      <c r="G34" s="26" t="n">
        <f aca="false">F34-E34</f>
        <v>-12784</v>
      </c>
      <c r="H34" s="27" t="n">
        <f aca="false">F34/E34-1</f>
        <v>-0.138567929068482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1701</v>
      </c>
      <c r="F35" s="48" t="n">
        <v>1594</v>
      </c>
      <c r="G35" s="30" t="n">
        <f aca="false">F35-E35</f>
        <v>-107</v>
      </c>
      <c r="H35" s="31" t="n">
        <f aca="false">F35/E35-1</f>
        <v>-0.0629041740152851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703</v>
      </c>
      <c r="F36" s="48" t="n">
        <v>668</v>
      </c>
      <c r="G36" s="30" t="n">
        <f aca="false">F36-E36</f>
        <v>-35</v>
      </c>
      <c r="H36" s="31" t="n">
        <f aca="false">F36/E36-1</f>
        <v>-0.0497866287339972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200</v>
      </c>
      <c r="F37" s="48" t="n">
        <v>187</v>
      </c>
      <c r="G37" s="30" t="n">
        <v>-13</v>
      </c>
      <c r="H37" s="31" t="n">
        <v>-0.065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503</v>
      </c>
      <c r="F38" s="48" t="n">
        <v>481</v>
      </c>
      <c r="G38" s="30" t="n">
        <v>-22</v>
      </c>
      <c r="H38" s="31" t="n">
        <v>-0.0437375745526839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1299</v>
      </c>
      <c r="F39" s="48" t="n">
        <v>1434</v>
      </c>
      <c r="G39" s="34" t="n">
        <f aca="false">F39-E39</f>
        <v>135</v>
      </c>
      <c r="H39" s="35" t="n">
        <f aca="false">F39/E39-1</f>
        <v>0.103926096997691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95961</v>
      </c>
      <c r="F40" s="39" t="n">
        <v>83170</v>
      </c>
      <c r="G40" s="39" t="n">
        <f aca="false">F40-E40</f>
        <v>-12791</v>
      </c>
      <c r="H40" s="40" t="n">
        <f aca="false">F40/E40-1</f>
        <v>-0.133293733912735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45" t="n">
        <v>40877</v>
      </c>
      <c r="D83" s="45" t="n">
        <v>40908</v>
      </c>
      <c r="E83" s="45" t="n">
        <f aca="false">EDATE(F83,-1)</f>
        <v>40937</v>
      </c>
      <c r="F83" s="45" t="n">
        <f aca="false">EDATE(G83,-1)</f>
        <v>40968</v>
      </c>
      <c r="G83" s="45" t="n">
        <f aca="false">EDATE(H83,-1)</f>
        <v>40998</v>
      </c>
      <c r="H83" s="45" t="n">
        <f aca="false">EDATE(E11,1)</f>
        <v>41029</v>
      </c>
      <c r="I83" s="80"/>
    </row>
    <row r="84" customFormat="false" ht="16.5" hidden="false" customHeight="true" outlineLevel="0" collapsed="false">
      <c r="B84" s="81" t="s">
        <v>7</v>
      </c>
      <c r="C84" s="82" t="n">
        <v>774773</v>
      </c>
      <c r="D84" s="82" t="n">
        <v>772175</v>
      </c>
      <c r="E84" s="82" t="n">
        <v>779514</v>
      </c>
      <c r="F84" s="82" t="n">
        <v>782553</v>
      </c>
      <c r="G84" s="82" t="n">
        <v>787742</v>
      </c>
      <c r="H84" s="82" t="n">
        <v>794030</v>
      </c>
      <c r="I84" s="80"/>
    </row>
    <row r="85" customFormat="false" ht="16.5" hidden="false" customHeight="true" outlineLevel="0" collapsed="false">
      <c r="B85" s="83" t="s">
        <v>8</v>
      </c>
      <c r="C85" s="84" t="n">
        <v>17114</v>
      </c>
      <c r="D85" s="84" t="n">
        <v>16850</v>
      </c>
      <c r="E85" s="84" t="n">
        <v>17011</v>
      </c>
      <c r="F85" s="84" t="n">
        <v>17054</v>
      </c>
      <c r="G85" s="84" t="n">
        <v>17159</v>
      </c>
      <c r="H85" s="84" t="n">
        <v>17296</v>
      </c>
      <c r="I85" s="80"/>
    </row>
    <row r="86" customFormat="false" ht="16.5" hidden="false" customHeight="true" outlineLevel="0" collapsed="false">
      <c r="B86" s="85" t="s">
        <v>9</v>
      </c>
      <c r="C86" s="86" t="n">
        <v>3002</v>
      </c>
      <c r="D86" s="86" t="n">
        <v>5058</v>
      </c>
      <c r="E86" s="86" t="n">
        <v>5180</v>
      </c>
      <c r="F86" s="86" t="n">
        <v>5224</v>
      </c>
      <c r="G86" s="86" t="n">
        <v>5311</v>
      </c>
      <c r="H86" s="86" t="n">
        <v>5373</v>
      </c>
      <c r="I86" s="80"/>
    </row>
    <row r="87" customFormat="false" ht="16.5" hidden="false" customHeight="true" outlineLevel="0" collapsed="false">
      <c r="B87" s="87" t="s">
        <v>12</v>
      </c>
      <c r="C87" s="88" t="n">
        <v>5463</v>
      </c>
      <c r="D87" s="88" t="n">
        <v>5242</v>
      </c>
      <c r="E87" s="88" t="n">
        <v>5257</v>
      </c>
      <c r="F87" s="88" t="n">
        <v>5274</v>
      </c>
      <c r="G87" s="88" t="n">
        <v>5275</v>
      </c>
      <c r="H87" s="88" t="n">
        <v>5284</v>
      </c>
      <c r="I87" s="80"/>
    </row>
    <row r="88" s="73" customFormat="true" ht="18" hidden="false" customHeight="false" outlineLevel="0" collapsed="false">
      <c r="B88" s="74" t="s">
        <v>13</v>
      </c>
      <c r="C88" s="89" t="n">
        <v>802636</v>
      </c>
      <c r="D88" s="89" t="n">
        <v>799325</v>
      </c>
      <c r="E88" s="89" t="n">
        <v>806962</v>
      </c>
      <c r="F88" s="89" t="n">
        <v>810105</v>
      </c>
      <c r="G88" s="89" t="n">
        <v>815487</v>
      </c>
      <c r="H88" s="89" t="n">
        <v>821983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41029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715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715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481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41000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140</v>
      </c>
      <c r="C140" s="113"/>
      <c r="D140" s="113"/>
      <c r="E140" s="113"/>
      <c r="F140" s="113"/>
      <c r="G140" s="114" t="s">
        <v>141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142</v>
      </c>
      <c r="H141" s="117"/>
      <c r="J141" s="115"/>
      <c r="K141" s="116"/>
    </row>
    <row r="142" customFormat="false" ht="17.25" hidden="false" customHeight="true" outlineLevel="0" collapsed="false">
      <c r="B142" s="49" t="s">
        <v>35</v>
      </c>
      <c r="C142" s="49"/>
      <c r="D142" s="49"/>
      <c r="E142" s="49"/>
      <c r="F142" s="49"/>
      <c r="G142" s="117" t="s">
        <v>143</v>
      </c>
      <c r="H142" s="117"/>
      <c r="J142" s="115"/>
      <c r="K142" s="116"/>
    </row>
    <row r="143" customFormat="false" ht="17.25" hidden="false" customHeight="true" outlineLevel="0" collapsed="false">
      <c r="B143" s="49" t="s">
        <v>37</v>
      </c>
      <c r="C143" s="49"/>
      <c r="D143" s="49"/>
      <c r="E143" s="49"/>
      <c r="F143" s="49"/>
      <c r="G143" s="117" t="s">
        <v>144</v>
      </c>
      <c r="H143" s="117"/>
      <c r="J143" s="115"/>
      <c r="K143" s="116"/>
    </row>
    <row r="144" customFormat="false" ht="17.25" hidden="false" customHeight="true" outlineLevel="0" collapsed="false">
      <c r="B144" s="49" t="s">
        <v>39</v>
      </c>
      <c r="C144" s="49"/>
      <c r="D144" s="49"/>
      <c r="E144" s="49"/>
      <c r="F144" s="49"/>
      <c r="G144" s="117" t="s">
        <v>145</v>
      </c>
      <c r="H144" s="117"/>
      <c r="J144" s="115"/>
      <c r="K144" s="116"/>
    </row>
    <row r="145" customFormat="false" ht="13.5" hidden="false" customHeight="true" outlineLevel="0" collapsed="false">
      <c r="B145" s="49" t="s">
        <v>41</v>
      </c>
      <c r="C145" s="49"/>
      <c r="D145" s="49"/>
      <c r="E145" s="49"/>
      <c r="F145" s="49"/>
      <c r="G145" s="117" t="s">
        <v>146</v>
      </c>
      <c r="H145" s="117"/>
      <c r="J145" s="118"/>
      <c r="K145" s="116"/>
    </row>
    <row r="146" customFormat="false" ht="17.25" hidden="false" customHeight="true" outlineLevel="0" collapsed="false">
      <c r="B146" s="49" t="s">
        <v>43</v>
      </c>
      <c r="C146" s="49"/>
      <c r="D146" s="49"/>
      <c r="E146" s="49"/>
      <c r="F146" s="49"/>
      <c r="G146" s="117" t="s">
        <v>147</v>
      </c>
      <c r="H146" s="117"/>
      <c r="J146" s="115"/>
      <c r="K146" s="116"/>
    </row>
    <row r="147" customFormat="false" ht="17.25" hidden="false" customHeight="true" outlineLevel="0" collapsed="false">
      <c r="B147" s="49" t="s">
        <v>45</v>
      </c>
      <c r="C147" s="49"/>
      <c r="D147" s="49"/>
      <c r="E147" s="49"/>
      <c r="F147" s="49"/>
      <c r="G147" s="117" t="s">
        <v>148</v>
      </c>
      <c r="H147" s="117"/>
      <c r="J147" s="115"/>
      <c r="K147" s="116"/>
    </row>
    <row r="148" customFormat="false" ht="17.25" hidden="false" customHeight="true" outlineLevel="0" collapsed="false">
      <c r="B148" s="49" t="s">
        <v>47</v>
      </c>
      <c r="C148" s="49"/>
      <c r="D148" s="49"/>
      <c r="E148" s="49"/>
      <c r="F148" s="49"/>
      <c r="G148" s="117" t="s">
        <v>149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s">
        <v>150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35</v>
      </c>
      <c r="C154" s="113"/>
      <c r="D154" s="113"/>
      <c r="E154" s="113"/>
      <c r="F154" s="113"/>
      <c r="G154" s="114" t="s">
        <v>151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37</v>
      </c>
      <c r="C155" s="49"/>
      <c r="D155" s="49"/>
      <c r="E155" s="49"/>
      <c r="F155" s="49"/>
      <c r="G155" s="117" t="s">
        <v>152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140</v>
      </c>
      <c r="C156" s="49"/>
      <c r="D156" s="49"/>
      <c r="E156" s="49"/>
      <c r="F156" s="49"/>
      <c r="G156" s="117" t="s">
        <v>153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154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39</v>
      </c>
      <c r="C158" s="49"/>
      <c r="D158" s="49"/>
      <c r="E158" s="49"/>
      <c r="F158" s="49"/>
      <c r="G158" s="117" t="s">
        <v>155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41</v>
      </c>
      <c r="C159" s="49"/>
      <c r="D159" s="49"/>
      <c r="E159" s="49"/>
      <c r="F159" s="49"/>
      <c r="G159" s="117" t="s">
        <v>156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43</v>
      </c>
      <c r="C160" s="49"/>
      <c r="D160" s="49"/>
      <c r="E160" s="49"/>
      <c r="F160" s="49"/>
      <c r="G160" s="117" t="s">
        <v>157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45</v>
      </c>
      <c r="C161" s="49"/>
      <c r="D161" s="49"/>
      <c r="E161" s="49"/>
      <c r="F161" s="49"/>
      <c r="G161" s="117" t="s">
        <v>158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49</v>
      </c>
      <c r="C162" s="49"/>
      <c r="D162" s="49"/>
      <c r="E162" s="49"/>
      <c r="F162" s="49"/>
      <c r="G162" s="117" t="s">
        <v>159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61</v>
      </c>
      <c r="C163" s="103"/>
      <c r="D163" s="103"/>
      <c r="E163" s="103"/>
      <c r="F163" s="103"/>
      <c r="G163" s="119" t="s">
        <v>160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161</v>
      </c>
      <c r="C168" s="113"/>
      <c r="D168" s="113"/>
      <c r="E168" s="113"/>
      <c r="F168" s="113"/>
      <c r="G168" s="114" t="s">
        <v>162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163</v>
      </c>
      <c r="C169" s="49"/>
      <c r="D169" s="49"/>
      <c r="E169" s="49"/>
      <c r="F169" s="49"/>
      <c r="G169" s="117" t="s">
        <v>164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165</v>
      </c>
      <c r="C170" s="49"/>
      <c r="D170" s="49"/>
      <c r="E170" s="49"/>
      <c r="F170" s="49"/>
      <c r="G170" s="117" t="s">
        <v>166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167</v>
      </c>
      <c r="C171" s="49"/>
      <c r="D171" s="49"/>
      <c r="E171" s="49"/>
      <c r="F171" s="49"/>
      <c r="G171" s="117" t="s">
        <v>168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169</v>
      </c>
      <c r="C172" s="49"/>
      <c r="D172" s="49"/>
      <c r="E172" s="49"/>
      <c r="F172" s="49"/>
      <c r="G172" s="117" t="s">
        <v>170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171</v>
      </c>
      <c r="C173" s="49"/>
      <c r="D173" s="49"/>
      <c r="E173" s="49"/>
      <c r="F173" s="49"/>
      <c r="G173" s="117" t="s">
        <v>172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173</v>
      </c>
      <c r="C174" s="49"/>
      <c r="D174" s="49"/>
      <c r="E174" s="49"/>
      <c r="F174" s="49"/>
      <c r="G174" s="117" t="s">
        <v>174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175</v>
      </c>
      <c r="C175" s="49"/>
      <c r="D175" s="49"/>
      <c r="E175" s="49"/>
      <c r="F175" s="49"/>
      <c r="G175" s="117" t="s">
        <v>176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177</v>
      </c>
      <c r="C176" s="49"/>
      <c r="D176" s="49"/>
      <c r="E176" s="49"/>
      <c r="F176" s="49"/>
      <c r="G176" s="117" t="s">
        <v>178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179</v>
      </c>
      <c r="C177" s="103"/>
      <c r="D177" s="103"/>
      <c r="E177" s="103"/>
      <c r="F177" s="103"/>
      <c r="G177" s="119" t="s">
        <v>180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EDATE(Апрель2012!B3,1)</f>
        <v>41030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41030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41029</v>
      </c>
      <c r="F11" s="20" t="n">
        <f aca="false">EDATE(E11,1)</f>
        <v>41059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984256</v>
      </c>
      <c r="F12" s="25" t="n">
        <v>990493</v>
      </c>
      <c r="G12" s="26" t="n">
        <f aca="false">F12-E12</f>
        <v>6237</v>
      </c>
      <c r="H12" s="27" t="n">
        <f aca="false">F12/E12-1</f>
        <v>0.00633676604460631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33718</v>
      </c>
      <c r="F13" s="25" t="n">
        <v>33553</v>
      </c>
      <c r="G13" s="30" t="n">
        <f aca="false">F13-E13</f>
        <v>-165</v>
      </c>
      <c r="H13" s="31" t="n">
        <f aca="false">F13/E13-1</f>
        <v>-0.0048935286790438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11077</v>
      </c>
      <c r="F14" s="25" t="n">
        <v>11238</v>
      </c>
      <c r="G14" s="30" t="n">
        <f aca="false">F14-E14</f>
        <v>161</v>
      </c>
      <c r="H14" s="31" t="n">
        <f aca="false">F14/E14-1</f>
        <v>0.0145346212873523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1957</v>
      </c>
      <c r="F15" s="25" t="n">
        <v>1985</v>
      </c>
      <c r="G15" s="30" t="n">
        <v>28</v>
      </c>
      <c r="H15" s="31" t="n">
        <v>0.0143076136944302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9120</v>
      </c>
      <c r="F16" s="25" t="n">
        <v>9253</v>
      </c>
      <c r="G16" s="30" t="n">
        <v>133</v>
      </c>
      <c r="H16" s="31" t="n">
        <v>0.0145833333333334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17015</v>
      </c>
      <c r="F17" s="25" t="n">
        <v>17103</v>
      </c>
      <c r="G17" s="34" t="n">
        <f aca="false">F17-E17</f>
        <v>88</v>
      </c>
      <c r="H17" s="35" t="n">
        <f aca="false">F17/E17-1</f>
        <v>0.0051719071407581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1046066</v>
      </c>
      <c r="F18" s="39" t="n">
        <v>1052387</v>
      </c>
      <c r="G18" s="39" t="n">
        <f aca="false">F18-E18</f>
        <v>6321</v>
      </c>
      <c r="H18" s="40" t="n">
        <f aca="false">F18/E18-1</f>
        <v>0.00604263975695596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41029</v>
      </c>
      <c r="F22" s="20" t="n">
        <f aca="false">F11</f>
        <v>41059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794030</v>
      </c>
      <c r="F23" s="25" t="n">
        <v>799942</v>
      </c>
      <c r="G23" s="26" t="n">
        <f aca="false">F23-E23</f>
        <v>5912</v>
      </c>
      <c r="H23" s="27" t="n">
        <f aca="false">F23/E23-1</f>
        <v>0.00744556251023254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17296</v>
      </c>
      <c r="F24" s="25" t="n">
        <v>17333</v>
      </c>
      <c r="G24" s="30" t="n">
        <f aca="false">F24-E24</f>
        <v>37</v>
      </c>
      <c r="H24" s="31" t="n">
        <f aca="false">F24/E24-1</f>
        <v>0.00213922294172053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5373</v>
      </c>
      <c r="F25" s="25" t="n">
        <v>5430</v>
      </c>
      <c r="G25" s="30" t="n">
        <f aca="false">F25-E25</f>
        <v>57</v>
      </c>
      <c r="H25" s="31" t="n">
        <f aca="false">F25/E25-1</f>
        <v>0.0106085985482971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1901</v>
      </c>
      <c r="F26" s="25" t="n">
        <v>1924</v>
      </c>
      <c r="G26" s="30" t="n">
        <v>23</v>
      </c>
      <c r="H26" s="31" t="n">
        <v>0.0120988953182535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3472</v>
      </c>
      <c r="F27" s="25" t="n">
        <v>3506</v>
      </c>
      <c r="G27" s="30" t="n">
        <v>34</v>
      </c>
      <c r="H27" s="31" t="n">
        <v>0.00979262672811054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5284</v>
      </c>
      <c r="F28" s="25" t="n">
        <v>5299</v>
      </c>
      <c r="G28" s="34" t="n">
        <f aca="false">F28-E28</f>
        <v>15</v>
      </c>
      <c r="H28" s="35" t="n">
        <f aca="false">F28/E28-1</f>
        <v>0.00283875851627546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821983</v>
      </c>
      <c r="F29" s="39" t="n">
        <v>828004</v>
      </c>
      <c r="G29" s="39" t="n">
        <f aca="false">F29-E29</f>
        <v>6021</v>
      </c>
      <c r="H29" s="40" t="n">
        <f aca="false">F29/E29-1</f>
        <v>0.00732496900787494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41000</v>
      </c>
      <c r="F33" s="45" t="n">
        <f aca="false">EDATE(E33,1)</f>
        <v>41030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79474</v>
      </c>
      <c r="F34" s="48" t="n">
        <v>81725</v>
      </c>
      <c r="G34" s="26" t="n">
        <f aca="false">F34-E34</f>
        <v>2251</v>
      </c>
      <c r="H34" s="27" t="n">
        <f aca="false">F34/E34-1</f>
        <v>0.028323728514986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1594</v>
      </c>
      <c r="F35" s="48" t="n">
        <v>1514</v>
      </c>
      <c r="G35" s="30" t="n">
        <f aca="false">F35-E35</f>
        <v>-80</v>
      </c>
      <c r="H35" s="31" t="n">
        <f aca="false">F35/E35-1</f>
        <v>-0.0501882057716436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668</v>
      </c>
      <c r="F36" s="48" t="n">
        <v>677</v>
      </c>
      <c r="G36" s="30" t="n">
        <f aca="false">F36-E36</f>
        <v>9</v>
      </c>
      <c r="H36" s="31" t="n">
        <f aca="false">F36/E36-1</f>
        <v>0.0134730538922156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187</v>
      </c>
      <c r="F37" s="48" t="n">
        <v>191</v>
      </c>
      <c r="G37" s="30" t="n">
        <v>4</v>
      </c>
      <c r="H37" s="31" t="n">
        <v>0.0213903743315509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481</v>
      </c>
      <c r="F38" s="48" t="n">
        <v>486</v>
      </c>
      <c r="G38" s="30" t="n">
        <v>5</v>
      </c>
      <c r="H38" s="31" t="n">
        <v>0.0103950103950103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1434</v>
      </c>
      <c r="F39" s="48" t="n">
        <v>1323</v>
      </c>
      <c r="G39" s="34" t="n">
        <f aca="false">F39-E39</f>
        <v>-111</v>
      </c>
      <c r="H39" s="35" t="n">
        <f aca="false">F39/E39-1</f>
        <v>-0.0774058577405857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83170</v>
      </c>
      <c r="F40" s="39" t="n">
        <v>85239</v>
      </c>
      <c r="G40" s="39" t="n">
        <f aca="false">F40-E40</f>
        <v>2069</v>
      </c>
      <c r="H40" s="40" t="n">
        <f aca="false">F40/E40-1</f>
        <v>0.0248767584465552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v>40908</v>
      </c>
      <c r="D83" s="20" t="n">
        <f aca="false">EDATE(E83,-1)</f>
        <v>40937</v>
      </c>
      <c r="E83" s="20" t="n">
        <f aca="false">EDATE(F83,-1)</f>
        <v>40968</v>
      </c>
      <c r="F83" s="20" t="n">
        <f aca="false">EDATE(G83,-1)</f>
        <v>40998</v>
      </c>
      <c r="G83" s="20" t="n">
        <f aca="false">EDATE(H83,-1)</f>
        <v>41029</v>
      </c>
      <c r="H83" s="20" t="n">
        <f aca="false">EDATE(E11,1)</f>
        <v>41059</v>
      </c>
      <c r="I83" s="80"/>
    </row>
    <row r="84" customFormat="false" ht="16.5" hidden="false" customHeight="true" outlineLevel="0" collapsed="false">
      <c r="B84" s="81" t="s">
        <v>7</v>
      </c>
      <c r="C84" s="82" t="n">
        <v>772175</v>
      </c>
      <c r="D84" s="82" t="n">
        <v>779514</v>
      </c>
      <c r="E84" s="82" t="n">
        <v>782553</v>
      </c>
      <c r="F84" s="82" t="n">
        <v>787742</v>
      </c>
      <c r="G84" s="82" t="n">
        <v>794030</v>
      </c>
      <c r="H84" s="82" t="n">
        <v>799942</v>
      </c>
      <c r="I84" s="80"/>
    </row>
    <row r="85" customFormat="false" ht="16.5" hidden="false" customHeight="true" outlineLevel="0" collapsed="false">
      <c r="B85" s="83" t="s">
        <v>8</v>
      </c>
      <c r="C85" s="84" t="n">
        <v>16850</v>
      </c>
      <c r="D85" s="84" t="n">
        <v>17011</v>
      </c>
      <c r="E85" s="84" t="n">
        <v>17054</v>
      </c>
      <c r="F85" s="84" t="n">
        <v>17159</v>
      </c>
      <c r="G85" s="84" t="n">
        <v>17296</v>
      </c>
      <c r="H85" s="84" t="n">
        <v>17333</v>
      </c>
      <c r="I85" s="80"/>
    </row>
    <row r="86" customFormat="false" ht="16.5" hidden="false" customHeight="true" outlineLevel="0" collapsed="false">
      <c r="B86" s="85" t="s">
        <v>9</v>
      </c>
      <c r="C86" s="86" t="n">
        <v>5058</v>
      </c>
      <c r="D86" s="86" t="n">
        <v>5180</v>
      </c>
      <c r="E86" s="86" t="n">
        <v>5224</v>
      </c>
      <c r="F86" s="86" t="n">
        <v>5311</v>
      </c>
      <c r="G86" s="86" t="n">
        <v>5373</v>
      </c>
      <c r="H86" s="86" t="n">
        <v>5430</v>
      </c>
      <c r="I86" s="80"/>
    </row>
    <row r="87" customFormat="false" ht="16.5" hidden="false" customHeight="true" outlineLevel="0" collapsed="false">
      <c r="B87" s="87" t="s">
        <v>12</v>
      </c>
      <c r="C87" s="88" t="n">
        <v>5242</v>
      </c>
      <c r="D87" s="88" t="n">
        <v>5257</v>
      </c>
      <c r="E87" s="88" t="n">
        <v>5274</v>
      </c>
      <c r="F87" s="88" t="n">
        <v>5275</v>
      </c>
      <c r="G87" s="88" t="n">
        <v>5284</v>
      </c>
      <c r="H87" s="88" t="n">
        <v>5299</v>
      </c>
      <c r="I87" s="80"/>
    </row>
    <row r="88" s="73" customFormat="true" ht="18" hidden="false" customHeight="false" outlineLevel="0" collapsed="false">
      <c r="B88" s="74" t="s">
        <v>13</v>
      </c>
      <c r="C88" s="89" t="n">
        <v>799325</v>
      </c>
      <c r="D88" s="89" t="n">
        <v>806962</v>
      </c>
      <c r="E88" s="89" t="n">
        <v>810105</v>
      </c>
      <c r="F88" s="89" t="n">
        <v>815487</v>
      </c>
      <c r="G88" s="89" t="n">
        <v>821983</v>
      </c>
      <c r="H88" s="89" t="n">
        <v>828004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41060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717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717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482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41030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181</v>
      </c>
      <c r="C140" s="113"/>
      <c r="D140" s="113"/>
      <c r="E140" s="113"/>
      <c r="F140" s="113"/>
      <c r="G140" s="114" t="s">
        <v>182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183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s">
        <v>184</v>
      </c>
      <c r="H142" s="117"/>
      <c r="J142" s="115"/>
      <c r="K142" s="116"/>
    </row>
    <row r="143" customFormat="false" ht="17.25" hidden="false" customHeight="true" outlineLevel="0" collapsed="false">
      <c r="B143" s="49" t="s">
        <v>171</v>
      </c>
      <c r="C143" s="49"/>
      <c r="D143" s="49"/>
      <c r="E143" s="49"/>
      <c r="F143" s="49"/>
      <c r="G143" s="117" t="s">
        <v>185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s">
        <v>187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s">
        <v>188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s">
        <v>189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s">
        <v>190</v>
      </c>
      <c r="H147" s="117"/>
      <c r="J147" s="115"/>
      <c r="K147" s="116"/>
    </row>
    <row r="148" customFormat="false" ht="17.25" hidden="false" customHeight="true" outlineLevel="0" collapsed="false">
      <c r="B148" s="49" t="s">
        <v>191</v>
      </c>
      <c r="C148" s="49"/>
      <c r="D148" s="49"/>
      <c r="E148" s="49"/>
      <c r="F148" s="49"/>
      <c r="G148" s="117" t="s">
        <v>192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s">
        <v>193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167</v>
      </c>
      <c r="C154" s="113"/>
      <c r="D154" s="113"/>
      <c r="E154" s="113"/>
      <c r="F154" s="113"/>
      <c r="G154" s="114" t="s">
        <v>194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171</v>
      </c>
      <c r="C155" s="49"/>
      <c r="D155" s="49"/>
      <c r="E155" s="49"/>
      <c r="F155" s="49"/>
      <c r="G155" s="117" t="s">
        <v>195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181</v>
      </c>
      <c r="C156" s="49"/>
      <c r="D156" s="49"/>
      <c r="E156" s="49"/>
      <c r="F156" s="49"/>
      <c r="G156" s="117" t="s">
        <v>196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197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s">
        <v>198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s">
        <v>199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s">
        <v>200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177</v>
      </c>
      <c r="C161" s="49"/>
      <c r="D161" s="49"/>
      <c r="E161" s="49"/>
      <c r="F161" s="49"/>
      <c r="G161" s="117" t="s">
        <v>201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49</v>
      </c>
      <c r="C162" s="49"/>
      <c r="D162" s="49"/>
      <c r="E162" s="49"/>
      <c r="F162" s="49"/>
      <c r="G162" s="117" t="s">
        <v>202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203</v>
      </c>
      <c r="C163" s="103"/>
      <c r="D163" s="103"/>
      <c r="E163" s="103"/>
      <c r="F163" s="103"/>
      <c r="G163" s="119" t="s">
        <v>204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163</v>
      </c>
      <c r="C168" s="113"/>
      <c r="D168" s="113"/>
      <c r="E168" s="113"/>
      <c r="F168" s="113"/>
      <c r="G168" s="114" t="s">
        <v>205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161</v>
      </c>
      <c r="C169" s="49"/>
      <c r="D169" s="49"/>
      <c r="E169" s="49"/>
      <c r="F169" s="49"/>
      <c r="G169" s="117" t="s">
        <v>206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165</v>
      </c>
      <c r="C170" s="49"/>
      <c r="D170" s="49"/>
      <c r="E170" s="49"/>
      <c r="F170" s="49"/>
      <c r="G170" s="117" t="s">
        <v>207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167</v>
      </c>
      <c r="C171" s="49"/>
      <c r="D171" s="49"/>
      <c r="E171" s="49"/>
      <c r="F171" s="49"/>
      <c r="G171" s="117" t="s">
        <v>208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169</v>
      </c>
      <c r="C172" s="49"/>
      <c r="D172" s="49"/>
      <c r="E172" s="49"/>
      <c r="F172" s="49"/>
      <c r="G172" s="117" t="s">
        <v>209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171</v>
      </c>
      <c r="C173" s="49"/>
      <c r="D173" s="49"/>
      <c r="E173" s="49"/>
      <c r="F173" s="49"/>
      <c r="G173" s="117" t="s">
        <v>210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173</v>
      </c>
      <c r="C174" s="49"/>
      <c r="D174" s="49"/>
      <c r="E174" s="49"/>
      <c r="F174" s="49"/>
      <c r="G174" s="117" t="s">
        <v>211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175</v>
      </c>
      <c r="C175" s="49"/>
      <c r="D175" s="49"/>
      <c r="E175" s="49"/>
      <c r="F175" s="49"/>
      <c r="G175" s="117" t="s">
        <v>212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177</v>
      </c>
      <c r="C176" s="49"/>
      <c r="D176" s="49"/>
      <c r="E176" s="49"/>
      <c r="F176" s="49"/>
      <c r="G176" s="117" t="s">
        <v>213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179</v>
      </c>
      <c r="C177" s="103"/>
      <c r="D177" s="103"/>
      <c r="E177" s="103"/>
      <c r="F177" s="103"/>
      <c r="G177" s="119" t="s">
        <v>214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EDATE(Май2012!B3,1)</f>
        <v>41061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41061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41060</v>
      </c>
      <c r="F11" s="20" t="n">
        <f aca="false">EDATE(E11,1)</f>
        <v>41090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990493</v>
      </c>
      <c r="F12" s="25" t="n">
        <v>984272</v>
      </c>
      <c r="G12" s="26" t="n">
        <f aca="false">F12-E12</f>
        <v>-6221</v>
      </c>
      <c r="H12" s="27" t="n">
        <f aca="false">F12/E12-1</f>
        <v>-0.00628071071678449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33553</v>
      </c>
      <c r="F13" s="25" t="n">
        <v>33950</v>
      </c>
      <c r="G13" s="30" t="n">
        <f aca="false">F13-E13</f>
        <v>397</v>
      </c>
      <c r="H13" s="31" t="n">
        <f aca="false">F13/E13-1</f>
        <v>0.0118320269424492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11238</v>
      </c>
      <c r="F14" s="25" t="n">
        <v>11264</v>
      </c>
      <c r="G14" s="30" t="n">
        <f aca="false">F14-E14</f>
        <v>26</v>
      </c>
      <c r="H14" s="31" t="n">
        <f aca="false">F14/E14-1</f>
        <v>0.00231357892863504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1985</v>
      </c>
      <c r="F15" s="25" t="n">
        <v>1994</v>
      </c>
      <c r="G15" s="30" t="n">
        <v>9</v>
      </c>
      <c r="H15" s="31" t="n">
        <v>0.00453400503778334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9253</v>
      </c>
      <c r="F16" s="25" t="n">
        <v>9270</v>
      </c>
      <c r="G16" s="30" t="n">
        <v>17</v>
      </c>
      <c r="H16" s="31" t="n">
        <v>0.00183724197557544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17103</v>
      </c>
      <c r="F17" s="25" t="n">
        <v>17094</v>
      </c>
      <c r="G17" s="34" t="n">
        <f aca="false">F17-E17</f>
        <v>-9</v>
      </c>
      <c r="H17" s="35" t="n">
        <f aca="false">F17/E17-1</f>
        <v>-0.000526223469566767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1052387</v>
      </c>
      <c r="F18" s="39" t="n">
        <v>1046580</v>
      </c>
      <c r="G18" s="39" t="n">
        <f aca="false">F18-E18</f>
        <v>-5807</v>
      </c>
      <c r="H18" s="40" t="n">
        <f aca="false">F18/E18-1</f>
        <v>-0.00551793209152152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41060</v>
      </c>
      <c r="F22" s="20" t="n">
        <f aca="false">F11</f>
        <v>41090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799942</v>
      </c>
      <c r="F23" s="25" t="n">
        <v>794477</v>
      </c>
      <c r="G23" s="26" t="n">
        <f aca="false">F23-E23</f>
        <v>-5465</v>
      </c>
      <c r="H23" s="27" t="n">
        <f aca="false">F23/E23-1</f>
        <v>-0.00683174530153441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17333</v>
      </c>
      <c r="F24" s="25" t="n">
        <v>17454</v>
      </c>
      <c r="G24" s="30" t="n">
        <f aca="false">F24-E24</f>
        <v>121</v>
      </c>
      <c r="H24" s="31" t="n">
        <f aca="false">F24/E24-1</f>
        <v>0.006980903478913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5430</v>
      </c>
      <c r="F25" s="25" t="n">
        <v>5452</v>
      </c>
      <c r="G25" s="30" t="n">
        <f aca="false">F25-E25</f>
        <v>22</v>
      </c>
      <c r="H25" s="31" t="n">
        <f aca="false">F25/E25-1</f>
        <v>0.00405156537753215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1924</v>
      </c>
      <c r="F26" s="25" t="n">
        <v>1937</v>
      </c>
      <c r="G26" s="30" t="n">
        <v>13</v>
      </c>
      <c r="H26" s="31" t="n">
        <v>0.0067567567567568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3506</v>
      </c>
      <c r="F27" s="25" t="n">
        <v>3515</v>
      </c>
      <c r="G27" s="30" t="n">
        <v>9</v>
      </c>
      <c r="H27" s="31" t="n">
        <v>0.00256702795208219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5299</v>
      </c>
      <c r="F28" s="25" t="n">
        <v>5267</v>
      </c>
      <c r="G28" s="34" t="n">
        <f aca="false">F28-E28</f>
        <v>-32</v>
      </c>
      <c r="H28" s="35" t="n">
        <f aca="false">F28/E28-1</f>
        <v>-0.00603887525948288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828004</v>
      </c>
      <c r="F29" s="39" t="n">
        <v>822650</v>
      </c>
      <c r="G29" s="39" t="n">
        <f aca="false">F29-E29</f>
        <v>-5354</v>
      </c>
      <c r="H29" s="40" t="n">
        <f aca="false">F29/E29-1</f>
        <v>-0.00646615233742831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41030</v>
      </c>
      <c r="F33" s="45" t="n">
        <f aca="false">EDATE(E33,1)</f>
        <v>41061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81725</v>
      </c>
      <c r="F34" s="48" t="n">
        <v>68858</v>
      </c>
      <c r="G34" s="26" t="n">
        <f aca="false">F34-E34</f>
        <v>-12867</v>
      </c>
      <c r="H34" s="27" t="n">
        <f aca="false">F34/E34-1</f>
        <v>-0.157442643010095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1514</v>
      </c>
      <c r="F35" s="48" t="n">
        <v>1507</v>
      </c>
      <c r="G35" s="30" t="n">
        <f aca="false">F35-E35</f>
        <v>-7</v>
      </c>
      <c r="H35" s="31" t="n">
        <f aca="false">F35/E35-1</f>
        <v>-0.00462351387054161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677</v>
      </c>
      <c r="F36" s="48" t="n">
        <v>610</v>
      </c>
      <c r="G36" s="30" t="n">
        <f aca="false">F36-E36</f>
        <v>-67</v>
      </c>
      <c r="H36" s="31" t="n">
        <f aca="false">F36/E36-1</f>
        <v>-0.0989660265878878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191</v>
      </c>
      <c r="F37" s="48" t="n">
        <v>149</v>
      </c>
      <c r="G37" s="30" t="n">
        <v>-42</v>
      </c>
      <c r="H37" s="31" t="n">
        <v>-0.219895287958115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486</v>
      </c>
      <c r="F38" s="48" t="n">
        <v>461</v>
      </c>
      <c r="G38" s="30" t="n">
        <v>-25</v>
      </c>
      <c r="H38" s="31" t="n">
        <v>-0.051440329218107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1323</v>
      </c>
      <c r="F39" s="48" t="n">
        <v>1210</v>
      </c>
      <c r="G39" s="34" t="n">
        <f aca="false">F39-E39</f>
        <v>-113</v>
      </c>
      <c r="H39" s="35" t="n">
        <f aca="false">F39/E39-1</f>
        <v>-0.0854119425547997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85239</v>
      </c>
      <c r="F40" s="39" t="n">
        <v>72185</v>
      </c>
      <c r="G40" s="39" t="n">
        <f aca="false">F40-E40</f>
        <v>-13054</v>
      </c>
      <c r="H40" s="40" t="n">
        <f aca="false">F40/E40-1</f>
        <v>-0.153145860462934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f aca="false">EDATE(D83,-1)</f>
        <v>40937</v>
      </c>
      <c r="D83" s="20" t="n">
        <f aca="false">EDATE(E83,-1)</f>
        <v>40968</v>
      </c>
      <c r="E83" s="20" t="n">
        <f aca="false">EDATE(F83,-1)</f>
        <v>40998</v>
      </c>
      <c r="F83" s="20" t="n">
        <f aca="false">EDATE(G83,-1)</f>
        <v>41029</v>
      </c>
      <c r="G83" s="20" t="n">
        <f aca="false">EDATE(H83,-1)</f>
        <v>41059</v>
      </c>
      <c r="H83" s="20" t="n">
        <f aca="false">EDATE(E11,1)</f>
        <v>41090</v>
      </c>
      <c r="I83" s="80"/>
    </row>
    <row r="84" customFormat="false" ht="16.5" hidden="false" customHeight="true" outlineLevel="0" collapsed="false">
      <c r="B84" s="81" t="s">
        <v>7</v>
      </c>
      <c r="C84" s="82" t="n">
        <v>779514</v>
      </c>
      <c r="D84" s="82" t="n">
        <v>782553</v>
      </c>
      <c r="E84" s="82" t="n">
        <v>787742</v>
      </c>
      <c r="F84" s="82" t="n">
        <v>794030</v>
      </c>
      <c r="G84" s="82" t="n">
        <v>799942</v>
      </c>
      <c r="H84" s="82" t="n">
        <v>794477</v>
      </c>
      <c r="I84" s="80"/>
    </row>
    <row r="85" customFormat="false" ht="16.5" hidden="false" customHeight="true" outlineLevel="0" collapsed="false">
      <c r="B85" s="83" t="s">
        <v>8</v>
      </c>
      <c r="C85" s="84" t="n">
        <v>17011</v>
      </c>
      <c r="D85" s="84" t="n">
        <v>17054</v>
      </c>
      <c r="E85" s="84" t="n">
        <v>17159</v>
      </c>
      <c r="F85" s="84" t="n">
        <v>17296</v>
      </c>
      <c r="G85" s="84" t="n">
        <v>17333</v>
      </c>
      <c r="H85" s="84" t="n">
        <v>17454</v>
      </c>
      <c r="I85" s="80"/>
    </row>
    <row r="86" customFormat="false" ht="16.5" hidden="false" customHeight="true" outlineLevel="0" collapsed="false">
      <c r="B86" s="85" t="s">
        <v>9</v>
      </c>
      <c r="C86" s="86" t="n">
        <v>5180</v>
      </c>
      <c r="D86" s="86" t="n">
        <v>5224</v>
      </c>
      <c r="E86" s="86" t="n">
        <v>5311</v>
      </c>
      <c r="F86" s="86" t="n">
        <v>5373</v>
      </c>
      <c r="G86" s="86" t="n">
        <v>5430</v>
      </c>
      <c r="H86" s="86" t="n">
        <v>5452</v>
      </c>
      <c r="I86" s="80"/>
    </row>
    <row r="87" customFormat="false" ht="16.5" hidden="false" customHeight="true" outlineLevel="0" collapsed="false">
      <c r="B87" s="87" t="s">
        <v>12</v>
      </c>
      <c r="C87" s="88" t="n">
        <v>5257</v>
      </c>
      <c r="D87" s="88" t="n">
        <v>5274</v>
      </c>
      <c r="E87" s="88" t="n">
        <v>5275</v>
      </c>
      <c r="F87" s="88" t="n">
        <v>5284</v>
      </c>
      <c r="G87" s="88" t="n">
        <v>5299</v>
      </c>
      <c r="H87" s="88" t="n">
        <v>5267</v>
      </c>
      <c r="I87" s="80"/>
    </row>
    <row r="88" s="73" customFormat="true" ht="18" hidden="false" customHeight="false" outlineLevel="0" collapsed="false">
      <c r="B88" s="74" t="s">
        <v>13</v>
      </c>
      <c r="C88" s="89" t="n">
        <v>806962</v>
      </c>
      <c r="D88" s="89" t="n">
        <v>810105</v>
      </c>
      <c r="E88" s="89" t="n">
        <v>815487</v>
      </c>
      <c r="F88" s="89" t="n">
        <v>821983</v>
      </c>
      <c r="G88" s="89" t="n">
        <v>828004</v>
      </c>
      <c r="H88" s="89" t="n">
        <v>822650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41089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718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718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473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41061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181</v>
      </c>
      <c r="C140" s="113"/>
      <c r="D140" s="113"/>
      <c r="E140" s="113"/>
      <c r="F140" s="113"/>
      <c r="G140" s="114" t="s">
        <v>215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216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s">
        <v>217</v>
      </c>
      <c r="H142" s="117"/>
      <c r="J142" s="115"/>
      <c r="K142" s="116"/>
    </row>
    <row r="143" customFormat="false" ht="17.25" hidden="false" customHeight="true" outlineLevel="0" collapsed="false">
      <c r="B143" s="49" t="s">
        <v>171</v>
      </c>
      <c r="C143" s="49"/>
      <c r="D143" s="49"/>
      <c r="E143" s="49"/>
      <c r="F143" s="49"/>
      <c r="G143" s="117" t="s">
        <v>218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s">
        <v>219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s">
        <v>220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s">
        <v>221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s">
        <v>222</v>
      </c>
      <c r="H147" s="117"/>
      <c r="J147" s="115"/>
      <c r="K147" s="116"/>
    </row>
    <row r="148" customFormat="false" ht="17.25" hidden="false" customHeight="true" outlineLevel="0" collapsed="false">
      <c r="B148" s="49" t="s">
        <v>49</v>
      </c>
      <c r="C148" s="49"/>
      <c r="D148" s="49"/>
      <c r="E148" s="49"/>
      <c r="F148" s="49"/>
      <c r="G148" s="117" t="s">
        <v>223</v>
      </c>
      <c r="H148" s="117"/>
      <c r="J148" s="115"/>
      <c r="K148" s="116"/>
    </row>
    <row r="149" customFormat="false" ht="18" hidden="false" customHeight="true" outlineLevel="0" collapsed="false">
      <c r="B149" s="103" t="s">
        <v>191</v>
      </c>
      <c r="C149" s="103"/>
      <c r="D149" s="103"/>
      <c r="E149" s="103"/>
      <c r="F149" s="103"/>
      <c r="G149" s="119" t="s">
        <v>224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167</v>
      </c>
      <c r="C154" s="113"/>
      <c r="D154" s="113"/>
      <c r="E154" s="113"/>
      <c r="F154" s="113"/>
      <c r="G154" s="114" t="s">
        <v>225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171</v>
      </c>
      <c r="C155" s="49"/>
      <c r="D155" s="49"/>
      <c r="E155" s="49"/>
      <c r="F155" s="49"/>
      <c r="G155" s="117" t="s">
        <v>226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181</v>
      </c>
      <c r="C156" s="49"/>
      <c r="D156" s="49"/>
      <c r="E156" s="49"/>
      <c r="F156" s="49"/>
      <c r="G156" s="117" t="s">
        <v>227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228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s">
        <v>229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s">
        <v>230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s">
        <v>231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177</v>
      </c>
      <c r="C161" s="49"/>
      <c r="D161" s="49"/>
      <c r="E161" s="49"/>
      <c r="F161" s="49"/>
      <c r="G161" s="117" t="s">
        <v>232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49</v>
      </c>
      <c r="C162" s="49"/>
      <c r="D162" s="49"/>
      <c r="E162" s="49"/>
      <c r="F162" s="49"/>
      <c r="G162" s="117" t="s">
        <v>233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203</v>
      </c>
      <c r="C163" s="103"/>
      <c r="D163" s="103"/>
      <c r="E163" s="103"/>
      <c r="F163" s="103"/>
      <c r="G163" s="119" t="s">
        <v>234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163</v>
      </c>
      <c r="C168" s="113"/>
      <c r="D168" s="113"/>
      <c r="E168" s="113"/>
      <c r="F168" s="113"/>
      <c r="G168" s="114" t="s">
        <v>235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161</v>
      </c>
      <c r="C169" s="49"/>
      <c r="D169" s="49"/>
      <c r="E169" s="49"/>
      <c r="F169" s="49"/>
      <c r="G169" s="117" t="s">
        <v>236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165</v>
      </c>
      <c r="C170" s="49"/>
      <c r="D170" s="49"/>
      <c r="E170" s="49"/>
      <c r="F170" s="49"/>
      <c r="G170" s="117" t="s">
        <v>237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169</v>
      </c>
      <c r="C171" s="49"/>
      <c r="D171" s="49"/>
      <c r="E171" s="49"/>
      <c r="F171" s="49"/>
      <c r="G171" s="117" t="s">
        <v>238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167</v>
      </c>
      <c r="C172" s="49"/>
      <c r="D172" s="49"/>
      <c r="E172" s="49"/>
      <c r="F172" s="49"/>
      <c r="G172" s="117" t="s">
        <v>239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171</v>
      </c>
      <c r="C173" s="49"/>
      <c r="D173" s="49"/>
      <c r="E173" s="49"/>
      <c r="F173" s="49"/>
      <c r="G173" s="117" t="s">
        <v>240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175</v>
      </c>
      <c r="C174" s="49"/>
      <c r="D174" s="49"/>
      <c r="E174" s="49"/>
      <c r="F174" s="49"/>
      <c r="G174" s="117" t="s">
        <v>241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173</v>
      </c>
      <c r="C175" s="49"/>
      <c r="D175" s="49"/>
      <c r="E175" s="49"/>
      <c r="F175" s="49"/>
      <c r="G175" s="117" t="s">
        <v>242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177</v>
      </c>
      <c r="C176" s="49"/>
      <c r="D176" s="49"/>
      <c r="E176" s="49"/>
      <c r="F176" s="49"/>
      <c r="G176" s="117" t="s">
        <v>243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244</v>
      </c>
      <c r="C177" s="103"/>
      <c r="D177" s="103"/>
      <c r="E177" s="103"/>
      <c r="F177" s="103"/>
      <c r="G177" s="119" t="s">
        <v>245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EDATE(Июнь2012!B3,1)</f>
        <v>41091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41091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45" t="n">
        <v>41061</v>
      </c>
      <c r="F11" s="45" t="n">
        <v>41091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984272</v>
      </c>
      <c r="F12" s="25" t="n">
        <v>991720</v>
      </c>
      <c r="G12" s="26" t="n">
        <f aca="false">F12-E12</f>
        <v>7448</v>
      </c>
      <c r="H12" s="27" t="n">
        <f aca="false">F12/E12-1</f>
        <v>0.00756701399613124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33950</v>
      </c>
      <c r="F13" s="25" t="n">
        <v>34191</v>
      </c>
      <c r="G13" s="30" t="n">
        <f aca="false">F13-E13</f>
        <v>241</v>
      </c>
      <c r="H13" s="31" t="n">
        <f aca="false">F13/E13-1</f>
        <v>0.00709867452135504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11264</v>
      </c>
      <c r="F14" s="25" t="n">
        <v>11413</v>
      </c>
      <c r="G14" s="30" t="n">
        <f aca="false">F14-E14</f>
        <v>149</v>
      </c>
      <c r="H14" s="31" t="n">
        <f aca="false">F14/E14-1</f>
        <v>0.0132279829545454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1994</v>
      </c>
      <c r="F15" s="25" t="n">
        <v>2020</v>
      </c>
      <c r="G15" s="30" t="n">
        <v>26</v>
      </c>
      <c r="H15" s="31" t="n">
        <v>0.0130391173520561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9270</v>
      </c>
      <c r="F16" s="25" t="n">
        <v>9393</v>
      </c>
      <c r="G16" s="30" t="n">
        <v>123</v>
      </c>
      <c r="H16" s="31" t="n">
        <v>0.0132686084142395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17094</v>
      </c>
      <c r="F17" s="25" t="n">
        <v>17113</v>
      </c>
      <c r="G17" s="34" t="n">
        <f aca="false">F17-E17</f>
        <v>19</v>
      </c>
      <c r="H17" s="35" t="n">
        <f aca="false">F17/E17-1</f>
        <v>0.00111150111150105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1046580</v>
      </c>
      <c r="F18" s="39" t="n">
        <v>1054437</v>
      </c>
      <c r="G18" s="39" t="n">
        <f aca="false">F18-E18</f>
        <v>7857</v>
      </c>
      <c r="H18" s="40" t="n">
        <f aca="false">F18/E18-1</f>
        <v>0.00750730952244449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45" t="n">
        <v>41061</v>
      </c>
      <c r="F22" s="45" t="n">
        <v>41091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794477</v>
      </c>
      <c r="F23" s="25" t="n">
        <v>799804</v>
      </c>
      <c r="G23" s="26" t="n">
        <f aca="false">F23-E23</f>
        <v>5327</v>
      </c>
      <c r="H23" s="27" t="n">
        <f aca="false">F23/E23-1</f>
        <v>0.00670503991934313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17454</v>
      </c>
      <c r="F24" s="25" t="n">
        <v>17565</v>
      </c>
      <c r="G24" s="30" t="n">
        <f aca="false">F24-E24</f>
        <v>111</v>
      </c>
      <c r="H24" s="31" t="n">
        <f aca="false">F24/E24-1</f>
        <v>0.00635957373667928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5452</v>
      </c>
      <c r="F25" s="25" t="n">
        <v>5540</v>
      </c>
      <c r="G25" s="30" t="n">
        <f aca="false">F25-E25</f>
        <v>88</v>
      </c>
      <c r="H25" s="31" t="n">
        <f aca="false">F25/E25-1</f>
        <v>0.0161408657373441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1937</v>
      </c>
      <c r="F26" s="25" t="n">
        <v>1953</v>
      </c>
      <c r="G26" s="136" t="n">
        <v>16</v>
      </c>
      <c r="H26" s="31" t="n">
        <v>0.00826019617965934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3515</v>
      </c>
      <c r="F27" s="25" t="n">
        <v>3587</v>
      </c>
      <c r="G27" s="136" t="n">
        <v>72</v>
      </c>
      <c r="H27" s="31" t="n">
        <v>0.020483641536273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5267</v>
      </c>
      <c r="F28" s="25" t="n">
        <v>5245</v>
      </c>
      <c r="G28" s="34" t="n">
        <f aca="false">F28-E28</f>
        <v>-22</v>
      </c>
      <c r="H28" s="35" t="n">
        <f aca="false">F28/E28-1</f>
        <v>-0.00417695082589709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822650</v>
      </c>
      <c r="F29" s="39" t="n">
        <v>828154</v>
      </c>
      <c r="G29" s="39" t="n">
        <f aca="false">F29-E29</f>
        <v>5504</v>
      </c>
      <c r="H29" s="40" t="n">
        <f aca="false">F29/E29-1</f>
        <v>0.00669057314775423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41061</v>
      </c>
      <c r="F33" s="45" t="n">
        <f aca="false">EDATE(E33,1)</f>
        <v>41091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68858</v>
      </c>
      <c r="F34" s="48" t="n">
        <v>70205</v>
      </c>
      <c r="G34" s="26" t="n">
        <v>1347</v>
      </c>
      <c r="H34" s="27" t="n">
        <v>0.0196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1507</v>
      </c>
      <c r="F35" s="48" t="n">
        <v>1506</v>
      </c>
      <c r="G35" s="30" t="n">
        <v>-1</v>
      </c>
      <c r="H35" s="31" t="n">
        <v>-0.0007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610</v>
      </c>
      <c r="F36" s="48" t="n">
        <v>648</v>
      </c>
      <c r="G36" s="30" t="n">
        <v>38</v>
      </c>
      <c r="H36" s="31" t="n">
        <v>0.0623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149</v>
      </c>
      <c r="F37" s="48" t="n">
        <v>164</v>
      </c>
      <c r="G37" s="136" t="n">
        <v>15</v>
      </c>
      <c r="H37" s="31" t="n">
        <v>0.100671140939597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461</v>
      </c>
      <c r="F38" s="48" t="n">
        <v>484</v>
      </c>
      <c r="G38" s="136" t="n">
        <v>23</v>
      </c>
      <c r="H38" s="31" t="n">
        <v>0.0498915401301518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1210</v>
      </c>
      <c r="F39" s="48" t="n">
        <v>1246</v>
      </c>
      <c r="G39" s="34" t="n">
        <v>569</v>
      </c>
      <c r="H39" s="35" t="n">
        <v>0.8405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72185</v>
      </c>
      <c r="F40" s="39" t="n">
        <v>73605</v>
      </c>
      <c r="G40" s="39" t="n">
        <v>1953</v>
      </c>
      <c r="H40" s="40" t="n">
        <v>0.0273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v>40968</v>
      </c>
      <c r="D83" s="20" t="n">
        <v>40999</v>
      </c>
      <c r="E83" s="20" t="n">
        <v>41029</v>
      </c>
      <c r="F83" s="20" t="n">
        <v>41060</v>
      </c>
      <c r="G83" s="20" t="n">
        <v>41090</v>
      </c>
      <c r="H83" s="20" t="n">
        <v>41121</v>
      </c>
      <c r="I83" s="80"/>
    </row>
    <row r="84" customFormat="false" ht="16.5" hidden="false" customHeight="true" outlineLevel="0" collapsed="false">
      <c r="B84" s="81" t="s">
        <v>7</v>
      </c>
      <c r="C84" s="82" t="n">
        <v>782553</v>
      </c>
      <c r="D84" s="82" t="n">
        <v>787742</v>
      </c>
      <c r="E84" s="82" t="n">
        <v>794030</v>
      </c>
      <c r="F84" s="82" t="n">
        <v>799942</v>
      </c>
      <c r="G84" s="82" t="n">
        <v>794477</v>
      </c>
      <c r="H84" s="82" t="n">
        <v>799804</v>
      </c>
      <c r="I84" s="80"/>
    </row>
    <row r="85" customFormat="false" ht="16.5" hidden="false" customHeight="true" outlineLevel="0" collapsed="false">
      <c r="B85" s="83" t="s">
        <v>8</v>
      </c>
      <c r="C85" s="84" t="n">
        <v>17054</v>
      </c>
      <c r="D85" s="84" t="n">
        <v>17159</v>
      </c>
      <c r="E85" s="84" t="n">
        <v>17296</v>
      </c>
      <c r="F85" s="84" t="n">
        <v>17333</v>
      </c>
      <c r="G85" s="84" t="n">
        <v>17454</v>
      </c>
      <c r="H85" s="84" t="n">
        <v>17565</v>
      </c>
      <c r="I85" s="80"/>
    </row>
    <row r="86" customFormat="false" ht="16.5" hidden="false" customHeight="true" outlineLevel="0" collapsed="false">
      <c r="B86" s="85" t="s">
        <v>9</v>
      </c>
      <c r="C86" s="86" t="n">
        <v>5224</v>
      </c>
      <c r="D86" s="86" t="n">
        <v>5311</v>
      </c>
      <c r="E86" s="86" t="n">
        <v>5373</v>
      </c>
      <c r="F86" s="86" t="n">
        <v>5430</v>
      </c>
      <c r="G86" s="86" t="n">
        <v>5452</v>
      </c>
      <c r="H86" s="86" t="n">
        <v>5540</v>
      </c>
      <c r="I86" s="80"/>
    </row>
    <row r="87" customFormat="false" ht="16.5" hidden="false" customHeight="true" outlineLevel="0" collapsed="false">
      <c r="B87" s="87" t="s">
        <v>12</v>
      </c>
      <c r="C87" s="88" t="n">
        <v>5274</v>
      </c>
      <c r="D87" s="88" t="n">
        <v>5275</v>
      </c>
      <c r="E87" s="88" t="n">
        <v>5284</v>
      </c>
      <c r="F87" s="88" t="n">
        <v>5299</v>
      </c>
      <c r="G87" s="88" t="n">
        <v>5267</v>
      </c>
      <c r="H87" s="88" t="n">
        <v>5245</v>
      </c>
      <c r="I87" s="80"/>
    </row>
    <row r="88" s="73" customFormat="true" ht="18" hidden="false" customHeight="false" outlineLevel="0" collapsed="false">
      <c r="B88" s="74" t="s">
        <v>13</v>
      </c>
      <c r="C88" s="89" t="n">
        <v>810105</v>
      </c>
      <c r="D88" s="89" t="n">
        <v>815487</v>
      </c>
      <c r="E88" s="89" t="n">
        <v>821983</v>
      </c>
      <c r="F88" s="89" t="n">
        <v>828004</v>
      </c>
      <c r="G88" s="89" t="n">
        <v>822650</v>
      </c>
      <c r="H88" s="89" t="n">
        <v>828154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41121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715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715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470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41091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181</v>
      </c>
      <c r="C140" s="113"/>
      <c r="D140" s="113"/>
      <c r="E140" s="113"/>
      <c r="F140" s="113"/>
      <c r="G140" s="114" t="s">
        <v>246</v>
      </c>
      <c r="H140" s="114"/>
      <c r="J140" s="115"/>
      <c r="K140" s="116"/>
    </row>
    <row r="141" customFormat="false" ht="17.25" hidden="false" customHeight="true" outlineLevel="0" collapsed="false">
      <c r="B141" s="49" t="s">
        <v>33</v>
      </c>
      <c r="C141" s="49"/>
      <c r="D141" s="49"/>
      <c r="E141" s="49"/>
      <c r="F141" s="49"/>
      <c r="G141" s="117" t="s">
        <v>247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s">
        <v>248</v>
      </c>
      <c r="H142" s="117"/>
      <c r="J142" s="115"/>
      <c r="K142" s="116"/>
    </row>
    <row r="143" customFormat="false" ht="17.25" hidden="false" customHeight="true" outlineLevel="0" collapsed="false">
      <c r="B143" s="49" t="s">
        <v>171</v>
      </c>
      <c r="C143" s="49"/>
      <c r="D143" s="49"/>
      <c r="E143" s="49"/>
      <c r="F143" s="49"/>
      <c r="G143" s="117" t="s">
        <v>249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s">
        <v>250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s">
        <v>251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s">
        <v>252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s">
        <v>253</v>
      </c>
      <c r="H147" s="117"/>
      <c r="J147" s="115"/>
      <c r="K147" s="116"/>
    </row>
    <row r="148" customFormat="false" ht="17.25" hidden="false" customHeight="true" outlineLevel="0" collapsed="false">
      <c r="B148" s="49" t="s">
        <v>49</v>
      </c>
      <c r="C148" s="49"/>
      <c r="D148" s="49"/>
      <c r="E148" s="49"/>
      <c r="F148" s="49"/>
      <c r="G148" s="117" t="s">
        <v>254</v>
      </c>
      <c r="H148" s="117"/>
      <c r="J148" s="115"/>
      <c r="K148" s="116"/>
    </row>
    <row r="149" customFormat="false" ht="18" hidden="false" customHeight="true" outlineLevel="0" collapsed="false">
      <c r="B149" s="103" t="s">
        <v>191</v>
      </c>
      <c r="C149" s="103"/>
      <c r="D149" s="103"/>
      <c r="E149" s="103"/>
      <c r="F149" s="103"/>
      <c r="G149" s="119" t="s">
        <v>255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167</v>
      </c>
      <c r="C154" s="113"/>
      <c r="D154" s="113"/>
      <c r="E154" s="113"/>
      <c r="F154" s="113"/>
      <c r="G154" s="114" t="s">
        <v>256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171</v>
      </c>
      <c r="C155" s="49"/>
      <c r="D155" s="49"/>
      <c r="E155" s="49"/>
      <c r="F155" s="49"/>
      <c r="G155" s="117" t="s">
        <v>257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181</v>
      </c>
      <c r="C156" s="49"/>
      <c r="D156" s="49"/>
      <c r="E156" s="49"/>
      <c r="F156" s="49"/>
      <c r="G156" s="117" t="s">
        <v>258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259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s">
        <v>260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s">
        <v>261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s">
        <v>262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177</v>
      </c>
      <c r="C161" s="49"/>
      <c r="D161" s="49"/>
      <c r="E161" s="49"/>
      <c r="F161" s="49"/>
      <c r="G161" s="117" t="s">
        <v>263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49</v>
      </c>
      <c r="C162" s="49"/>
      <c r="D162" s="49"/>
      <c r="E162" s="49"/>
      <c r="F162" s="49"/>
      <c r="G162" s="117" t="s">
        <v>264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203</v>
      </c>
      <c r="C163" s="103"/>
      <c r="D163" s="103"/>
      <c r="E163" s="103"/>
      <c r="F163" s="103"/>
      <c r="G163" s="119" t="s">
        <v>265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163</v>
      </c>
      <c r="C168" s="113"/>
      <c r="D168" s="113"/>
      <c r="E168" s="113"/>
      <c r="F168" s="113"/>
      <c r="G168" s="114" t="s">
        <v>266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161</v>
      </c>
      <c r="C169" s="49"/>
      <c r="D169" s="49"/>
      <c r="E169" s="49"/>
      <c r="F169" s="49"/>
      <c r="G169" s="117" t="s">
        <v>267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165</v>
      </c>
      <c r="C170" s="49"/>
      <c r="D170" s="49"/>
      <c r="E170" s="49"/>
      <c r="F170" s="49"/>
      <c r="G170" s="117" t="s">
        <v>268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169</v>
      </c>
      <c r="C171" s="49"/>
      <c r="D171" s="49"/>
      <c r="E171" s="49"/>
      <c r="F171" s="49"/>
      <c r="G171" s="117" t="s">
        <v>269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167</v>
      </c>
      <c r="C172" s="49"/>
      <c r="D172" s="49"/>
      <c r="E172" s="49"/>
      <c r="F172" s="49"/>
      <c r="G172" s="117" t="s">
        <v>270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171</v>
      </c>
      <c r="C173" s="49"/>
      <c r="D173" s="49"/>
      <c r="E173" s="49"/>
      <c r="F173" s="49"/>
      <c r="G173" s="117" t="s">
        <v>271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173</v>
      </c>
      <c r="C174" s="49"/>
      <c r="D174" s="49"/>
      <c r="E174" s="49"/>
      <c r="F174" s="49"/>
      <c r="G174" s="117" t="s">
        <v>272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175</v>
      </c>
      <c r="C175" s="49"/>
      <c r="D175" s="49"/>
      <c r="E175" s="49"/>
      <c r="F175" s="49"/>
      <c r="G175" s="117" t="s">
        <v>273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179</v>
      </c>
      <c r="C176" s="49"/>
      <c r="D176" s="49"/>
      <c r="E176" s="49"/>
      <c r="F176" s="49"/>
      <c r="G176" s="117" t="s">
        <v>274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177</v>
      </c>
      <c r="C177" s="103"/>
      <c r="D177" s="103"/>
      <c r="E177" s="103"/>
      <c r="F177" s="103"/>
      <c r="G177" s="119" t="s">
        <v>275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EDATE(Июль2012!B3,1)</f>
        <v>41122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41122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41121</v>
      </c>
      <c r="F11" s="20" t="n">
        <f aca="false">EDATE(E11,1)</f>
        <v>41152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991720</v>
      </c>
      <c r="F12" s="25" t="n">
        <v>981932</v>
      </c>
      <c r="G12" s="26" t="n">
        <f aca="false">F12-E12</f>
        <v>-9788</v>
      </c>
      <c r="H12" s="27" t="n">
        <f aca="false">F12/E12-1</f>
        <v>-0.00986972129230024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34191</v>
      </c>
      <c r="F13" s="25" t="n">
        <v>34151</v>
      </c>
      <c r="G13" s="30" t="n">
        <f aca="false">F13-E13</f>
        <v>-40</v>
      </c>
      <c r="H13" s="31" t="n">
        <f aca="false">F13/E13-1</f>
        <v>-0.00116989851130411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11413</v>
      </c>
      <c r="F14" s="25" t="n">
        <v>11453</v>
      </c>
      <c r="G14" s="30" t="n">
        <f aca="false">F14-E14</f>
        <v>40</v>
      </c>
      <c r="H14" s="31" t="n">
        <f aca="false">F14/E14-1</f>
        <v>0.00350477525628667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2020</v>
      </c>
      <c r="F15" s="25" t="n">
        <v>2056</v>
      </c>
      <c r="G15" s="30" t="n">
        <v>36</v>
      </c>
      <c r="H15" s="31" t="n">
        <v>0.0178217821782178</v>
      </c>
      <c r="I15" s="42"/>
      <c r="K15" s="22"/>
    </row>
    <row r="16" s="23" customFormat="true" ht="17.25" hidden="false" customHeight="true" outlineLevel="0" collapsed="false">
      <c r="B16" s="32" t="s">
        <v>11</v>
      </c>
      <c r="C16" s="32"/>
      <c r="D16" s="32"/>
      <c r="E16" s="25" t="n">
        <v>9393</v>
      </c>
      <c r="F16" s="25" t="n">
        <v>9397</v>
      </c>
      <c r="G16" s="30" t="n">
        <v>4</v>
      </c>
      <c r="H16" s="31" t="n">
        <v>0.000425849036516546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17113</v>
      </c>
      <c r="F17" s="25" t="n">
        <v>16968</v>
      </c>
      <c r="G17" s="34" t="n">
        <f aca="false">F17-E17</f>
        <v>-145</v>
      </c>
      <c r="H17" s="35" t="n">
        <f aca="false">F17/E17-1</f>
        <v>-0.00847309063285218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1054437</v>
      </c>
      <c r="F18" s="39" t="n">
        <v>1044504</v>
      </c>
      <c r="G18" s="39" t="n">
        <f aca="false">F18-E18</f>
        <v>-9933</v>
      </c>
      <c r="H18" s="40" t="n">
        <f aca="false">F18/E18-1</f>
        <v>-0.00942019295605145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41121</v>
      </c>
      <c r="F22" s="20" t="n">
        <f aca="false">F11</f>
        <v>41152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799804</v>
      </c>
      <c r="F23" s="25" t="n">
        <v>791512</v>
      </c>
      <c r="G23" s="26" t="n">
        <f aca="false">F23-E23</f>
        <v>-8292</v>
      </c>
      <c r="H23" s="27" t="n">
        <f aca="false">F23/E23-1</f>
        <v>-0.0103675400473116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17565</v>
      </c>
      <c r="F24" s="25" t="n">
        <v>17475</v>
      </c>
      <c r="G24" s="30" t="n">
        <f aca="false">F24-E24</f>
        <v>-90</v>
      </c>
      <c r="H24" s="31" t="n">
        <f aca="false">F24/E24-1</f>
        <v>-0.0051238257899231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5540</v>
      </c>
      <c r="F25" s="25" t="n">
        <v>5636</v>
      </c>
      <c r="G25" s="30" t="n">
        <f aca="false">F25-E25</f>
        <v>96</v>
      </c>
      <c r="H25" s="31" t="n">
        <f aca="false">F25/E25-1</f>
        <v>0.0173285198555957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1953</v>
      </c>
      <c r="F26" s="25" t="n">
        <v>1984</v>
      </c>
      <c r="G26" s="136" t="n">
        <v>31</v>
      </c>
      <c r="H26" s="31" t="n">
        <v>0.0158730158730158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3587</v>
      </c>
      <c r="F27" s="25" t="n">
        <v>3652</v>
      </c>
      <c r="G27" s="136" t="n">
        <v>65</v>
      </c>
      <c r="H27" s="31" t="n">
        <v>0.0181209924728185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5245</v>
      </c>
      <c r="F28" s="25" t="n">
        <v>5250</v>
      </c>
      <c r="G28" s="34" t="n">
        <f aca="false">F28-E28</f>
        <v>5</v>
      </c>
      <c r="H28" s="35" t="n">
        <f aca="false">F28/E28-1</f>
        <v>0.000953288846520461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828154</v>
      </c>
      <c r="F29" s="39" t="n">
        <v>819873</v>
      </c>
      <c r="G29" s="39" t="n">
        <f aca="false">F29-E29</f>
        <v>-8281</v>
      </c>
      <c r="H29" s="40" t="n">
        <f aca="false">F29/E29-1</f>
        <v>-0.00999934794736246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41091</v>
      </c>
      <c r="F33" s="45" t="n">
        <f aca="false">EDATE(E33,1)</f>
        <v>41122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70205</v>
      </c>
      <c r="F34" s="48" t="n">
        <v>68776</v>
      </c>
      <c r="G34" s="26" t="n">
        <f aca="false">F34-E34</f>
        <v>-1429</v>
      </c>
      <c r="H34" s="27" t="n">
        <f aca="false">F34/E34-1</f>
        <v>-0.0203546755929065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1506</v>
      </c>
      <c r="F35" s="48" t="n">
        <v>1493</v>
      </c>
      <c r="G35" s="30" t="n">
        <f aca="false">F35-E35</f>
        <v>-13</v>
      </c>
      <c r="H35" s="31" t="n">
        <f aca="false">F35/E35-1</f>
        <v>-0.00863213811420982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648</v>
      </c>
      <c r="F36" s="48" t="n">
        <v>664</v>
      </c>
      <c r="G36" s="30" t="n">
        <f aca="false">F36-E36</f>
        <v>16</v>
      </c>
      <c r="H36" s="31" t="n">
        <f aca="false">F36/E36-1</f>
        <v>0.0246913580246915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164</v>
      </c>
      <c r="F37" s="48" t="n">
        <v>164</v>
      </c>
      <c r="G37" s="30" t="n">
        <v>0</v>
      </c>
      <c r="H37" s="31" t="n">
        <v>0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484</v>
      </c>
      <c r="F38" s="48" t="n">
        <v>500</v>
      </c>
      <c r="G38" s="30" t="n">
        <v>16</v>
      </c>
      <c r="H38" s="31" t="n">
        <v>0.0330578512396693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1246</v>
      </c>
      <c r="F39" s="48" t="n">
        <v>1013</v>
      </c>
      <c r="G39" s="34" t="n">
        <f aca="false">F39-E39</f>
        <v>-233</v>
      </c>
      <c r="H39" s="35" t="n">
        <f aca="false">F39/E39-1</f>
        <v>-0.186998394863563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73605</v>
      </c>
      <c r="F40" s="39" t="n">
        <v>71946</v>
      </c>
      <c r="G40" s="39" t="n">
        <f aca="false">F40-E40</f>
        <v>-1659</v>
      </c>
      <c r="H40" s="40" t="n">
        <f aca="false">F40/E40-1</f>
        <v>-0.0225392296718973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f aca="false">EDATE(D83,-1)</f>
        <v>40998</v>
      </c>
      <c r="D83" s="20" t="n">
        <f aca="false">EDATE(E83,-1)</f>
        <v>41029</v>
      </c>
      <c r="E83" s="20" t="n">
        <f aca="false">EDATE(F83,-1)</f>
        <v>41059</v>
      </c>
      <c r="F83" s="20" t="n">
        <f aca="false">EDATE(G83,-1)</f>
        <v>41090</v>
      </c>
      <c r="G83" s="20" t="n">
        <f aca="false">EDATE(H83,-1)</f>
        <v>41121</v>
      </c>
      <c r="H83" s="20" t="n">
        <f aca="false">EDATE(E11,1)</f>
        <v>41152</v>
      </c>
      <c r="I83" s="80"/>
    </row>
    <row r="84" customFormat="false" ht="16.5" hidden="false" customHeight="true" outlineLevel="0" collapsed="false">
      <c r="B84" s="81" t="s">
        <v>7</v>
      </c>
      <c r="C84" s="82" t="n">
        <v>787742</v>
      </c>
      <c r="D84" s="82" t="n">
        <v>794030</v>
      </c>
      <c r="E84" s="82" t="n">
        <v>799942</v>
      </c>
      <c r="F84" s="82" t="n">
        <v>794477</v>
      </c>
      <c r="G84" s="82" t="n">
        <v>799804</v>
      </c>
      <c r="H84" s="82" t="n">
        <v>791512</v>
      </c>
      <c r="I84" s="80"/>
    </row>
    <row r="85" customFormat="false" ht="16.5" hidden="false" customHeight="true" outlineLevel="0" collapsed="false">
      <c r="B85" s="83" t="s">
        <v>8</v>
      </c>
      <c r="C85" s="84" t="n">
        <v>17159</v>
      </c>
      <c r="D85" s="84" t="n">
        <v>17296</v>
      </c>
      <c r="E85" s="84" t="n">
        <v>17333</v>
      </c>
      <c r="F85" s="84" t="n">
        <v>17454</v>
      </c>
      <c r="G85" s="84" t="n">
        <v>17565</v>
      </c>
      <c r="H85" s="84" t="n">
        <v>17475</v>
      </c>
      <c r="I85" s="80"/>
    </row>
    <row r="86" customFormat="false" ht="16.5" hidden="false" customHeight="true" outlineLevel="0" collapsed="false">
      <c r="B86" s="85" t="s">
        <v>9</v>
      </c>
      <c r="C86" s="86" t="n">
        <v>5311</v>
      </c>
      <c r="D86" s="86" t="n">
        <v>5373</v>
      </c>
      <c r="E86" s="86" t="n">
        <v>5430</v>
      </c>
      <c r="F86" s="86" t="n">
        <v>5452</v>
      </c>
      <c r="G86" s="86" t="n">
        <v>5540</v>
      </c>
      <c r="H86" s="86" t="n">
        <v>5636</v>
      </c>
      <c r="I86" s="80"/>
    </row>
    <row r="87" customFormat="false" ht="16.5" hidden="false" customHeight="true" outlineLevel="0" collapsed="false">
      <c r="B87" s="87" t="s">
        <v>12</v>
      </c>
      <c r="C87" s="88" t="n">
        <v>5275</v>
      </c>
      <c r="D87" s="88" t="n">
        <v>5284</v>
      </c>
      <c r="E87" s="88" t="n">
        <v>5299</v>
      </c>
      <c r="F87" s="88" t="n">
        <v>5267</v>
      </c>
      <c r="G87" s="88" t="n">
        <v>5245</v>
      </c>
      <c r="H87" s="88" t="n">
        <v>5250</v>
      </c>
      <c r="I87" s="80"/>
    </row>
    <row r="88" s="73" customFormat="true" ht="18" hidden="false" customHeight="false" outlineLevel="0" collapsed="false">
      <c r="B88" s="74" t="s">
        <v>13</v>
      </c>
      <c r="C88" s="89" t="n">
        <v>815487</v>
      </c>
      <c r="D88" s="89" t="n">
        <v>821983</v>
      </c>
      <c r="E88" s="89" t="n">
        <v>828004</v>
      </c>
      <c r="F88" s="89" t="n">
        <v>822650</v>
      </c>
      <c r="G88" s="89" t="n">
        <v>828154</v>
      </c>
      <c r="H88" s="89" t="n">
        <v>819873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276</v>
      </c>
      <c r="C124" s="97" t="n">
        <v>41152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719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719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473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41122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33</v>
      </c>
      <c r="C140" s="113"/>
      <c r="D140" s="113"/>
      <c r="E140" s="113"/>
      <c r="F140" s="113"/>
      <c r="G140" s="114" t="n">
        <v>181191</v>
      </c>
      <c r="H140" s="114"/>
      <c r="J140" s="115"/>
      <c r="K140" s="116"/>
    </row>
    <row r="141" customFormat="false" ht="17.25" hidden="false" customHeight="true" outlineLevel="0" collapsed="false">
      <c r="B141" s="49" t="s">
        <v>181</v>
      </c>
      <c r="C141" s="49"/>
      <c r="D141" s="49"/>
      <c r="E141" s="49"/>
      <c r="F141" s="49"/>
      <c r="G141" s="117" t="n">
        <v>167955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n">
        <v>115265</v>
      </c>
      <c r="H142" s="117"/>
      <c r="J142" s="115"/>
      <c r="K142" s="116"/>
    </row>
    <row r="143" customFormat="false" ht="17.25" hidden="false" customHeight="true" outlineLevel="0" collapsed="false">
      <c r="B143" s="49" t="s">
        <v>171</v>
      </c>
      <c r="C143" s="49"/>
      <c r="D143" s="49"/>
      <c r="E143" s="49"/>
      <c r="F143" s="49"/>
      <c r="G143" s="117" t="n">
        <v>101622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n">
        <v>58472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n">
        <v>41548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n">
        <v>31914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n">
        <v>21055</v>
      </c>
      <c r="H147" s="117"/>
      <c r="J147" s="115"/>
      <c r="K147" s="116"/>
    </row>
    <row r="148" customFormat="false" ht="17.25" hidden="false" customHeight="true" outlineLevel="0" collapsed="false">
      <c r="B148" s="49" t="s">
        <v>163</v>
      </c>
      <c r="C148" s="49"/>
      <c r="D148" s="49"/>
      <c r="E148" s="49"/>
      <c r="F148" s="49"/>
      <c r="G148" s="117" t="n">
        <v>19648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n">
        <v>19332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167</v>
      </c>
      <c r="C154" s="113"/>
      <c r="D154" s="113"/>
      <c r="E154" s="113"/>
      <c r="F154" s="113"/>
      <c r="G154" s="114" t="n">
        <v>12762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171</v>
      </c>
      <c r="C155" s="49"/>
      <c r="D155" s="49"/>
      <c r="E155" s="49"/>
      <c r="F155" s="49"/>
      <c r="G155" s="117" t="n">
        <v>11141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181</v>
      </c>
      <c r="C156" s="49"/>
      <c r="D156" s="49"/>
      <c r="E156" s="49"/>
      <c r="F156" s="49"/>
      <c r="G156" s="117" t="n">
        <v>10699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n">
        <v>6957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n">
        <v>4598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n">
        <v>4335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n">
        <v>3617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163</v>
      </c>
      <c r="C161" s="49"/>
      <c r="D161" s="49"/>
      <c r="E161" s="49"/>
      <c r="F161" s="49"/>
      <c r="G161" s="117" t="n">
        <v>1915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177</v>
      </c>
      <c r="C162" s="49"/>
      <c r="D162" s="49"/>
      <c r="E162" s="49"/>
      <c r="F162" s="49"/>
      <c r="G162" s="117" t="n">
        <v>1767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49</v>
      </c>
      <c r="C163" s="103"/>
      <c r="D163" s="103"/>
      <c r="E163" s="103"/>
      <c r="F163" s="103"/>
      <c r="G163" s="119" t="n">
        <v>1702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163</v>
      </c>
      <c r="C168" s="113"/>
      <c r="D168" s="113"/>
      <c r="E168" s="113"/>
      <c r="F168" s="113"/>
      <c r="G168" s="114" t="n">
        <v>1186938689884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161</v>
      </c>
      <c r="C169" s="49"/>
      <c r="D169" s="49"/>
      <c r="E169" s="49"/>
      <c r="F169" s="49"/>
      <c r="G169" s="117" t="n">
        <v>829267209139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277</v>
      </c>
      <c r="C170" s="49"/>
      <c r="D170" s="49"/>
      <c r="E170" s="49"/>
      <c r="F170" s="49"/>
      <c r="G170" s="117" t="n">
        <v>750887308667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165</v>
      </c>
      <c r="C171" s="49"/>
      <c r="D171" s="49"/>
      <c r="E171" s="49"/>
      <c r="F171" s="49"/>
      <c r="G171" s="117" t="n">
        <v>532257685548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169</v>
      </c>
      <c r="C172" s="49"/>
      <c r="D172" s="49"/>
      <c r="E172" s="49"/>
      <c r="F172" s="49"/>
      <c r="G172" s="117" t="n">
        <v>459042215174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167</v>
      </c>
      <c r="C173" s="49"/>
      <c r="D173" s="49"/>
      <c r="E173" s="49"/>
      <c r="F173" s="49"/>
      <c r="G173" s="117" t="n">
        <v>435342448346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171</v>
      </c>
      <c r="C174" s="49"/>
      <c r="D174" s="49"/>
      <c r="E174" s="49"/>
      <c r="F174" s="49"/>
      <c r="G174" s="117" t="n">
        <v>399401491123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173</v>
      </c>
      <c r="C175" s="49"/>
      <c r="D175" s="49"/>
      <c r="E175" s="49"/>
      <c r="F175" s="49"/>
      <c r="G175" s="117" t="n">
        <v>253346156537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175</v>
      </c>
      <c r="C176" s="49"/>
      <c r="D176" s="49"/>
      <c r="E176" s="49"/>
      <c r="F176" s="49"/>
      <c r="G176" s="117" t="n">
        <v>195386629308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179</v>
      </c>
      <c r="C177" s="103"/>
      <c r="D177" s="103"/>
      <c r="E177" s="103"/>
      <c r="F177" s="103"/>
      <c r="G177" s="119" t="n">
        <v>192075029077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EDATE(Август2012!B3,1)</f>
        <v>41153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41153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41152</v>
      </c>
      <c r="F11" s="20" t="n">
        <f aca="false">EDATE(E11,1)</f>
        <v>41182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981932</v>
      </c>
      <c r="F12" s="25" t="n">
        <v>988316</v>
      </c>
      <c r="G12" s="26" t="n">
        <f aca="false">F12-E12</f>
        <v>6384</v>
      </c>
      <c r="H12" s="27" t="n">
        <f aca="false">F12/E12-1</f>
        <v>0.00650146853346256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34151</v>
      </c>
      <c r="F13" s="25" t="n">
        <v>34300</v>
      </c>
      <c r="G13" s="30" t="n">
        <f aca="false">F13-E13</f>
        <v>149</v>
      </c>
      <c r="H13" s="31" t="n">
        <f aca="false">F13/E13-1</f>
        <v>0.00436297619396209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11453</v>
      </c>
      <c r="F14" s="25" t="n">
        <v>11523</v>
      </c>
      <c r="G14" s="30" t="n">
        <f aca="false">F14-E14</f>
        <v>70</v>
      </c>
      <c r="H14" s="31" t="n">
        <f aca="false">F14/E14-1</f>
        <v>0.00611193573736135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2056</v>
      </c>
      <c r="F15" s="25" t="n">
        <v>2074</v>
      </c>
      <c r="G15" s="30" t="n">
        <v>18</v>
      </c>
      <c r="H15" s="31" t="n">
        <v>0.00875486381322954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9397</v>
      </c>
      <c r="F16" s="25" t="n">
        <v>9449</v>
      </c>
      <c r="G16" s="30" t="n">
        <v>52</v>
      </c>
      <c r="H16" s="31" t="n">
        <v>0.00553368096200924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16968</v>
      </c>
      <c r="F17" s="25" t="n">
        <v>17003</v>
      </c>
      <c r="G17" s="34" t="n">
        <f aca="false">F17-E17</f>
        <v>35</v>
      </c>
      <c r="H17" s="35" t="n">
        <f aca="false">F17/E17-1</f>
        <v>0.0020627062706271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1044504</v>
      </c>
      <c r="F18" s="39" t="n">
        <v>1051142</v>
      </c>
      <c r="G18" s="39" t="n">
        <f aca="false">F18-E18</f>
        <v>6638</v>
      </c>
      <c r="H18" s="40" t="n">
        <f aca="false">F18/E18-1</f>
        <v>0.00635516953501369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41152</v>
      </c>
      <c r="F22" s="20" t="n">
        <f aca="false">F11</f>
        <v>41182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791512</v>
      </c>
      <c r="F23" s="25" t="n">
        <v>796839</v>
      </c>
      <c r="G23" s="26" t="n">
        <f aca="false">F23-E23</f>
        <v>5327</v>
      </c>
      <c r="H23" s="27" t="n">
        <f aca="false">F23/E23-1</f>
        <v>0.00673015696540302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17475</v>
      </c>
      <c r="F24" s="25" t="n">
        <v>17573</v>
      </c>
      <c r="G24" s="30" t="n">
        <f aca="false">F24-E24</f>
        <v>98</v>
      </c>
      <c r="H24" s="31" t="n">
        <f aca="false">F24/E24-1</f>
        <v>0.00560801144492129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5636</v>
      </c>
      <c r="F25" s="25" t="n">
        <v>5703</v>
      </c>
      <c r="G25" s="30" t="n">
        <f aca="false">F25-E25</f>
        <v>67</v>
      </c>
      <c r="H25" s="31" t="n">
        <f aca="false">F25/E25-1</f>
        <v>0.0118878637331441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1984</v>
      </c>
      <c r="F26" s="25" t="n">
        <v>1996</v>
      </c>
      <c r="G26" s="136" t="n">
        <v>12</v>
      </c>
      <c r="H26" s="31" t="n">
        <v>0.00604838709677424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3652</v>
      </c>
      <c r="F27" s="25" t="n">
        <v>3707</v>
      </c>
      <c r="G27" s="136" t="n">
        <v>55</v>
      </c>
      <c r="H27" s="31" t="n">
        <v>0.0150602409638554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5250</v>
      </c>
      <c r="F28" s="25" t="n">
        <v>5246</v>
      </c>
      <c r="G28" s="34" t="n">
        <f aca="false">F28-E28</f>
        <v>-4</v>
      </c>
      <c r="H28" s="35" t="n">
        <f aca="false">F28/E28-1</f>
        <v>-0.000761904761904741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819873</v>
      </c>
      <c r="F29" s="39" t="n">
        <v>825361</v>
      </c>
      <c r="G29" s="39" t="n">
        <f aca="false">F29-E29</f>
        <v>5488</v>
      </c>
      <c r="H29" s="40" t="n">
        <f aca="false">F29/E29-1</f>
        <v>0.00669371963706578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41122</v>
      </c>
      <c r="F33" s="45" t="n">
        <f aca="false">EDATE(E33,1)</f>
        <v>41153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68776</v>
      </c>
      <c r="F34" s="48" t="n">
        <v>75666</v>
      </c>
      <c r="G34" s="26" t="n">
        <f aca="false">F34-E34</f>
        <v>6890</v>
      </c>
      <c r="H34" s="27" t="n">
        <f aca="false">F34/E34-1</f>
        <v>0.100180295451902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1493</v>
      </c>
      <c r="F35" s="48" t="n">
        <v>1579</v>
      </c>
      <c r="G35" s="30" t="n">
        <f aca="false">F35-E35</f>
        <v>86</v>
      </c>
      <c r="H35" s="31" t="n">
        <f aca="false">F35/E35-1</f>
        <v>0.057602143335566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664</v>
      </c>
      <c r="F36" s="48" t="n">
        <v>700</v>
      </c>
      <c r="G36" s="30" t="n">
        <f aca="false">F36-E36</f>
        <v>36</v>
      </c>
      <c r="H36" s="31" t="n">
        <f aca="false">F36/E36-1</f>
        <v>0.0542168674698795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164</v>
      </c>
      <c r="F37" s="48" t="n">
        <v>173</v>
      </c>
      <c r="G37" s="30" t="n">
        <v>9</v>
      </c>
      <c r="H37" s="31" t="n">
        <v>0.0548780487804879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500</v>
      </c>
      <c r="F38" s="48" t="n">
        <v>527</v>
      </c>
      <c r="G38" s="30" t="n">
        <v>27</v>
      </c>
      <c r="H38" s="31" t="n">
        <v>0.0540000000000001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1013</v>
      </c>
      <c r="F39" s="48" t="n">
        <v>1031</v>
      </c>
      <c r="G39" s="34" t="n">
        <f aca="false">F39-E39</f>
        <v>18</v>
      </c>
      <c r="H39" s="35" t="n">
        <f aca="false">F39/E39-1</f>
        <v>0.0177690029615005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71946</v>
      </c>
      <c r="F40" s="39" t="n">
        <v>78976</v>
      </c>
      <c r="G40" s="39" t="n">
        <f aca="false">F40-E40</f>
        <v>7030</v>
      </c>
      <c r="H40" s="40" t="n">
        <f aca="false">F40/E40-1</f>
        <v>0.097712173018653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f aca="false">EDATE(D83,-1)</f>
        <v>41029</v>
      </c>
      <c r="D83" s="20" t="n">
        <f aca="false">EDATE(E83,-1)</f>
        <v>41059</v>
      </c>
      <c r="E83" s="20" t="n">
        <f aca="false">EDATE(F83,-1)</f>
        <v>41090</v>
      </c>
      <c r="F83" s="20" t="n">
        <f aca="false">EDATE(G83,-1)</f>
        <v>41120</v>
      </c>
      <c r="G83" s="20" t="n">
        <f aca="false">EDATE(H83,-1)</f>
        <v>41151</v>
      </c>
      <c r="H83" s="20" t="n">
        <f aca="false">EDATE(E11,1)</f>
        <v>41182</v>
      </c>
      <c r="I83" s="80"/>
    </row>
    <row r="84" customFormat="false" ht="16.5" hidden="false" customHeight="true" outlineLevel="0" collapsed="false">
      <c r="B84" s="81" t="s">
        <v>7</v>
      </c>
      <c r="C84" s="82" t="n">
        <v>794030</v>
      </c>
      <c r="D84" s="82" t="n">
        <v>799942</v>
      </c>
      <c r="E84" s="82" t="n">
        <v>794477</v>
      </c>
      <c r="F84" s="82" t="n">
        <v>799804</v>
      </c>
      <c r="G84" s="82" t="n">
        <v>791512</v>
      </c>
      <c r="H84" s="82" t="n">
        <v>796839</v>
      </c>
      <c r="I84" s="80"/>
    </row>
    <row r="85" customFormat="false" ht="16.5" hidden="false" customHeight="true" outlineLevel="0" collapsed="false">
      <c r="B85" s="83" t="s">
        <v>8</v>
      </c>
      <c r="C85" s="84" t="n">
        <v>17296</v>
      </c>
      <c r="D85" s="84" t="n">
        <v>17333</v>
      </c>
      <c r="E85" s="84" t="n">
        <v>17454</v>
      </c>
      <c r="F85" s="84" t="n">
        <v>17565</v>
      </c>
      <c r="G85" s="84" t="n">
        <v>17475</v>
      </c>
      <c r="H85" s="84" t="n">
        <v>17573</v>
      </c>
      <c r="I85" s="80"/>
    </row>
    <row r="86" customFormat="false" ht="16.5" hidden="false" customHeight="true" outlineLevel="0" collapsed="false">
      <c r="B86" s="85" t="s">
        <v>9</v>
      </c>
      <c r="C86" s="86" t="n">
        <v>5373</v>
      </c>
      <c r="D86" s="86" t="n">
        <v>5430</v>
      </c>
      <c r="E86" s="86" t="n">
        <v>5452</v>
      </c>
      <c r="F86" s="86" t="n">
        <v>5540</v>
      </c>
      <c r="G86" s="86" t="n">
        <v>5636</v>
      </c>
      <c r="H86" s="86" t="n">
        <v>5703</v>
      </c>
      <c r="I86" s="80"/>
    </row>
    <row r="87" customFormat="false" ht="16.5" hidden="false" customHeight="true" outlineLevel="0" collapsed="false">
      <c r="B87" s="87" t="s">
        <v>12</v>
      </c>
      <c r="C87" s="88" t="n">
        <v>5284</v>
      </c>
      <c r="D87" s="88" t="n">
        <v>5299</v>
      </c>
      <c r="E87" s="88" t="n">
        <v>5267</v>
      </c>
      <c r="F87" s="88" t="n">
        <v>5245</v>
      </c>
      <c r="G87" s="88" t="n">
        <v>5250</v>
      </c>
      <c r="H87" s="88" t="n">
        <v>5246</v>
      </c>
      <c r="I87" s="80"/>
    </row>
    <row r="88" s="73" customFormat="true" ht="18" hidden="false" customHeight="false" outlineLevel="0" collapsed="false">
      <c r="B88" s="74" t="s">
        <v>13</v>
      </c>
      <c r="C88" s="89" t="n">
        <v>821983</v>
      </c>
      <c r="D88" s="89" t="n">
        <v>828004</v>
      </c>
      <c r="E88" s="89" t="n">
        <v>822650</v>
      </c>
      <c r="F88" s="89" t="n">
        <v>828154</v>
      </c>
      <c r="G88" s="89" t="n">
        <v>819873</v>
      </c>
      <c r="H88" s="89" t="n">
        <v>825361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41180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708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708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477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41153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33</v>
      </c>
      <c r="C140" s="113"/>
      <c r="D140" s="113"/>
      <c r="E140" s="113"/>
      <c r="F140" s="113"/>
      <c r="G140" s="114" t="s">
        <v>278</v>
      </c>
      <c r="H140" s="114"/>
      <c r="J140" s="115"/>
      <c r="K140" s="116"/>
    </row>
    <row r="141" customFormat="false" ht="17.25" hidden="false" customHeight="true" outlineLevel="0" collapsed="false">
      <c r="B141" s="49" t="s">
        <v>181</v>
      </c>
      <c r="C141" s="49"/>
      <c r="D141" s="49"/>
      <c r="E141" s="49"/>
      <c r="F141" s="49"/>
      <c r="G141" s="117" t="s">
        <v>279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s">
        <v>280</v>
      </c>
      <c r="H142" s="117"/>
      <c r="J142" s="115"/>
      <c r="K142" s="116"/>
    </row>
    <row r="143" customFormat="false" ht="17.25" hidden="false" customHeight="true" outlineLevel="0" collapsed="false">
      <c r="B143" s="49" t="s">
        <v>171</v>
      </c>
      <c r="C143" s="49"/>
      <c r="D143" s="49"/>
      <c r="E143" s="49"/>
      <c r="F143" s="49"/>
      <c r="G143" s="117" t="s">
        <v>281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s">
        <v>282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s">
        <v>283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s">
        <v>284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s">
        <v>285</v>
      </c>
      <c r="H147" s="117"/>
      <c r="J147" s="115"/>
      <c r="K147" s="116"/>
    </row>
    <row r="148" customFormat="false" ht="17.25" hidden="false" customHeight="true" outlineLevel="0" collapsed="false">
      <c r="B148" s="49" t="s">
        <v>286</v>
      </c>
      <c r="C148" s="49"/>
      <c r="D148" s="49"/>
      <c r="E148" s="49"/>
      <c r="F148" s="49"/>
      <c r="G148" s="117" t="s">
        <v>287</v>
      </c>
      <c r="H148" s="117"/>
      <c r="J148" s="115"/>
      <c r="K148" s="116"/>
    </row>
    <row r="149" customFormat="false" ht="18" hidden="false" customHeight="true" outlineLevel="0" collapsed="false">
      <c r="B149" s="103" t="s">
        <v>49</v>
      </c>
      <c r="C149" s="103"/>
      <c r="D149" s="103"/>
      <c r="E149" s="103"/>
      <c r="F149" s="103"/>
      <c r="G149" s="119" t="s">
        <v>288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167</v>
      </c>
      <c r="C154" s="113"/>
      <c r="D154" s="113"/>
      <c r="E154" s="113"/>
      <c r="F154" s="113"/>
      <c r="G154" s="114" t="s">
        <v>289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181</v>
      </c>
      <c r="C155" s="49"/>
      <c r="D155" s="49"/>
      <c r="E155" s="49"/>
      <c r="F155" s="49"/>
      <c r="G155" s="117" t="s">
        <v>290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171</v>
      </c>
      <c r="C156" s="49"/>
      <c r="D156" s="49"/>
      <c r="E156" s="49"/>
      <c r="F156" s="49"/>
      <c r="G156" s="117" t="s">
        <v>291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292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s">
        <v>293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s">
        <v>294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s">
        <v>295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286</v>
      </c>
      <c r="C161" s="49"/>
      <c r="D161" s="49"/>
      <c r="E161" s="49"/>
      <c r="F161" s="49"/>
      <c r="G161" s="117" t="s">
        <v>296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177</v>
      </c>
      <c r="C162" s="49"/>
      <c r="D162" s="49"/>
      <c r="E162" s="49"/>
      <c r="F162" s="49"/>
      <c r="G162" s="117" t="s">
        <v>297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203</v>
      </c>
      <c r="C163" s="103"/>
      <c r="D163" s="103"/>
      <c r="E163" s="103"/>
      <c r="F163" s="103"/>
      <c r="G163" s="119" t="s">
        <v>298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286</v>
      </c>
      <c r="C168" s="113"/>
      <c r="D168" s="113"/>
      <c r="E168" s="113"/>
      <c r="F168" s="113"/>
      <c r="G168" s="114" t="s">
        <v>299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161</v>
      </c>
      <c r="C169" s="49"/>
      <c r="D169" s="49"/>
      <c r="E169" s="49"/>
      <c r="F169" s="49"/>
      <c r="G169" s="117" t="s">
        <v>300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165</v>
      </c>
      <c r="C170" s="49"/>
      <c r="D170" s="49"/>
      <c r="E170" s="49"/>
      <c r="F170" s="49"/>
      <c r="G170" s="117" t="s">
        <v>301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277</v>
      </c>
      <c r="C171" s="49"/>
      <c r="D171" s="49"/>
      <c r="E171" s="49"/>
      <c r="F171" s="49"/>
      <c r="G171" s="117" t="s">
        <v>302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171</v>
      </c>
      <c r="C172" s="49"/>
      <c r="D172" s="49"/>
      <c r="E172" s="49"/>
      <c r="F172" s="49"/>
      <c r="G172" s="117" t="s">
        <v>303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167</v>
      </c>
      <c r="C173" s="49"/>
      <c r="D173" s="49"/>
      <c r="E173" s="49"/>
      <c r="F173" s="49"/>
      <c r="G173" s="117" t="s">
        <v>304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169</v>
      </c>
      <c r="C174" s="49"/>
      <c r="D174" s="49"/>
      <c r="E174" s="49"/>
      <c r="F174" s="49"/>
      <c r="G174" s="117" t="s">
        <v>305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173</v>
      </c>
      <c r="C175" s="49"/>
      <c r="D175" s="49"/>
      <c r="E175" s="49"/>
      <c r="F175" s="49"/>
      <c r="G175" s="117" t="s">
        <v>306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179</v>
      </c>
      <c r="C176" s="49"/>
      <c r="D176" s="49"/>
      <c r="E176" s="49"/>
      <c r="F176" s="49"/>
      <c r="G176" s="117" t="s">
        <v>307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177</v>
      </c>
      <c r="C177" s="103"/>
      <c r="D177" s="103"/>
      <c r="E177" s="103"/>
      <c r="F177" s="103"/>
      <c r="G177" s="119" t="s">
        <v>308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EDATE(Сентябрь2012!B3,1)</f>
        <v>41183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41183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41182</v>
      </c>
      <c r="F11" s="20" t="n">
        <f aca="false">EDATE(E11,1)</f>
        <v>41212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988316</v>
      </c>
      <c r="F12" s="25" t="n">
        <v>997138</v>
      </c>
      <c r="G12" s="26" t="n">
        <f aca="false">F12-E12</f>
        <v>8822</v>
      </c>
      <c r="H12" s="27" t="n">
        <f aca="false">F12/E12-1</f>
        <v>0.00892629482877938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34300</v>
      </c>
      <c r="F13" s="25" t="n">
        <v>34577</v>
      </c>
      <c r="G13" s="30" t="n">
        <f aca="false">F13-E13</f>
        <v>277</v>
      </c>
      <c r="H13" s="31" t="n">
        <f aca="false">F13/E13-1</f>
        <v>0.00807580174927103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11523</v>
      </c>
      <c r="F14" s="25" t="n">
        <v>11536</v>
      </c>
      <c r="G14" s="30" t="n">
        <f aca="false">F14-E14</f>
        <v>13</v>
      </c>
      <c r="H14" s="31" t="n">
        <f aca="false">F14/E14-1</f>
        <v>0.00112817842575708</v>
      </c>
      <c r="I14" s="42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2074</v>
      </c>
      <c r="F15" s="25" t="n">
        <v>2110</v>
      </c>
      <c r="G15" s="30" t="n">
        <v>36</v>
      </c>
      <c r="H15" s="31" t="n">
        <v>0.0173577627772421</v>
      </c>
      <c r="I15" s="42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9449</v>
      </c>
      <c r="F16" s="25" t="n">
        <v>9426</v>
      </c>
      <c r="G16" s="30" t="n">
        <v>-23</v>
      </c>
      <c r="H16" s="31" t="n">
        <v>-0.00243412001269971</v>
      </c>
      <c r="I16" s="42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17003</v>
      </c>
      <c r="F17" s="25" t="n">
        <v>16057</v>
      </c>
      <c r="G17" s="34" t="n">
        <f aca="false">F17-E17</f>
        <v>-946</v>
      </c>
      <c r="H17" s="35" t="n">
        <f aca="false">F17/E17-1</f>
        <v>-0.0556372404869729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1051142</v>
      </c>
      <c r="F18" s="39" t="n">
        <v>1059308</v>
      </c>
      <c r="G18" s="39" t="n">
        <f aca="false">F18-E18</f>
        <v>8166</v>
      </c>
      <c r="H18" s="40" t="n">
        <f aca="false">F18/E18-1</f>
        <v>0.00776869347814091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41182</v>
      </c>
      <c r="F22" s="20" t="n">
        <f aca="false">F11</f>
        <v>41212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796839</v>
      </c>
      <c r="F23" s="25" t="n">
        <v>804740</v>
      </c>
      <c r="G23" s="26" t="n">
        <f aca="false">F23-E23</f>
        <v>7901</v>
      </c>
      <c r="H23" s="27" t="n">
        <f aca="false">F23/E23-1</f>
        <v>0.00991542833621351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17573</v>
      </c>
      <c r="F24" s="25" t="n">
        <v>17648</v>
      </c>
      <c r="G24" s="30" t="n">
        <f aca="false">F24-E24</f>
        <v>75</v>
      </c>
      <c r="H24" s="31" t="n">
        <f aca="false">F24/E24-1</f>
        <v>0.00426791099982937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5703</v>
      </c>
      <c r="F25" s="25" t="n">
        <v>5781</v>
      </c>
      <c r="G25" s="30" t="n">
        <f aca="false">F25-E25</f>
        <v>78</v>
      </c>
      <c r="H25" s="31" t="n">
        <f aca="false">F25/E25-1</f>
        <v>0.0136770120988954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1996</v>
      </c>
      <c r="F26" s="25" t="n">
        <v>2024</v>
      </c>
      <c r="G26" s="136" t="n">
        <v>28</v>
      </c>
      <c r="H26" s="31" t="n">
        <v>0.0140280561122244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3707</v>
      </c>
      <c r="F27" s="25" t="n">
        <v>3757</v>
      </c>
      <c r="G27" s="136" t="n">
        <v>50</v>
      </c>
      <c r="H27" s="31" t="n">
        <v>0.0134879956838414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5246</v>
      </c>
      <c r="F28" s="25" t="n">
        <v>5247</v>
      </c>
      <c r="G28" s="34" t="n">
        <f aca="false">F28-E28</f>
        <v>1</v>
      </c>
      <c r="H28" s="35" t="n">
        <f aca="false">F28/E28-1</f>
        <v>0.000190621425848247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825361</v>
      </c>
      <c r="F29" s="39" t="n">
        <v>833416</v>
      </c>
      <c r="G29" s="39" t="n">
        <f aca="false">F29-E29</f>
        <v>8055</v>
      </c>
      <c r="H29" s="40" t="n">
        <f aca="false">F29/E29-1</f>
        <v>0.00975936590170856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41153</v>
      </c>
      <c r="F33" s="45" t="n">
        <f aca="false">EDATE(E33,1)</f>
        <v>41183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75666</v>
      </c>
      <c r="F34" s="48" t="n">
        <v>69932</v>
      </c>
      <c r="G34" s="26" t="n">
        <f aca="false">F34-E34</f>
        <v>-5734</v>
      </c>
      <c r="H34" s="27" t="n">
        <f aca="false">F34/E34-1</f>
        <v>-0.0757804033515714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1579</v>
      </c>
      <c r="F35" s="48" t="n">
        <v>1554</v>
      </c>
      <c r="G35" s="30" t="n">
        <f aca="false">F35-E35</f>
        <v>-25</v>
      </c>
      <c r="H35" s="31" t="n">
        <f aca="false">F35/E35-1</f>
        <v>-0.0158328055731476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700</v>
      </c>
      <c r="F36" s="48" t="n">
        <v>652</v>
      </c>
      <c r="G36" s="30" t="n">
        <f aca="false">F36-E36</f>
        <v>-48</v>
      </c>
      <c r="H36" s="31" t="n">
        <f aca="false">F36/E36-1</f>
        <v>-0.0685714285714286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173</v>
      </c>
      <c r="F37" s="48" t="n">
        <v>146</v>
      </c>
      <c r="G37" s="30" t="n">
        <v>-27</v>
      </c>
      <c r="H37" s="31" t="n">
        <v>-0.15606936416185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527</v>
      </c>
      <c r="F38" s="48" t="n">
        <v>506</v>
      </c>
      <c r="G38" s="30" t="n">
        <v>-21</v>
      </c>
      <c r="H38" s="31" t="n">
        <v>-0.0398481973434535</v>
      </c>
    </row>
    <row r="39" customFormat="false" ht="18" hidden="false" customHeight="true" outlineLevel="0" collapsed="false">
      <c r="B39" s="51" t="s">
        <v>12</v>
      </c>
      <c r="C39" s="51"/>
      <c r="D39" s="51"/>
      <c r="E39" s="52" t="n">
        <v>1031</v>
      </c>
      <c r="F39" s="48" t="n">
        <v>1190</v>
      </c>
      <c r="G39" s="34" t="n">
        <f aca="false">F39-E39</f>
        <v>159</v>
      </c>
      <c r="H39" s="35" t="n">
        <f aca="false">F39/E39-1</f>
        <v>0.154219204655674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78976</v>
      </c>
      <c r="F40" s="39" t="n">
        <v>73328</v>
      </c>
      <c r="G40" s="39" t="n">
        <f aca="false">F40-E40</f>
        <v>-5648</v>
      </c>
      <c r="H40" s="40" t="n">
        <f aca="false">F40/E40-1</f>
        <v>-0.071515397082658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f aca="false">EDATE(D83,-1)</f>
        <v>41059</v>
      </c>
      <c r="D83" s="20" t="n">
        <f aca="false">EDATE(E83,-1)</f>
        <v>41090</v>
      </c>
      <c r="E83" s="20" t="n">
        <f aca="false">EDATE(F83,-1)</f>
        <v>41120</v>
      </c>
      <c r="F83" s="20" t="n">
        <f aca="false">EDATE(G83,-1)</f>
        <v>41151</v>
      </c>
      <c r="G83" s="20" t="n">
        <f aca="false">EDATE(H83,-1)</f>
        <v>41182</v>
      </c>
      <c r="H83" s="20" t="n">
        <f aca="false">EDATE(E11,1)</f>
        <v>41212</v>
      </c>
      <c r="I83" s="80"/>
    </row>
    <row r="84" customFormat="false" ht="16.5" hidden="false" customHeight="true" outlineLevel="0" collapsed="false">
      <c r="B84" s="81" t="s">
        <v>7</v>
      </c>
      <c r="C84" s="82" t="n">
        <v>799942</v>
      </c>
      <c r="D84" s="82" t="n">
        <v>794477</v>
      </c>
      <c r="E84" s="82" t="n">
        <v>799804</v>
      </c>
      <c r="F84" s="82" t="n">
        <v>791512</v>
      </c>
      <c r="G84" s="82" t="n">
        <v>796839</v>
      </c>
      <c r="H84" s="82" t="n">
        <v>804740</v>
      </c>
      <c r="I84" s="80"/>
    </row>
    <row r="85" customFormat="false" ht="16.5" hidden="false" customHeight="true" outlineLevel="0" collapsed="false">
      <c r="B85" s="83" t="s">
        <v>8</v>
      </c>
      <c r="C85" s="84" t="n">
        <v>17333</v>
      </c>
      <c r="D85" s="84" t="n">
        <v>17454</v>
      </c>
      <c r="E85" s="84" t="n">
        <v>17565</v>
      </c>
      <c r="F85" s="84" t="n">
        <v>17475</v>
      </c>
      <c r="G85" s="84" t="n">
        <v>17573</v>
      </c>
      <c r="H85" s="84" t="n">
        <v>17648</v>
      </c>
      <c r="I85" s="80"/>
    </row>
    <row r="86" customFormat="false" ht="16.5" hidden="false" customHeight="true" outlineLevel="0" collapsed="false">
      <c r="B86" s="85" t="s">
        <v>9</v>
      </c>
      <c r="C86" s="86" t="n">
        <v>5430</v>
      </c>
      <c r="D86" s="86" t="n">
        <v>5452</v>
      </c>
      <c r="E86" s="86" t="n">
        <v>5540</v>
      </c>
      <c r="F86" s="86" t="n">
        <v>5636</v>
      </c>
      <c r="G86" s="86" t="n">
        <v>5703</v>
      </c>
      <c r="H86" s="86" t="n">
        <v>5781</v>
      </c>
      <c r="I86" s="80"/>
    </row>
    <row r="87" customFormat="false" ht="16.5" hidden="false" customHeight="true" outlineLevel="0" collapsed="false">
      <c r="B87" s="87" t="s">
        <v>12</v>
      </c>
      <c r="C87" s="88" t="n">
        <v>5299</v>
      </c>
      <c r="D87" s="88" t="n">
        <v>5267</v>
      </c>
      <c r="E87" s="88" t="n">
        <v>5245</v>
      </c>
      <c r="F87" s="88" t="n">
        <v>5250</v>
      </c>
      <c r="G87" s="88" t="n">
        <v>5246</v>
      </c>
      <c r="H87" s="88" t="n">
        <v>5247</v>
      </c>
      <c r="I87" s="80"/>
    </row>
    <row r="88" s="73" customFormat="true" ht="18" hidden="false" customHeight="false" outlineLevel="0" collapsed="false">
      <c r="B88" s="74" t="s">
        <v>13</v>
      </c>
      <c r="C88" s="89" t="n">
        <v>828004</v>
      </c>
      <c r="D88" s="89" t="n">
        <v>822650</v>
      </c>
      <c r="E88" s="89" t="n">
        <v>828154</v>
      </c>
      <c r="F88" s="89" t="n">
        <v>819873</v>
      </c>
      <c r="G88" s="89" t="n">
        <v>825361</v>
      </c>
      <c r="H88" s="89" t="n">
        <v>833416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41213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708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708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478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41183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33</v>
      </c>
      <c r="C140" s="113"/>
      <c r="D140" s="113"/>
      <c r="E140" s="113"/>
      <c r="F140" s="113"/>
      <c r="G140" s="114" t="s">
        <v>309</v>
      </c>
      <c r="H140" s="114"/>
      <c r="J140" s="115"/>
      <c r="K140" s="116"/>
    </row>
    <row r="141" customFormat="false" ht="17.25" hidden="false" customHeight="true" outlineLevel="0" collapsed="false">
      <c r="B141" s="49" t="s">
        <v>181</v>
      </c>
      <c r="C141" s="49"/>
      <c r="D141" s="49"/>
      <c r="E141" s="49"/>
      <c r="F141" s="49"/>
      <c r="G141" s="117" t="s">
        <v>310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s">
        <v>311</v>
      </c>
      <c r="H142" s="117"/>
      <c r="J142" s="115"/>
      <c r="K142" s="116"/>
    </row>
    <row r="143" customFormat="false" ht="17.25" hidden="false" customHeight="true" outlineLevel="0" collapsed="false">
      <c r="B143" s="49" t="s">
        <v>312</v>
      </c>
      <c r="C143" s="49"/>
      <c r="D143" s="49"/>
      <c r="E143" s="49"/>
      <c r="F143" s="49"/>
      <c r="G143" s="117" t="s">
        <v>313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s">
        <v>314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s">
        <v>315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s">
        <v>316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s">
        <v>317</v>
      </c>
      <c r="H147" s="117"/>
      <c r="J147" s="115"/>
      <c r="K147" s="116"/>
    </row>
    <row r="148" customFormat="false" ht="17.25" hidden="false" customHeight="true" outlineLevel="0" collapsed="false">
      <c r="B148" s="49" t="s">
        <v>49</v>
      </c>
      <c r="C148" s="49"/>
      <c r="D148" s="49"/>
      <c r="E148" s="49"/>
      <c r="F148" s="49"/>
      <c r="G148" s="117" t="s">
        <v>318</v>
      </c>
      <c r="H148" s="117"/>
      <c r="J148" s="115"/>
      <c r="K148" s="116"/>
    </row>
    <row r="149" customFormat="false" ht="18" hidden="false" customHeight="true" outlineLevel="0" collapsed="false">
      <c r="B149" s="103" t="s">
        <v>191</v>
      </c>
      <c r="C149" s="103"/>
      <c r="D149" s="103"/>
      <c r="E149" s="103"/>
      <c r="F149" s="103"/>
      <c r="G149" s="119" t="s">
        <v>319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167</v>
      </c>
      <c r="C154" s="113"/>
      <c r="D154" s="113"/>
      <c r="E154" s="113"/>
      <c r="F154" s="113"/>
      <c r="G154" s="114" t="s">
        <v>320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181</v>
      </c>
      <c r="C155" s="49"/>
      <c r="D155" s="49"/>
      <c r="E155" s="49"/>
      <c r="F155" s="49"/>
      <c r="G155" s="117" t="s">
        <v>321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312</v>
      </c>
      <c r="C156" s="49"/>
      <c r="D156" s="49"/>
      <c r="E156" s="49"/>
      <c r="F156" s="49"/>
      <c r="G156" s="117" t="s">
        <v>322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323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s">
        <v>324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s">
        <v>325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s">
        <v>326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177</v>
      </c>
      <c r="C161" s="49"/>
      <c r="D161" s="49"/>
      <c r="E161" s="49"/>
      <c r="F161" s="49"/>
      <c r="G161" s="117" t="s">
        <v>327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203</v>
      </c>
      <c r="C162" s="49"/>
      <c r="D162" s="49"/>
      <c r="E162" s="49"/>
      <c r="F162" s="49"/>
      <c r="G162" s="117" t="s">
        <v>328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49</v>
      </c>
      <c r="C163" s="103"/>
      <c r="D163" s="103"/>
      <c r="E163" s="103"/>
      <c r="F163" s="103"/>
      <c r="G163" s="119" t="s">
        <v>329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286</v>
      </c>
      <c r="C168" s="113"/>
      <c r="D168" s="113"/>
      <c r="E168" s="113"/>
      <c r="F168" s="113"/>
      <c r="G168" s="114" t="s">
        <v>330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161</v>
      </c>
      <c r="C169" s="49"/>
      <c r="D169" s="49"/>
      <c r="E169" s="49"/>
      <c r="F169" s="49"/>
      <c r="G169" s="117" t="s">
        <v>331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165</v>
      </c>
      <c r="C170" s="49"/>
      <c r="D170" s="49"/>
      <c r="E170" s="49"/>
      <c r="F170" s="49"/>
      <c r="G170" s="117" t="s">
        <v>332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312</v>
      </c>
      <c r="C171" s="49"/>
      <c r="D171" s="49"/>
      <c r="E171" s="49"/>
      <c r="F171" s="49"/>
      <c r="G171" s="117" t="s">
        <v>333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169</v>
      </c>
      <c r="C172" s="49"/>
      <c r="D172" s="49"/>
      <c r="E172" s="49"/>
      <c r="F172" s="49"/>
      <c r="G172" s="117" t="s">
        <v>334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167</v>
      </c>
      <c r="C173" s="49"/>
      <c r="D173" s="49"/>
      <c r="E173" s="49"/>
      <c r="F173" s="49"/>
      <c r="G173" s="117" t="s">
        <v>335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277</v>
      </c>
      <c r="C174" s="49"/>
      <c r="D174" s="49"/>
      <c r="E174" s="49"/>
      <c r="F174" s="49"/>
      <c r="G174" s="117" t="s">
        <v>336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173</v>
      </c>
      <c r="C175" s="49"/>
      <c r="D175" s="49"/>
      <c r="E175" s="49"/>
      <c r="F175" s="49"/>
      <c r="G175" s="117" t="s">
        <v>337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175</v>
      </c>
      <c r="C176" s="49"/>
      <c r="D176" s="49"/>
      <c r="E176" s="49"/>
      <c r="F176" s="49"/>
      <c r="G176" s="117" t="s">
        <v>338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179</v>
      </c>
      <c r="C177" s="103"/>
      <c r="D177" s="103"/>
      <c r="E177" s="103"/>
      <c r="F177" s="103"/>
      <c r="G177" s="119" t="s">
        <v>339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false" showOutlineSymbols="true" defaultGridColor="true" view="normal" topLeftCell="A31" colorId="64" zoomScale="100" zoomScaleNormal="100" zoomScalePageLayoutView="100" workbookViewId="0">
      <selection pane="topLeft" activeCell="G12" activeCellId="0" sqref="G12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3.86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EDATE(Октябрь2012!B3,1)</f>
        <v>41214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41214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41213</v>
      </c>
      <c r="F11" s="20" t="n">
        <f aca="false">EDATE(E11,1)</f>
        <v>41243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997138</v>
      </c>
      <c r="F12" s="25" t="n">
        <v>1011071</v>
      </c>
      <c r="G12" s="26" t="n">
        <f aca="false">F12-E12</f>
        <v>13933</v>
      </c>
      <c r="H12" s="27" t="n">
        <f aca="false">F12/E12-1</f>
        <v>0.0139729906993817</v>
      </c>
      <c r="I12" s="42"/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34577</v>
      </c>
      <c r="F13" s="25" t="n">
        <v>34805</v>
      </c>
      <c r="G13" s="30" t="n">
        <f aca="false">F13-E13</f>
        <v>228</v>
      </c>
      <c r="H13" s="31" t="n">
        <f aca="false">F13/E13-1</f>
        <v>0.00659397865633227</v>
      </c>
      <c r="I13" s="42"/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11536</v>
      </c>
      <c r="F14" s="25" t="n">
        <v>12071</v>
      </c>
      <c r="G14" s="30" t="n">
        <f aca="false">F14-E14</f>
        <v>535</v>
      </c>
      <c r="H14" s="31" t="n">
        <f aca="false">F14/E14-1</f>
        <v>0.046376560332871</v>
      </c>
      <c r="I14" s="31"/>
      <c r="K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2110</v>
      </c>
      <c r="F15" s="25" t="n">
        <v>2138</v>
      </c>
      <c r="G15" s="30" t="n">
        <v>28</v>
      </c>
      <c r="H15" s="31" t="n">
        <v>0.0132701421800947</v>
      </c>
      <c r="I15" s="31"/>
      <c r="K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9426</v>
      </c>
      <c r="F16" s="25" t="n">
        <v>9933</v>
      </c>
      <c r="G16" s="30" t="n">
        <v>507</v>
      </c>
      <c r="H16" s="31" t="n">
        <v>0.0537873965626989</v>
      </c>
      <c r="I16" s="31"/>
      <c r="K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16057</v>
      </c>
      <c r="F17" s="25" t="n">
        <v>17182</v>
      </c>
      <c r="G17" s="34" t="n">
        <f aca="false">F17-E17</f>
        <v>1125</v>
      </c>
      <c r="H17" s="35" t="n">
        <f aca="false">F17/E17-1</f>
        <v>0.0700629009154885</v>
      </c>
      <c r="I17" s="42"/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1059308</v>
      </c>
      <c r="F18" s="39" t="n">
        <v>1075129</v>
      </c>
      <c r="G18" s="39" t="n">
        <f aca="false">F18-E18</f>
        <v>15821</v>
      </c>
      <c r="H18" s="40" t="n">
        <f aca="false">F18/E18-1</f>
        <v>0.0149352218618193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41213</v>
      </c>
      <c r="F22" s="20" t="n">
        <f aca="false">F11</f>
        <v>41243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804740</v>
      </c>
      <c r="F23" s="25" t="n">
        <v>815485</v>
      </c>
      <c r="G23" s="26" t="n">
        <f aca="false">F23-E23</f>
        <v>10745</v>
      </c>
      <c r="H23" s="27" t="n">
        <f aca="false">F23/E23-1</f>
        <v>0.0133521385789199</v>
      </c>
      <c r="I23" s="42"/>
      <c r="K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17648</v>
      </c>
      <c r="F24" s="25" t="n">
        <v>17752</v>
      </c>
      <c r="G24" s="30" t="n">
        <f aca="false">F24-E24</f>
        <v>104</v>
      </c>
      <c r="H24" s="31" t="n">
        <f aca="false">F24/E24-1</f>
        <v>0.00589301903898454</v>
      </c>
      <c r="I24" s="42"/>
      <c r="K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5781</v>
      </c>
      <c r="F25" s="25" t="n">
        <v>5845</v>
      </c>
      <c r="G25" s="30" t="n">
        <f aca="false">F25-E25</f>
        <v>64</v>
      </c>
      <c r="H25" s="31" t="n">
        <f aca="false">F25/E25-1</f>
        <v>0.0110707490053623</v>
      </c>
      <c r="I25" s="42"/>
      <c r="K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2024</v>
      </c>
      <c r="F26" s="25" t="n">
        <v>2051</v>
      </c>
      <c r="G26" s="136" t="n">
        <v>27</v>
      </c>
      <c r="H26" s="31" t="n">
        <v>0.0133399209486167</v>
      </c>
      <c r="I26" s="42"/>
      <c r="K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3757</v>
      </c>
      <c r="F27" s="25" t="n">
        <v>2051</v>
      </c>
      <c r="G27" s="136" t="n">
        <v>-1706</v>
      </c>
      <c r="H27" s="31" t="n">
        <v>-0.454085706680862</v>
      </c>
      <c r="I27" s="42"/>
      <c r="K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5247</v>
      </c>
      <c r="F28" s="25" t="n">
        <v>5266</v>
      </c>
      <c r="G28" s="34" t="n">
        <f aca="false">F28-E28</f>
        <v>19</v>
      </c>
      <c r="H28" s="35" t="n">
        <f aca="false">F28/E28-1</f>
        <v>0.00362111682866395</v>
      </c>
      <c r="I28" s="42"/>
      <c r="K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833416</v>
      </c>
      <c r="F29" s="39" t="n">
        <v>844348</v>
      </c>
      <c r="G29" s="39" t="n">
        <f aca="false">F29-E29</f>
        <v>10932</v>
      </c>
      <c r="H29" s="40" t="n">
        <f aca="false">F29/E29-1</f>
        <v>0.0131170987838007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41183</v>
      </c>
      <c r="F33" s="45" t="n">
        <f aca="false">EDATE(E33,1)</f>
        <v>41214</v>
      </c>
      <c r="G33" s="46" t="s">
        <v>5</v>
      </c>
      <c r="H33" s="46" t="s">
        <v>6</v>
      </c>
    </row>
    <row r="34" customFormat="false" ht="17.25" hidden="false" customHeight="true" outlineLevel="0" collapsed="false">
      <c r="B34" s="47" t="s">
        <v>7</v>
      </c>
      <c r="C34" s="47"/>
      <c r="D34" s="47"/>
      <c r="E34" s="48" t="n">
        <v>69932</v>
      </c>
      <c r="F34" s="48" t="n">
        <v>68887</v>
      </c>
      <c r="G34" s="26" t="n">
        <f aca="false">F34-E34</f>
        <v>-1045</v>
      </c>
      <c r="H34" s="27" t="n">
        <f aca="false">F34/E34-1</f>
        <v>-0.014943087570783</v>
      </c>
    </row>
    <row r="35" customFormat="false" ht="17.25" hidden="false" customHeight="true" outlineLevel="0" collapsed="false">
      <c r="B35" s="49" t="s">
        <v>8</v>
      </c>
      <c r="C35" s="49"/>
      <c r="D35" s="49"/>
      <c r="E35" s="50" t="n">
        <v>1554</v>
      </c>
      <c r="F35" s="48" t="n">
        <v>1463</v>
      </c>
      <c r="G35" s="30" t="n">
        <f aca="false">F35-E35</f>
        <v>-91</v>
      </c>
      <c r="H35" s="31" t="n">
        <f aca="false">F35/E35-1</f>
        <v>-0.0585585585585585</v>
      </c>
    </row>
    <row r="36" customFormat="false" ht="17.25" hidden="false" customHeight="true" outlineLevel="0" collapsed="false">
      <c r="B36" s="49" t="s">
        <v>9</v>
      </c>
      <c r="C36" s="49"/>
      <c r="D36" s="49"/>
      <c r="E36" s="50" t="n">
        <v>652</v>
      </c>
      <c r="F36" s="48" t="n">
        <v>643</v>
      </c>
      <c r="G36" s="30" t="n">
        <f aca="false">F36-E36</f>
        <v>-9</v>
      </c>
      <c r="H36" s="31" t="n">
        <f aca="false">F36/E36-1</f>
        <v>-0.0138036809815951</v>
      </c>
    </row>
    <row r="37" customFormat="false" ht="17.25" hidden="false" customHeight="true" outlineLevel="0" collapsed="false">
      <c r="B37" s="32" t="s">
        <v>10</v>
      </c>
      <c r="C37" s="32"/>
      <c r="D37" s="32"/>
      <c r="E37" s="25" t="n">
        <v>146</v>
      </c>
      <c r="F37" s="48" t="n">
        <v>151</v>
      </c>
      <c r="G37" s="30" t="n">
        <v>5</v>
      </c>
      <c r="H37" s="31" t="n">
        <v>0.0342465753424657</v>
      </c>
    </row>
    <row r="38" customFormat="false" ht="17.25" hidden="false" customHeight="true" outlineLevel="0" collapsed="false">
      <c r="B38" s="133" t="s">
        <v>11</v>
      </c>
      <c r="C38" s="133"/>
      <c r="D38" s="133"/>
      <c r="E38" s="25" t="n">
        <v>506</v>
      </c>
      <c r="F38" s="48" t="n">
        <v>492</v>
      </c>
      <c r="G38" s="30" t="n">
        <v>-14</v>
      </c>
      <c r="H38" s="31" t="n">
        <v>-0.0276679841897233</v>
      </c>
    </row>
    <row r="39" customFormat="false" ht="18" hidden="false" customHeight="true" outlineLevel="0" collapsed="false">
      <c r="B39" s="51" t="s">
        <v>12</v>
      </c>
      <c r="C39" s="51"/>
      <c r="D39" s="51"/>
      <c r="E39" s="48" t="n">
        <v>1190</v>
      </c>
      <c r="F39" s="48" t="n">
        <v>1084</v>
      </c>
      <c r="G39" s="34" t="n">
        <f aca="false">F39-E39</f>
        <v>-106</v>
      </c>
      <c r="H39" s="35" t="n">
        <f aca="false">F39/E39-1</f>
        <v>-0.0890756302521009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73328</v>
      </c>
      <c r="F40" s="39" t="n">
        <v>72077</v>
      </c>
      <c r="G40" s="39" t="n">
        <f aca="false">F40-E40</f>
        <v>-1251</v>
      </c>
      <c r="H40" s="40" t="n">
        <f aca="false">F40/E40-1</f>
        <v>-0.0170603316604844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customFormat="false" ht="15.75" hidden="false" customHeight="true" outlineLevel="0" collapsed="false">
      <c r="B49" s="44" t="s">
        <v>4</v>
      </c>
      <c r="C49" s="44"/>
      <c r="D49" s="44"/>
      <c r="E49" s="20" t="n">
        <v>39813</v>
      </c>
      <c r="F49" s="20" t="n">
        <v>40178</v>
      </c>
      <c r="G49" s="20" t="n">
        <v>40543</v>
      </c>
      <c r="H49" s="20" t="n">
        <v>40908</v>
      </c>
    </row>
    <row r="50" customFormat="false" ht="17.25" hidden="false" customHeight="false" outlineLevel="0" collapsed="false">
      <c r="B50" s="65" t="s">
        <v>7</v>
      </c>
      <c r="C50" s="65"/>
      <c r="D50" s="65"/>
      <c r="E50" s="66" t="n">
        <v>559320</v>
      </c>
      <c r="F50" s="66" t="n">
        <v>671475</v>
      </c>
      <c r="G50" s="66" t="n">
        <v>714295</v>
      </c>
      <c r="H50" s="66" t="n">
        <v>772175</v>
      </c>
    </row>
    <row r="51" customFormat="false" ht="17.25" hidden="false" customHeight="false" outlineLevel="0" collapsed="false">
      <c r="B51" s="67" t="s">
        <v>8</v>
      </c>
      <c r="C51" s="67"/>
      <c r="D51" s="67"/>
      <c r="E51" s="68" t="n">
        <v>14748</v>
      </c>
      <c r="F51" s="68" t="n">
        <v>16364</v>
      </c>
      <c r="G51" s="68" t="n">
        <v>17170</v>
      </c>
      <c r="H51" s="68" t="n">
        <v>16850</v>
      </c>
    </row>
    <row r="52" customFormat="false" ht="17.25" hidden="false" customHeight="false" outlineLevel="0" collapsed="false">
      <c r="B52" s="69" t="s">
        <v>9</v>
      </c>
      <c r="C52" s="69"/>
      <c r="D52" s="69"/>
      <c r="E52" s="70" t="n">
        <v>3097</v>
      </c>
      <c r="F52" s="70" t="n">
        <v>3851</v>
      </c>
      <c r="G52" s="70" t="n">
        <v>4295</v>
      </c>
      <c r="H52" s="70" t="n">
        <v>5058</v>
      </c>
    </row>
    <row r="53" customFormat="false" ht="18" hidden="false" customHeight="true" outlineLevel="0" collapsed="false">
      <c r="B53" s="71" t="s">
        <v>12</v>
      </c>
      <c r="C53" s="71"/>
      <c r="D53" s="71"/>
      <c r="E53" s="72" t="n">
        <v>4512</v>
      </c>
      <c r="F53" s="72" t="n">
        <v>4717</v>
      </c>
      <c r="G53" s="72" t="n">
        <v>5348</v>
      </c>
      <c r="H53" s="72" t="n">
        <v>5242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581677</v>
      </c>
      <c r="F54" s="75" t="n">
        <v>696407</v>
      </c>
      <c r="G54" s="75" t="n">
        <v>741108</v>
      </c>
      <c r="H54" s="75" t="n">
        <v>799325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f aca="false">EDATE(D83,-1)</f>
        <v>41090</v>
      </c>
      <c r="D83" s="20" t="n">
        <f aca="false">EDATE(E83,-1)</f>
        <v>41120</v>
      </c>
      <c r="E83" s="20" t="n">
        <f aca="false">EDATE(F83,-1)</f>
        <v>41151</v>
      </c>
      <c r="F83" s="20" t="n">
        <f aca="false">EDATE(G83,-1)</f>
        <v>41182</v>
      </c>
      <c r="G83" s="20" t="n">
        <f aca="false">EDATE(H83,-1)</f>
        <v>41212</v>
      </c>
      <c r="H83" s="20" t="n">
        <f aca="false">EDATE(E11,1)</f>
        <v>41243</v>
      </c>
      <c r="I83" s="80"/>
    </row>
    <row r="84" customFormat="false" ht="16.5" hidden="false" customHeight="true" outlineLevel="0" collapsed="false">
      <c r="B84" s="81" t="s">
        <v>7</v>
      </c>
      <c r="C84" s="82" t="n">
        <v>794477</v>
      </c>
      <c r="D84" s="82" t="n">
        <v>799804</v>
      </c>
      <c r="E84" s="82" t="n">
        <v>791512</v>
      </c>
      <c r="F84" s="82" t="n">
        <v>796839</v>
      </c>
      <c r="G84" s="82" t="n">
        <v>804740</v>
      </c>
      <c r="H84" s="82" t="n">
        <v>815485</v>
      </c>
      <c r="I84" s="80"/>
    </row>
    <row r="85" customFormat="false" ht="16.5" hidden="false" customHeight="true" outlineLevel="0" collapsed="false">
      <c r="B85" s="83" t="s">
        <v>8</v>
      </c>
      <c r="C85" s="84" t="n">
        <v>17454</v>
      </c>
      <c r="D85" s="84" t="n">
        <v>17565</v>
      </c>
      <c r="E85" s="84" t="n">
        <v>17475</v>
      </c>
      <c r="F85" s="84" t="n">
        <v>17573</v>
      </c>
      <c r="G85" s="84" t="n">
        <v>17648</v>
      </c>
      <c r="H85" s="84" t="n">
        <v>17752</v>
      </c>
      <c r="I85" s="80"/>
    </row>
    <row r="86" customFormat="false" ht="16.5" hidden="false" customHeight="true" outlineLevel="0" collapsed="false">
      <c r="B86" s="85" t="s">
        <v>9</v>
      </c>
      <c r="C86" s="86" t="n">
        <v>5452</v>
      </c>
      <c r="D86" s="86" t="n">
        <v>5540</v>
      </c>
      <c r="E86" s="86" t="n">
        <v>5636</v>
      </c>
      <c r="F86" s="86" t="n">
        <v>5703</v>
      </c>
      <c r="G86" s="86" t="n">
        <v>5781</v>
      </c>
      <c r="H86" s="86" t="n">
        <v>5845</v>
      </c>
      <c r="I86" s="80"/>
    </row>
    <row r="87" customFormat="false" ht="16.5" hidden="false" customHeight="true" outlineLevel="0" collapsed="false">
      <c r="B87" s="87" t="s">
        <v>12</v>
      </c>
      <c r="C87" s="88" t="n">
        <v>5267</v>
      </c>
      <c r="D87" s="88" t="n">
        <v>5245</v>
      </c>
      <c r="E87" s="88" t="n">
        <v>5250</v>
      </c>
      <c r="F87" s="88" t="n">
        <v>5246</v>
      </c>
      <c r="G87" s="88" t="n">
        <v>5247</v>
      </c>
      <c r="H87" s="88" t="n">
        <v>5266</v>
      </c>
      <c r="I87" s="80"/>
    </row>
    <row r="88" s="73" customFormat="true" ht="18" hidden="false" customHeight="false" outlineLevel="0" collapsed="false">
      <c r="B88" s="74" t="s">
        <v>13</v>
      </c>
      <c r="C88" s="89" t="n">
        <v>822650</v>
      </c>
      <c r="D88" s="89" t="n">
        <v>828154</v>
      </c>
      <c r="E88" s="89" t="n">
        <v>819873</v>
      </c>
      <c r="F88" s="89" t="n">
        <v>825361</v>
      </c>
      <c r="G88" s="89" t="n">
        <v>833416</v>
      </c>
      <c r="H88" s="89" t="n">
        <v>844348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41243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710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710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475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41214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33</v>
      </c>
      <c r="C140" s="113"/>
      <c r="D140" s="113"/>
      <c r="E140" s="113"/>
      <c r="F140" s="113"/>
      <c r="G140" s="114" t="s">
        <v>340</v>
      </c>
      <c r="H140" s="114"/>
      <c r="J140" s="115"/>
      <c r="K140" s="116"/>
    </row>
    <row r="141" customFormat="false" ht="17.25" hidden="false" customHeight="true" outlineLevel="0" collapsed="false">
      <c r="B141" s="49" t="s">
        <v>181</v>
      </c>
      <c r="C141" s="49"/>
      <c r="D141" s="49"/>
      <c r="E141" s="49"/>
      <c r="F141" s="49"/>
      <c r="G141" s="117" t="s">
        <v>341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s">
        <v>342</v>
      </c>
      <c r="H142" s="117"/>
      <c r="J142" s="115"/>
      <c r="K142" s="116"/>
    </row>
    <row r="143" customFormat="false" ht="17.25" hidden="false" customHeight="true" outlineLevel="0" collapsed="false">
      <c r="B143" s="49" t="s">
        <v>312</v>
      </c>
      <c r="C143" s="49"/>
      <c r="D143" s="49"/>
      <c r="E143" s="49"/>
      <c r="F143" s="49"/>
      <c r="G143" s="117" t="s">
        <v>343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s">
        <v>344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s">
        <v>345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s">
        <v>346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s">
        <v>347</v>
      </c>
      <c r="H147" s="117"/>
      <c r="J147" s="115"/>
      <c r="K147" s="116"/>
    </row>
    <row r="148" customFormat="false" ht="17.25" hidden="false" customHeight="true" outlineLevel="0" collapsed="false">
      <c r="B148" s="49" t="s">
        <v>49</v>
      </c>
      <c r="C148" s="49"/>
      <c r="D148" s="49"/>
      <c r="E148" s="49"/>
      <c r="F148" s="49"/>
      <c r="G148" s="117" t="s">
        <v>348</v>
      </c>
      <c r="H148" s="117"/>
      <c r="J148" s="115"/>
      <c r="K148" s="116"/>
    </row>
    <row r="149" customFormat="false" ht="18" hidden="false" customHeight="true" outlineLevel="0" collapsed="false">
      <c r="B149" s="103" t="s">
        <v>191</v>
      </c>
      <c r="C149" s="103"/>
      <c r="D149" s="103"/>
      <c r="E149" s="103"/>
      <c r="F149" s="103"/>
      <c r="G149" s="119" t="s">
        <v>349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181</v>
      </c>
      <c r="C154" s="113"/>
      <c r="D154" s="113"/>
      <c r="E154" s="113"/>
      <c r="F154" s="113"/>
      <c r="G154" s="114" t="s">
        <v>350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167</v>
      </c>
      <c r="C155" s="49"/>
      <c r="D155" s="49"/>
      <c r="E155" s="49"/>
      <c r="F155" s="49"/>
      <c r="G155" s="117" t="s">
        <v>351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312</v>
      </c>
      <c r="C156" s="49"/>
      <c r="D156" s="49"/>
      <c r="E156" s="49"/>
      <c r="F156" s="49"/>
      <c r="G156" s="117" t="s">
        <v>352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s">
        <v>353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s">
        <v>354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s">
        <v>355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s">
        <v>356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177</v>
      </c>
      <c r="C161" s="49"/>
      <c r="D161" s="49"/>
      <c r="E161" s="49"/>
      <c r="F161" s="49"/>
      <c r="G161" s="117" t="s">
        <v>357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203</v>
      </c>
      <c r="C162" s="49"/>
      <c r="D162" s="49"/>
      <c r="E162" s="49"/>
      <c r="F162" s="49"/>
      <c r="G162" s="117" t="s">
        <v>358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49</v>
      </c>
      <c r="C163" s="103"/>
      <c r="D163" s="103"/>
      <c r="E163" s="103"/>
      <c r="F163" s="103"/>
      <c r="G163" s="119" t="s">
        <v>359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286</v>
      </c>
      <c r="C168" s="113"/>
      <c r="D168" s="113"/>
      <c r="E168" s="113"/>
      <c r="F168" s="113"/>
      <c r="G168" s="114" t="s">
        <v>360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165</v>
      </c>
      <c r="C169" s="49"/>
      <c r="D169" s="49"/>
      <c r="E169" s="49"/>
      <c r="F169" s="49"/>
      <c r="G169" s="117" t="s">
        <v>361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161</v>
      </c>
      <c r="C170" s="49"/>
      <c r="D170" s="49"/>
      <c r="E170" s="49"/>
      <c r="F170" s="49"/>
      <c r="G170" s="117" t="s">
        <v>362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312</v>
      </c>
      <c r="C171" s="49"/>
      <c r="D171" s="49"/>
      <c r="E171" s="49"/>
      <c r="F171" s="49"/>
      <c r="G171" s="117" t="s">
        <v>363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167</v>
      </c>
      <c r="C172" s="49"/>
      <c r="D172" s="49"/>
      <c r="E172" s="49"/>
      <c r="F172" s="49"/>
      <c r="G172" s="117" t="s">
        <v>364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169</v>
      </c>
      <c r="C173" s="49"/>
      <c r="D173" s="49"/>
      <c r="E173" s="49"/>
      <c r="F173" s="49"/>
      <c r="G173" s="117" t="s">
        <v>365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173</v>
      </c>
      <c r="C174" s="49"/>
      <c r="D174" s="49"/>
      <c r="E174" s="49"/>
      <c r="F174" s="49"/>
      <c r="G174" s="117" t="s">
        <v>366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175</v>
      </c>
      <c r="C175" s="49"/>
      <c r="D175" s="49"/>
      <c r="E175" s="49"/>
      <c r="F175" s="49"/>
      <c r="G175" s="117" t="s">
        <v>367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179</v>
      </c>
      <c r="C176" s="49"/>
      <c r="D176" s="49"/>
      <c r="E176" s="49"/>
      <c r="F176" s="49"/>
      <c r="G176" s="117" t="s">
        <v>368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277</v>
      </c>
      <c r="C177" s="103"/>
      <c r="D177" s="103"/>
      <c r="E177" s="103"/>
      <c r="F177" s="103"/>
      <c r="G177" s="119" t="s">
        <v>369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L179"/>
  <sheetViews>
    <sheetView showFormulas="false" showGridLines="true" showRowColHeaders="true" showZeros="true" rightToLeft="false" tabSelected="true" showOutlineSymbols="true" defaultGridColor="true" view="normal" topLeftCell="E30" colorId="64" zoomScale="100" zoomScaleNormal="100" zoomScalePageLayoutView="100" workbookViewId="0">
      <selection pane="topLeft" activeCell="I46" activeCellId="0" sqref="I46"/>
    </sheetView>
  </sheetViews>
  <sheetFormatPr defaultColWidth="9.15625" defaultRowHeight="13.5" zeroHeight="false" outlineLevelRow="0" outlineLevelCol="0"/>
  <cols>
    <col collapsed="false" customWidth="true" hidden="false" outlineLevel="0" max="1" min="1" style="1" width="3.42"/>
    <col collapsed="false" customWidth="true" hidden="false" outlineLevel="0" max="2" min="2" style="1" width="46.71"/>
    <col collapsed="false" customWidth="true" hidden="false" outlineLevel="0" max="8" min="3" style="1" width="18.42"/>
    <col collapsed="false" customWidth="true" hidden="false" outlineLevel="0" max="9" min="9" style="2" width="19.42"/>
    <col collapsed="false" customWidth="false" hidden="false" outlineLevel="0" max="10" min="10" style="1" width="9.14"/>
    <col collapsed="false" customWidth="true" hidden="false" outlineLevel="0" max="11" min="11" style="1" width="29.29"/>
    <col collapsed="false" customWidth="true" hidden="false" outlineLevel="0" max="12" min="12" style="1" width="14.86"/>
    <col collapsed="false" customWidth="false" hidden="false" outlineLevel="0" max="13" min="13" style="1" width="9.14"/>
    <col collapsed="false" customWidth="true" hidden="false" outlineLevel="0" max="14" min="14" style="1" width="23.42"/>
    <col collapsed="false" customWidth="false" hidden="false" outlineLevel="0" max="1024" min="15" style="1" width="9.14"/>
  </cols>
  <sheetData>
    <row r="2" s="3" customFormat="true" ht="20.25" hidden="false" customHeight="false" outlineLevel="0" collapsed="false">
      <c r="B2" s="4" t="s">
        <v>0</v>
      </c>
      <c r="C2" s="4"/>
      <c r="D2" s="4"/>
      <c r="E2" s="4"/>
      <c r="F2" s="4"/>
      <c r="G2" s="4"/>
      <c r="H2" s="4"/>
      <c r="I2" s="5"/>
    </row>
    <row r="3" s="3" customFormat="true" ht="21" hidden="false" customHeight="false" outlineLevel="0" collapsed="false">
      <c r="B3" s="6" t="n">
        <f aca="false">EDATE(Ноябрь2012!B3,1)</f>
        <v>41244</v>
      </c>
      <c r="C3" s="6"/>
      <c r="D3" s="6"/>
      <c r="E3" s="6"/>
      <c r="F3" s="6"/>
      <c r="G3" s="6"/>
      <c r="H3" s="6"/>
      <c r="I3" s="5"/>
    </row>
    <row r="4" s="3" customFormat="true" ht="18" hidden="false" customHeight="false" outlineLevel="0" collapsed="false">
      <c r="I4" s="5"/>
    </row>
    <row r="5" s="3" customFormat="true" ht="17.25" hidden="false" customHeight="false" outlineLevel="0" collapsed="false">
      <c r="B5" s="7"/>
      <c r="C5" s="7"/>
      <c r="D5" s="7"/>
      <c r="E5" s="7"/>
      <c r="F5" s="7"/>
      <c r="G5" s="7"/>
      <c r="H5" s="7"/>
      <c r="I5" s="5"/>
    </row>
    <row r="6" s="3" customFormat="true" ht="17.25" hidden="false" customHeight="false" outlineLevel="0" collapsed="false">
      <c r="B6" s="8" t="s">
        <v>1</v>
      </c>
      <c r="C6" s="9" t="n">
        <f aca="false">B3</f>
        <v>41244</v>
      </c>
      <c r="D6" s="7"/>
      <c r="E6" s="7"/>
      <c r="F6" s="7"/>
      <c r="G6" s="7"/>
      <c r="H6" s="7"/>
      <c r="I6" s="5"/>
    </row>
    <row r="7" s="3" customFormat="true" ht="18" hidden="false" customHeight="false" outlineLevel="0" collapsed="false">
      <c r="B7" s="10"/>
      <c r="C7" s="10"/>
      <c r="D7" s="10"/>
      <c r="E7" s="10"/>
      <c r="F7" s="10"/>
      <c r="G7" s="10"/>
      <c r="H7" s="10"/>
      <c r="I7" s="5"/>
    </row>
    <row r="8" customFormat="false" ht="13.5" hidden="false" customHeight="false" outlineLevel="0" collapsed="false">
      <c r="B8" s="11"/>
      <c r="C8" s="11"/>
      <c r="D8" s="11"/>
      <c r="E8" s="11"/>
    </row>
    <row r="9" s="12" customFormat="true" ht="12.75" hidden="false" customHeight="false" outlineLevel="0" collapsed="false">
      <c r="C9" s="13"/>
      <c r="D9" s="13"/>
      <c r="E9" s="13"/>
      <c r="F9" s="13"/>
      <c r="I9" s="14"/>
    </row>
    <row r="10" customFormat="false" ht="18" hidden="false" customHeight="false" outlineLevel="0" collapsed="false">
      <c r="B10" s="15" t="s">
        <v>2</v>
      </c>
      <c r="C10" s="16"/>
      <c r="D10" s="16"/>
      <c r="E10" s="16"/>
      <c r="F10" s="16"/>
      <c r="G10" s="16"/>
      <c r="H10" s="17" t="s">
        <v>3</v>
      </c>
    </row>
    <row r="11" s="18" customFormat="true" ht="15.75" hidden="false" customHeight="true" outlineLevel="0" collapsed="false">
      <c r="B11" s="19" t="s">
        <v>4</v>
      </c>
      <c r="C11" s="19"/>
      <c r="D11" s="19"/>
      <c r="E11" s="20" t="n">
        <v>41243</v>
      </c>
      <c r="F11" s="20" t="n">
        <f aca="false">EDATE(E11,1)</f>
        <v>41273</v>
      </c>
      <c r="G11" s="21" t="s">
        <v>5</v>
      </c>
      <c r="H11" s="21" t="s">
        <v>6</v>
      </c>
      <c r="I11" s="132"/>
      <c r="K11" s="22"/>
    </row>
    <row r="12" s="23" customFormat="true" ht="17.25" hidden="false" customHeight="true" outlineLevel="0" collapsed="false">
      <c r="B12" s="24" t="s">
        <v>7</v>
      </c>
      <c r="C12" s="24"/>
      <c r="D12" s="24"/>
      <c r="E12" s="25" t="n">
        <v>1011071</v>
      </c>
      <c r="F12" s="25" t="n">
        <v>992397</v>
      </c>
      <c r="G12" s="26" t="n">
        <f aca="false">F12-E12</f>
        <v>-18674</v>
      </c>
      <c r="H12" s="27" t="n">
        <f aca="false">F12/E12-1</f>
        <v>-0.0184695239008932</v>
      </c>
      <c r="K12" s="22"/>
    </row>
    <row r="13" s="23" customFormat="true" ht="17.25" hidden="false" customHeight="true" outlineLevel="0" collapsed="false">
      <c r="B13" s="29" t="s">
        <v>8</v>
      </c>
      <c r="C13" s="29"/>
      <c r="D13" s="29"/>
      <c r="E13" s="25" t="n">
        <v>34805</v>
      </c>
      <c r="F13" s="25" t="n">
        <v>34954</v>
      </c>
      <c r="G13" s="30" t="n">
        <f aca="false">F13-E13</f>
        <v>149</v>
      </c>
      <c r="H13" s="31" t="n">
        <f aca="false">F13/E13-1</f>
        <v>0.00428099411004168</v>
      </c>
      <c r="K13" s="22"/>
    </row>
    <row r="14" s="23" customFormat="true" ht="17.25" hidden="false" customHeight="true" outlineLevel="0" collapsed="false">
      <c r="B14" s="29" t="s">
        <v>9</v>
      </c>
      <c r="C14" s="29"/>
      <c r="D14" s="29"/>
      <c r="E14" s="25" t="n">
        <v>12071</v>
      </c>
      <c r="F14" s="25" t="n">
        <v>12200</v>
      </c>
      <c r="G14" s="30" t="n">
        <f aca="false">F14-E14</f>
        <v>129</v>
      </c>
      <c r="H14" s="31" t="n">
        <f aca="false">F14/E14-1</f>
        <v>0.010686769944495</v>
      </c>
      <c r="J14" s="22"/>
    </row>
    <row r="15" s="23" customFormat="true" ht="17.25" hidden="false" customHeight="true" outlineLevel="0" collapsed="false">
      <c r="B15" s="32" t="s">
        <v>10</v>
      </c>
      <c r="C15" s="32"/>
      <c r="D15" s="32"/>
      <c r="E15" s="25" t="n">
        <v>2138</v>
      </c>
      <c r="F15" s="25" t="n">
        <v>2163</v>
      </c>
      <c r="G15" s="136" t="n">
        <f aca="false">F15-E15</f>
        <v>25</v>
      </c>
      <c r="H15" s="31" t="n">
        <f aca="false">F15/E15-1</f>
        <v>0.0116931711880262</v>
      </c>
      <c r="J15" s="22"/>
    </row>
    <row r="16" s="23" customFormat="true" ht="17.25" hidden="false" customHeight="true" outlineLevel="0" collapsed="false">
      <c r="B16" s="133" t="s">
        <v>11</v>
      </c>
      <c r="C16" s="133"/>
      <c r="D16" s="133"/>
      <c r="E16" s="25" t="n">
        <v>9933</v>
      </c>
      <c r="F16" s="25" t="n">
        <v>10037</v>
      </c>
      <c r="G16" s="136" t="n">
        <f aca="false">F16-E16</f>
        <v>104</v>
      </c>
      <c r="H16" s="31" t="n">
        <f aca="false">F16/E16-1</f>
        <v>0.0104701500050337</v>
      </c>
      <c r="J16" s="22"/>
    </row>
    <row r="17" s="23" customFormat="true" ht="18" hidden="false" customHeight="true" outlineLevel="0" collapsed="false">
      <c r="B17" s="33" t="s">
        <v>12</v>
      </c>
      <c r="C17" s="33"/>
      <c r="D17" s="33"/>
      <c r="E17" s="25" t="n">
        <v>17182</v>
      </c>
      <c r="F17" s="25" t="n">
        <v>15799</v>
      </c>
      <c r="G17" s="34" t="n">
        <f aca="false">F17-E17</f>
        <v>-1383</v>
      </c>
      <c r="H17" s="35" t="n">
        <f aca="false">F17/E17-1</f>
        <v>-0.0804912117332092</v>
      </c>
      <c r="K17" s="22"/>
    </row>
    <row r="18" s="36" customFormat="true" ht="18" hidden="false" customHeight="false" outlineLevel="0" collapsed="false">
      <c r="B18" s="37" t="s">
        <v>13</v>
      </c>
      <c r="C18" s="37"/>
      <c r="D18" s="38"/>
      <c r="E18" s="39" t="n">
        <v>1075129</v>
      </c>
      <c r="F18" s="39" t="n">
        <v>1055350</v>
      </c>
      <c r="G18" s="39" t="n">
        <f aca="false">F18-E18</f>
        <v>-19779</v>
      </c>
      <c r="H18" s="40" t="n">
        <f aca="false">F18/E18-1</f>
        <v>-0.0183968621439846</v>
      </c>
    </row>
    <row r="19" customFormat="false" ht="15" hidden="false" customHeight="false" outlineLevel="0" collapsed="false">
      <c r="B19" s="41"/>
      <c r="C19" s="11"/>
      <c r="D19" s="11"/>
      <c r="E19" s="11"/>
      <c r="F19" s="11"/>
      <c r="G19" s="11"/>
    </row>
    <row r="20" customFormat="false" ht="15" hidden="false" customHeight="false" outlineLevel="0" collapsed="false">
      <c r="B20" s="41"/>
      <c r="C20" s="11"/>
      <c r="D20" s="11"/>
      <c r="E20" s="11"/>
      <c r="F20" s="11"/>
      <c r="G20" s="11"/>
    </row>
    <row r="21" customFormat="false" ht="18" hidden="false" customHeight="false" outlineLevel="0" collapsed="false">
      <c r="B21" s="15" t="s">
        <v>14</v>
      </c>
      <c r="C21" s="16"/>
      <c r="D21" s="16"/>
      <c r="E21" s="16"/>
      <c r="F21" s="16"/>
      <c r="G21" s="16"/>
      <c r="H21" s="17" t="s">
        <v>15</v>
      </c>
    </row>
    <row r="22" s="23" customFormat="true" ht="15.75" hidden="false" customHeight="true" outlineLevel="0" collapsed="false">
      <c r="B22" s="19" t="s">
        <v>4</v>
      </c>
      <c r="C22" s="19"/>
      <c r="D22" s="19"/>
      <c r="E22" s="20" t="n">
        <f aca="false">E11</f>
        <v>41243</v>
      </c>
      <c r="F22" s="20" t="n">
        <f aca="false">F11</f>
        <v>41273</v>
      </c>
      <c r="G22" s="21" t="s">
        <v>5</v>
      </c>
      <c r="H22" s="21" t="s">
        <v>6</v>
      </c>
      <c r="I22" s="42"/>
      <c r="K22" s="22"/>
    </row>
    <row r="23" s="23" customFormat="true" ht="17.25" hidden="false" customHeight="true" outlineLevel="0" collapsed="false">
      <c r="B23" s="24" t="s">
        <v>7</v>
      </c>
      <c r="C23" s="24"/>
      <c r="D23" s="24"/>
      <c r="E23" s="25" t="n">
        <v>815485</v>
      </c>
      <c r="F23" s="25" t="n">
        <v>805549</v>
      </c>
      <c r="G23" s="26" t="n">
        <f aca="false">F23-E23</f>
        <v>-9936</v>
      </c>
      <c r="H23" s="27" t="n">
        <f aca="false">F23/E23-1</f>
        <v>-0.012184160346297</v>
      </c>
      <c r="J23" s="22"/>
    </row>
    <row r="24" s="23" customFormat="true" ht="17.25" hidden="false" customHeight="true" outlineLevel="0" collapsed="false">
      <c r="B24" s="29" t="s">
        <v>8</v>
      </c>
      <c r="C24" s="29"/>
      <c r="D24" s="29"/>
      <c r="E24" s="25" t="n">
        <v>17752</v>
      </c>
      <c r="F24" s="25" t="n">
        <v>17821</v>
      </c>
      <c r="G24" s="30" t="n">
        <f aca="false">F24-E24</f>
        <v>69</v>
      </c>
      <c r="H24" s="31" t="n">
        <f aca="false">F24/E24-1</f>
        <v>0.00388688598467768</v>
      </c>
      <c r="J24" s="22"/>
    </row>
    <row r="25" s="23" customFormat="true" ht="17.25" hidden="false" customHeight="true" outlineLevel="0" collapsed="false">
      <c r="B25" s="29" t="s">
        <v>9</v>
      </c>
      <c r="C25" s="29"/>
      <c r="D25" s="29"/>
      <c r="E25" s="25" t="n">
        <v>5845</v>
      </c>
      <c r="F25" s="25" t="n">
        <v>5876</v>
      </c>
      <c r="G25" s="30" t="n">
        <f aca="false">F25-E25</f>
        <v>31</v>
      </c>
      <c r="H25" s="31" t="n">
        <f aca="false">F25/E25-1</f>
        <v>0.00530367835757062</v>
      </c>
      <c r="J25" s="22"/>
    </row>
    <row r="26" s="23" customFormat="true" ht="17.25" hidden="false" customHeight="true" outlineLevel="0" collapsed="false">
      <c r="B26" s="32" t="s">
        <v>10</v>
      </c>
      <c r="C26" s="32"/>
      <c r="D26" s="32"/>
      <c r="E26" s="25" t="n">
        <v>2051</v>
      </c>
      <c r="F26" s="25" t="n">
        <v>2073</v>
      </c>
      <c r="G26" s="136" t="n">
        <v>27</v>
      </c>
      <c r="H26" s="31" t="n">
        <v>0.0133399209486167</v>
      </c>
      <c r="J26" s="22"/>
    </row>
    <row r="27" s="23" customFormat="true" ht="17.25" hidden="false" customHeight="true" outlineLevel="0" collapsed="false">
      <c r="B27" s="133" t="s">
        <v>11</v>
      </c>
      <c r="C27" s="133"/>
      <c r="D27" s="133"/>
      <c r="E27" s="25" t="n">
        <v>2051</v>
      </c>
      <c r="F27" s="25" t="n">
        <v>3803</v>
      </c>
      <c r="G27" s="136" t="n">
        <v>-1706</v>
      </c>
      <c r="H27" s="31" t="n">
        <v>-0.454085706680862</v>
      </c>
      <c r="J27" s="22"/>
    </row>
    <row r="28" s="23" customFormat="true" ht="18" hidden="false" customHeight="true" outlineLevel="0" collapsed="false">
      <c r="B28" s="33" t="s">
        <v>12</v>
      </c>
      <c r="C28" s="33"/>
      <c r="D28" s="33"/>
      <c r="E28" s="25" t="n">
        <v>5266</v>
      </c>
      <c r="F28" s="25" t="n">
        <v>5261</v>
      </c>
      <c r="G28" s="34" t="n">
        <f aca="false">F28-E28</f>
        <v>-5</v>
      </c>
      <c r="H28" s="35" t="n">
        <f aca="false">F28/E28-1</f>
        <v>-0.000949487276870498</v>
      </c>
      <c r="J28" s="22"/>
    </row>
    <row r="29" s="36" customFormat="true" ht="18" hidden="false" customHeight="false" outlineLevel="0" collapsed="false">
      <c r="B29" s="37" t="s">
        <v>13</v>
      </c>
      <c r="C29" s="37"/>
      <c r="D29" s="38"/>
      <c r="E29" s="39" t="n">
        <v>844348</v>
      </c>
      <c r="F29" s="39" t="n">
        <v>834507</v>
      </c>
      <c r="G29" s="39" t="n">
        <f aca="false">F29-E29</f>
        <v>-9841</v>
      </c>
      <c r="H29" s="40" t="n">
        <f aca="false">F29/E29-1</f>
        <v>-0.0116551469299389</v>
      </c>
    </row>
    <row r="30" customFormat="false" ht="15" hidden="false" customHeight="false" outlineLevel="0" collapsed="false">
      <c r="B30" s="41"/>
      <c r="C30" s="11"/>
      <c r="D30" s="11"/>
      <c r="E30" s="11"/>
      <c r="F30" s="11"/>
      <c r="G30" s="11"/>
    </row>
    <row r="31" customFormat="false" ht="15" hidden="false" customHeight="false" outlineLevel="0" collapsed="false">
      <c r="B31" s="41"/>
      <c r="C31" s="11"/>
      <c r="D31" s="11"/>
      <c r="E31" s="11"/>
      <c r="F31" s="11"/>
      <c r="G31" s="11"/>
    </row>
    <row r="32" customFormat="false" ht="18" hidden="false" customHeight="false" outlineLevel="0" collapsed="false">
      <c r="B32" s="15" t="s">
        <v>16</v>
      </c>
      <c r="C32" s="16"/>
      <c r="D32" s="16"/>
      <c r="E32" s="16"/>
      <c r="F32" s="16"/>
      <c r="G32" s="16"/>
      <c r="H32" s="17" t="s">
        <v>17</v>
      </c>
    </row>
    <row r="33" customFormat="false" ht="15.75" hidden="false" customHeight="true" outlineLevel="0" collapsed="false">
      <c r="B33" s="44" t="s">
        <v>4</v>
      </c>
      <c r="C33" s="44"/>
      <c r="D33" s="44"/>
      <c r="E33" s="45" t="n">
        <f aca="false">EDATE(C6,-1)</f>
        <v>41214</v>
      </c>
      <c r="F33" s="45" t="n">
        <f aca="false">EDATE(E33,1)</f>
        <v>41244</v>
      </c>
      <c r="G33" s="46" t="s">
        <v>5</v>
      </c>
      <c r="H33" s="46" t="s">
        <v>6</v>
      </c>
    </row>
    <row r="34" s="1" customFormat="true" ht="17.25" hidden="false" customHeight="true" outlineLevel="0" collapsed="false">
      <c r="B34" s="47" t="s">
        <v>7</v>
      </c>
      <c r="C34" s="47"/>
      <c r="D34" s="47"/>
      <c r="E34" s="48" t="n">
        <v>68887</v>
      </c>
      <c r="F34" s="48" t="n">
        <v>70302</v>
      </c>
      <c r="G34" s="26" t="n">
        <f aca="false">F34-E34</f>
        <v>1415</v>
      </c>
      <c r="H34" s="27" t="n">
        <f aca="false">F34/E34-1</f>
        <v>0.0205408857984817</v>
      </c>
    </row>
    <row r="35" s="1" customFormat="true" ht="17.25" hidden="false" customHeight="true" outlineLevel="0" collapsed="false">
      <c r="B35" s="49" t="s">
        <v>8</v>
      </c>
      <c r="C35" s="49"/>
      <c r="D35" s="49"/>
      <c r="E35" s="50" t="n">
        <v>1463</v>
      </c>
      <c r="F35" s="48" t="n">
        <v>1613</v>
      </c>
      <c r="G35" s="30" t="n">
        <f aca="false">F35-E35</f>
        <v>150</v>
      </c>
      <c r="H35" s="31" t="n">
        <f aca="false">F35/E35-1</f>
        <v>0.102529049897471</v>
      </c>
    </row>
    <row r="36" s="1" customFormat="true" ht="17.25" hidden="false" customHeight="true" outlineLevel="0" collapsed="false">
      <c r="B36" s="49" t="s">
        <v>9</v>
      </c>
      <c r="C36" s="49"/>
      <c r="D36" s="49"/>
      <c r="E36" s="50" t="n">
        <v>643</v>
      </c>
      <c r="F36" s="48" t="n">
        <v>666</v>
      </c>
      <c r="G36" s="30" t="n">
        <f aca="false">F36-E36</f>
        <v>23</v>
      </c>
      <c r="H36" s="31" t="n">
        <f aca="false">F36/E36-1</f>
        <v>0.0357698289269051</v>
      </c>
    </row>
    <row r="37" s="1" customFormat="true" ht="17.25" hidden="false" customHeight="true" outlineLevel="0" collapsed="false">
      <c r="B37" s="32" t="s">
        <v>10</v>
      </c>
      <c r="C37" s="32"/>
      <c r="D37" s="32"/>
      <c r="E37" s="25" t="n">
        <v>151</v>
      </c>
      <c r="F37" s="48" t="n">
        <v>160</v>
      </c>
      <c r="G37" s="30" t="n">
        <v>5</v>
      </c>
      <c r="H37" s="31" t="n">
        <v>0.0342465753424657</v>
      </c>
    </row>
    <row r="38" s="1" customFormat="true" ht="17.25" hidden="false" customHeight="true" outlineLevel="0" collapsed="false">
      <c r="B38" s="133" t="s">
        <v>11</v>
      </c>
      <c r="C38" s="133"/>
      <c r="D38" s="133"/>
      <c r="E38" s="25" t="n">
        <v>492</v>
      </c>
      <c r="F38" s="48" t="n">
        <v>506</v>
      </c>
      <c r="G38" s="30" t="n">
        <v>-14</v>
      </c>
      <c r="H38" s="31" t="n">
        <v>-0.0276679841897233</v>
      </c>
    </row>
    <row r="39" s="1" customFormat="true" ht="18" hidden="false" customHeight="true" outlineLevel="0" collapsed="false">
      <c r="B39" s="51" t="s">
        <v>12</v>
      </c>
      <c r="C39" s="51"/>
      <c r="D39" s="51"/>
      <c r="E39" s="48" t="n">
        <v>1084</v>
      </c>
      <c r="F39" s="48" t="n">
        <v>944</v>
      </c>
      <c r="G39" s="34" t="n">
        <f aca="false">F39-E39</f>
        <v>-140</v>
      </c>
      <c r="H39" s="35" t="n">
        <f aca="false">F39/E39-1</f>
        <v>-0.129151291512915</v>
      </c>
    </row>
    <row r="40" s="36" customFormat="true" ht="18" hidden="false" customHeight="false" outlineLevel="0" collapsed="false">
      <c r="B40" s="37" t="s">
        <v>13</v>
      </c>
      <c r="C40" s="37"/>
      <c r="D40" s="38"/>
      <c r="E40" s="39" t="n">
        <v>72077</v>
      </c>
      <c r="F40" s="39" t="n">
        <v>73525</v>
      </c>
      <c r="G40" s="39" t="n">
        <f aca="false">F40-E40</f>
        <v>1448</v>
      </c>
      <c r="H40" s="40" t="n">
        <f aca="false">F40/E40-1</f>
        <v>0.0200896263717969</v>
      </c>
    </row>
    <row r="41" customFormat="false" ht="15" hidden="false" customHeight="false" outlineLevel="0" collapsed="false">
      <c r="B41" s="54"/>
      <c r="C41" s="54"/>
      <c r="D41" s="54"/>
      <c r="E41" s="55"/>
      <c r="F41" s="55"/>
      <c r="G41" s="56"/>
      <c r="H41" s="57"/>
    </row>
    <row r="42" customFormat="false" ht="15" hidden="false" customHeight="false" outlineLevel="0" collapsed="false">
      <c r="B42" s="41"/>
      <c r="C42" s="11"/>
      <c r="D42" s="11"/>
      <c r="E42" s="11"/>
      <c r="F42" s="11"/>
      <c r="G42" s="11"/>
    </row>
    <row r="43" customFormat="false" ht="17.25" hidden="false" customHeight="false" outlineLevel="0" collapsed="false">
      <c r="B43" s="58"/>
      <c r="C43" s="58"/>
      <c r="D43" s="58"/>
      <c r="E43" s="58"/>
      <c r="F43" s="58"/>
      <c r="G43" s="58"/>
      <c r="H43" s="58"/>
    </row>
    <row r="44" customFormat="false" ht="17.25" hidden="false" customHeight="false" outlineLevel="0" collapsed="false">
      <c r="B44" s="59" t="s">
        <v>18</v>
      </c>
      <c r="C44" s="58"/>
      <c r="D44" s="58"/>
      <c r="E44" s="58"/>
      <c r="F44" s="58"/>
      <c r="G44" s="58"/>
      <c r="H44" s="58"/>
    </row>
    <row r="45" customFormat="false" ht="18" hidden="false" customHeight="false" outlineLevel="0" collapsed="false">
      <c r="B45" s="60"/>
      <c r="C45" s="60"/>
      <c r="D45" s="60"/>
      <c r="E45" s="60"/>
      <c r="F45" s="60"/>
      <c r="G45" s="60"/>
      <c r="H45" s="60"/>
    </row>
    <row r="47" customFormat="false" ht="13.5" hidden="false" customHeight="false" outlineLevel="0" collapsed="false">
      <c r="F47" s="61"/>
    </row>
    <row r="48" customFormat="false" ht="18" hidden="false" customHeight="false" outlineLevel="0" collapsed="false">
      <c r="B48" s="62" t="s">
        <v>19</v>
      </c>
      <c r="C48" s="63"/>
      <c r="D48" s="63"/>
      <c r="E48" s="63"/>
      <c r="F48" s="63"/>
      <c r="G48" s="63"/>
      <c r="H48" s="64" t="s">
        <v>3</v>
      </c>
    </row>
    <row r="49" s="1" customFormat="true" ht="15.75" hidden="false" customHeight="true" outlineLevel="0" collapsed="false">
      <c r="B49" s="44" t="s">
        <v>4</v>
      </c>
      <c r="C49" s="44"/>
      <c r="D49" s="44"/>
      <c r="E49" s="20" t="n">
        <v>40178</v>
      </c>
      <c r="F49" s="20" t="n">
        <v>40543</v>
      </c>
      <c r="G49" s="20" t="n">
        <v>40908</v>
      </c>
      <c r="H49" s="20" t="n">
        <v>41274</v>
      </c>
    </row>
    <row r="50" s="1" customFormat="true" ht="17.25" hidden="false" customHeight="false" outlineLevel="0" collapsed="false">
      <c r="B50" s="65" t="s">
        <v>7</v>
      </c>
      <c r="C50" s="65"/>
      <c r="D50" s="65"/>
      <c r="E50" s="66" t="n">
        <v>671475</v>
      </c>
      <c r="F50" s="66" t="n">
        <v>714295</v>
      </c>
      <c r="G50" s="66" t="n">
        <v>772175</v>
      </c>
      <c r="H50" s="66" t="n">
        <v>805549</v>
      </c>
    </row>
    <row r="51" s="1" customFormat="true" ht="17.25" hidden="false" customHeight="false" outlineLevel="0" collapsed="false">
      <c r="B51" s="67" t="s">
        <v>8</v>
      </c>
      <c r="C51" s="67"/>
      <c r="D51" s="67"/>
      <c r="E51" s="68" t="n">
        <v>16364</v>
      </c>
      <c r="F51" s="68" t="n">
        <v>17170</v>
      </c>
      <c r="G51" s="68" t="n">
        <v>16850</v>
      </c>
      <c r="H51" s="68" t="n">
        <v>17821</v>
      </c>
    </row>
    <row r="52" s="1" customFormat="true" ht="17.25" hidden="false" customHeight="false" outlineLevel="0" collapsed="false">
      <c r="B52" s="69" t="s">
        <v>9</v>
      </c>
      <c r="C52" s="69"/>
      <c r="D52" s="69"/>
      <c r="E52" s="70" t="n">
        <v>3851</v>
      </c>
      <c r="F52" s="70" t="n">
        <v>4295</v>
      </c>
      <c r="G52" s="70" t="n">
        <v>5058</v>
      </c>
      <c r="H52" s="70" t="n">
        <v>5876</v>
      </c>
    </row>
    <row r="53" s="1" customFormat="true" ht="18" hidden="false" customHeight="true" outlineLevel="0" collapsed="false">
      <c r="B53" s="71" t="s">
        <v>12</v>
      </c>
      <c r="C53" s="71"/>
      <c r="D53" s="71"/>
      <c r="E53" s="72" t="n">
        <v>4717</v>
      </c>
      <c r="F53" s="72" t="n">
        <v>5348</v>
      </c>
      <c r="G53" s="72" t="n">
        <v>5242</v>
      </c>
      <c r="H53" s="72" t="n">
        <v>5261</v>
      </c>
    </row>
    <row r="54" s="73" customFormat="true" ht="18" hidden="false" customHeight="false" outlineLevel="0" collapsed="false">
      <c r="B54" s="74" t="s">
        <v>13</v>
      </c>
      <c r="C54" s="74"/>
      <c r="D54" s="74"/>
      <c r="E54" s="75" t="n">
        <v>696407</v>
      </c>
      <c r="F54" s="75" t="n">
        <v>741108</v>
      </c>
      <c r="G54" s="75" t="n">
        <v>799325</v>
      </c>
      <c r="H54" s="75" t="n">
        <v>834507</v>
      </c>
    </row>
    <row r="55" customFormat="false" ht="15" hidden="false" customHeight="false" outlineLevel="0" collapsed="false">
      <c r="B55" s="54"/>
      <c r="C55" s="76"/>
      <c r="D55" s="77"/>
      <c r="E55" s="77"/>
      <c r="F55" s="77"/>
      <c r="G55" s="77"/>
      <c r="H55" s="77"/>
    </row>
    <row r="56" customFormat="false" ht="15" hidden="false" customHeight="false" outlineLevel="0" collapsed="false">
      <c r="B56" s="54"/>
      <c r="C56" s="76"/>
      <c r="D56" s="77"/>
      <c r="E56" s="77"/>
      <c r="F56" s="77"/>
      <c r="G56" s="77"/>
      <c r="H56" s="77"/>
    </row>
    <row r="57" customFormat="false" ht="15" hidden="false" customHeight="false" outlineLevel="0" collapsed="false">
      <c r="B57" s="54"/>
      <c r="C57" s="76"/>
      <c r="D57" s="77"/>
      <c r="E57" s="77"/>
      <c r="F57" s="77"/>
      <c r="G57" s="77"/>
      <c r="H57" s="77"/>
    </row>
    <row r="58" customFormat="false" ht="15" hidden="false" customHeight="false" outlineLevel="0" collapsed="false">
      <c r="B58" s="54"/>
      <c r="C58" s="76"/>
      <c r="D58" s="77"/>
      <c r="E58" s="77"/>
      <c r="F58" s="77"/>
      <c r="G58" s="77"/>
      <c r="H58" s="77"/>
    </row>
    <row r="59" customFormat="false" ht="15" hidden="false" customHeight="false" outlineLevel="0" collapsed="false">
      <c r="B59" s="54"/>
      <c r="C59" s="76"/>
      <c r="D59" s="77"/>
      <c r="E59" s="77"/>
      <c r="F59" s="77"/>
      <c r="G59" s="77"/>
      <c r="H59" s="77"/>
    </row>
    <row r="60" customFormat="false" ht="15" hidden="false" customHeight="false" outlineLevel="0" collapsed="false">
      <c r="B60" s="54"/>
      <c r="C60" s="76"/>
      <c r="D60" s="77"/>
      <c r="E60" s="77"/>
      <c r="F60" s="77"/>
      <c r="G60" s="77"/>
      <c r="H60" s="77"/>
    </row>
    <row r="61" customFormat="false" ht="15" hidden="false" customHeight="false" outlineLevel="0" collapsed="false">
      <c r="B61" s="54"/>
      <c r="C61" s="76"/>
      <c r="D61" s="77"/>
      <c r="E61" s="77"/>
      <c r="F61" s="77"/>
      <c r="G61" s="77"/>
      <c r="H61" s="77"/>
    </row>
    <row r="62" customFormat="false" ht="15" hidden="false" customHeight="false" outlineLevel="0" collapsed="false">
      <c r="B62" s="54"/>
      <c r="C62" s="76"/>
      <c r="D62" s="77"/>
      <c r="E62" s="77"/>
      <c r="F62" s="77"/>
      <c r="G62" s="77"/>
      <c r="H62" s="77"/>
    </row>
    <row r="63" customFormat="false" ht="15" hidden="false" customHeight="false" outlineLevel="0" collapsed="false">
      <c r="B63" s="54"/>
      <c r="C63" s="76"/>
      <c r="D63" s="77"/>
      <c r="E63" s="77"/>
      <c r="F63" s="77"/>
      <c r="G63" s="77"/>
      <c r="H63" s="77"/>
    </row>
    <row r="64" customFormat="false" ht="15" hidden="false" customHeight="false" outlineLevel="0" collapsed="false">
      <c r="B64" s="54"/>
      <c r="C64" s="76"/>
      <c r="D64" s="77"/>
      <c r="E64" s="77"/>
      <c r="F64" s="77"/>
      <c r="G64" s="77"/>
      <c r="H64" s="77"/>
    </row>
    <row r="65" customFormat="false" ht="15" hidden="false" customHeight="false" outlineLevel="0" collapsed="false">
      <c r="B65" s="54"/>
      <c r="C65" s="76"/>
      <c r="D65" s="77"/>
      <c r="E65" s="77"/>
      <c r="F65" s="77"/>
      <c r="G65" s="77"/>
      <c r="H65" s="77"/>
    </row>
    <row r="66" customFormat="false" ht="15" hidden="false" customHeight="false" outlineLevel="0" collapsed="false">
      <c r="B66" s="54"/>
      <c r="C66" s="76"/>
      <c r="D66" s="77"/>
      <c r="E66" s="77"/>
      <c r="F66" s="77"/>
      <c r="G66" s="77"/>
      <c r="H66" s="77"/>
    </row>
    <row r="67" customFormat="false" ht="15" hidden="false" customHeight="false" outlineLevel="0" collapsed="false">
      <c r="B67" s="54"/>
      <c r="C67" s="76"/>
      <c r="D67" s="77"/>
      <c r="E67" s="77"/>
      <c r="F67" s="77"/>
      <c r="G67" s="77"/>
      <c r="H67" s="77"/>
    </row>
    <row r="68" customFormat="false" ht="15" hidden="false" customHeight="false" outlineLevel="0" collapsed="false">
      <c r="B68" s="54"/>
      <c r="C68" s="76"/>
      <c r="D68" s="77"/>
      <c r="E68" s="77"/>
      <c r="F68" s="77"/>
      <c r="G68" s="77"/>
      <c r="H68" s="77"/>
    </row>
    <row r="69" customFormat="false" ht="15" hidden="false" customHeight="false" outlineLevel="0" collapsed="false">
      <c r="B69" s="54"/>
      <c r="C69" s="76"/>
      <c r="D69" s="77"/>
      <c r="E69" s="77"/>
      <c r="F69" s="77"/>
      <c r="G69" s="77"/>
      <c r="H69" s="77"/>
    </row>
    <row r="70" customFormat="false" ht="15" hidden="false" customHeight="false" outlineLevel="0" collapsed="false">
      <c r="B70" s="54"/>
      <c r="C70" s="76"/>
      <c r="D70" s="77"/>
      <c r="E70" s="77"/>
      <c r="F70" s="61"/>
      <c r="G70" s="77"/>
      <c r="H70" s="77"/>
    </row>
    <row r="71" customFormat="false" ht="15" hidden="false" customHeight="false" outlineLevel="0" collapsed="false">
      <c r="B71" s="54"/>
      <c r="C71" s="76"/>
      <c r="D71" s="77"/>
      <c r="E71" s="77"/>
      <c r="F71" s="61"/>
      <c r="G71" s="77"/>
      <c r="H71" s="77"/>
    </row>
    <row r="72" customFormat="false" ht="15" hidden="false" customHeight="false" outlineLevel="0" collapsed="false">
      <c r="B72" s="54"/>
      <c r="C72" s="76"/>
      <c r="D72" s="77"/>
      <c r="E72" s="77"/>
      <c r="F72" s="61"/>
      <c r="G72" s="77"/>
      <c r="H72" s="77"/>
    </row>
    <row r="73" customFormat="false" ht="15" hidden="false" customHeight="false" outlineLevel="0" collapsed="false">
      <c r="B73" s="54"/>
      <c r="C73" s="76"/>
      <c r="D73" s="77"/>
      <c r="E73" s="77"/>
      <c r="F73" s="61"/>
      <c r="G73" s="77"/>
      <c r="H73" s="77"/>
    </row>
    <row r="74" customFormat="false" ht="15" hidden="false" customHeight="false" outlineLevel="0" collapsed="false">
      <c r="B74" s="54"/>
      <c r="C74" s="76"/>
      <c r="D74" s="77"/>
      <c r="E74" s="77"/>
      <c r="F74" s="61"/>
      <c r="G74" s="77"/>
      <c r="H74" s="77"/>
    </row>
    <row r="75" customFormat="false" ht="15" hidden="false" customHeight="false" outlineLevel="0" collapsed="false">
      <c r="B75" s="54"/>
      <c r="C75" s="76"/>
      <c r="D75" s="77"/>
      <c r="E75" s="77"/>
      <c r="F75" s="61"/>
      <c r="G75" s="77"/>
      <c r="H75" s="77"/>
    </row>
    <row r="76" customFormat="false" ht="15" hidden="false" customHeight="false" outlineLevel="0" collapsed="false">
      <c r="B76" s="54"/>
      <c r="C76" s="76"/>
      <c r="D76" s="77"/>
      <c r="E76" s="77"/>
      <c r="F76" s="61"/>
      <c r="G76" s="77"/>
      <c r="H76" s="77"/>
    </row>
    <row r="77" customFormat="false" ht="15" hidden="false" customHeight="false" outlineLevel="0" collapsed="false">
      <c r="B77" s="54"/>
      <c r="C77" s="76"/>
      <c r="D77" s="77"/>
      <c r="E77" s="77"/>
      <c r="F77" s="61"/>
      <c r="G77" s="77"/>
      <c r="H77" s="77"/>
    </row>
    <row r="78" customFormat="false" ht="15" hidden="false" customHeight="false" outlineLevel="0" collapsed="false">
      <c r="B78" s="54"/>
      <c r="C78" s="76"/>
      <c r="D78" s="77"/>
      <c r="E78" s="77"/>
      <c r="F78" s="61"/>
      <c r="G78" s="77"/>
      <c r="H78" s="77"/>
    </row>
    <row r="79" customFormat="false" ht="15" hidden="false" customHeight="false" outlineLevel="0" collapsed="false">
      <c r="B79" s="54"/>
      <c r="C79" s="76"/>
      <c r="D79" s="77"/>
      <c r="E79" s="77"/>
      <c r="F79" s="61"/>
      <c r="G79" s="77"/>
      <c r="H79" s="77"/>
    </row>
    <row r="80" customFormat="false" ht="15" hidden="false" customHeight="false" outlineLevel="0" collapsed="false">
      <c r="B80" s="54"/>
      <c r="C80" s="76"/>
      <c r="D80" s="77"/>
      <c r="E80" s="77"/>
      <c r="F80" s="61"/>
      <c r="G80" s="77"/>
      <c r="H80" s="77"/>
    </row>
    <row r="81" customFormat="false" ht="15" hidden="false" customHeight="false" outlineLevel="0" collapsed="false">
      <c r="B81" s="54"/>
      <c r="C81" s="76"/>
      <c r="D81" s="77"/>
      <c r="E81" s="77"/>
      <c r="F81" s="61"/>
      <c r="G81" s="77"/>
      <c r="H81" s="77"/>
    </row>
    <row r="82" customFormat="false" ht="18" hidden="false" customHeight="false" outlineLevel="0" collapsed="false">
      <c r="B82" s="62" t="s">
        <v>20</v>
      </c>
      <c r="C82" s="63"/>
      <c r="D82" s="63"/>
      <c r="E82" s="63"/>
      <c r="F82" s="63"/>
      <c r="G82" s="63"/>
      <c r="H82" s="64" t="s">
        <v>15</v>
      </c>
    </row>
    <row r="83" customFormat="false" ht="15.75" hidden="false" customHeight="false" outlineLevel="0" collapsed="false">
      <c r="B83" s="78" t="s">
        <v>4</v>
      </c>
      <c r="C83" s="20" t="n">
        <f aca="false">EDATE(D83,-1)</f>
        <v>41120</v>
      </c>
      <c r="D83" s="20" t="n">
        <f aca="false">EDATE(E83,-1)</f>
        <v>41151</v>
      </c>
      <c r="E83" s="20" t="n">
        <f aca="false">EDATE(F83,-1)</f>
        <v>41182</v>
      </c>
      <c r="F83" s="20" t="n">
        <f aca="false">EDATE(G83,-1)</f>
        <v>41212</v>
      </c>
      <c r="G83" s="20" t="n">
        <f aca="false">EDATE(H83,-1)</f>
        <v>41243</v>
      </c>
      <c r="H83" s="20" t="n">
        <f aca="false">EDATE(E11,1)</f>
        <v>41273</v>
      </c>
      <c r="I83" s="80"/>
    </row>
    <row r="84" customFormat="false" ht="16.5" hidden="false" customHeight="true" outlineLevel="0" collapsed="false">
      <c r="B84" s="81" t="s">
        <v>7</v>
      </c>
      <c r="C84" s="82" t="n">
        <v>799804</v>
      </c>
      <c r="D84" s="82" t="n">
        <v>791512</v>
      </c>
      <c r="E84" s="82" t="n">
        <v>796839</v>
      </c>
      <c r="F84" s="82" t="n">
        <v>804740</v>
      </c>
      <c r="G84" s="82" t="n">
        <v>815485</v>
      </c>
      <c r="H84" s="82" t="n">
        <v>805549</v>
      </c>
      <c r="I84" s="80"/>
    </row>
    <row r="85" customFormat="false" ht="16.5" hidden="false" customHeight="true" outlineLevel="0" collapsed="false">
      <c r="B85" s="83" t="s">
        <v>8</v>
      </c>
      <c r="C85" s="84" t="n">
        <v>17565</v>
      </c>
      <c r="D85" s="84" t="n">
        <v>17475</v>
      </c>
      <c r="E85" s="84" t="n">
        <v>17573</v>
      </c>
      <c r="F85" s="84" t="n">
        <v>17648</v>
      </c>
      <c r="G85" s="84" t="n">
        <v>17752</v>
      </c>
      <c r="H85" s="84" t="n">
        <v>17821</v>
      </c>
      <c r="I85" s="80"/>
    </row>
    <row r="86" customFormat="false" ht="16.5" hidden="false" customHeight="true" outlineLevel="0" collapsed="false">
      <c r="B86" s="85" t="s">
        <v>9</v>
      </c>
      <c r="C86" s="86" t="n">
        <v>5540</v>
      </c>
      <c r="D86" s="86" t="n">
        <v>5636</v>
      </c>
      <c r="E86" s="86" t="n">
        <v>5703</v>
      </c>
      <c r="F86" s="86" t="n">
        <v>5781</v>
      </c>
      <c r="G86" s="86" t="n">
        <v>5845</v>
      </c>
      <c r="H86" s="86" t="n">
        <v>5876</v>
      </c>
      <c r="I86" s="80"/>
    </row>
    <row r="87" customFormat="false" ht="16.5" hidden="false" customHeight="true" outlineLevel="0" collapsed="false">
      <c r="B87" s="87" t="s">
        <v>12</v>
      </c>
      <c r="C87" s="88" t="n">
        <v>5245</v>
      </c>
      <c r="D87" s="88" t="n">
        <v>5250</v>
      </c>
      <c r="E87" s="88" t="n">
        <v>5246</v>
      </c>
      <c r="F87" s="88" t="n">
        <v>5247</v>
      </c>
      <c r="G87" s="88" t="n">
        <v>5266</v>
      </c>
      <c r="H87" s="88" t="n">
        <v>5261</v>
      </c>
      <c r="I87" s="80"/>
    </row>
    <row r="88" s="73" customFormat="true" ht="18" hidden="false" customHeight="false" outlineLevel="0" collapsed="false">
      <c r="B88" s="74" t="s">
        <v>13</v>
      </c>
      <c r="C88" s="89" t="n">
        <v>828154</v>
      </c>
      <c r="D88" s="89" t="n">
        <v>819873</v>
      </c>
      <c r="E88" s="89" t="n">
        <v>825361</v>
      </c>
      <c r="F88" s="89" t="n">
        <v>833416</v>
      </c>
      <c r="G88" s="89" t="n">
        <v>844348</v>
      </c>
      <c r="H88" s="89" t="n">
        <v>834507</v>
      </c>
      <c r="I88" s="90"/>
      <c r="J88" s="90"/>
      <c r="K88" s="90"/>
    </row>
    <row r="91" customFormat="false" ht="13.5" hidden="false" customHeight="false" outlineLevel="0" collapsed="false">
      <c r="B91" s="11"/>
      <c r="F91" s="11"/>
      <c r="G91" s="11"/>
      <c r="H91" s="11"/>
    </row>
    <row r="92" customFormat="false" ht="13.5" hidden="false" customHeight="false" outlineLevel="0" collapsed="false">
      <c r="B92" s="11"/>
      <c r="F92" s="11"/>
      <c r="G92" s="11"/>
      <c r="H92" s="11"/>
    </row>
    <row r="93" customFormat="false" ht="15" hidden="false" customHeight="false" outlineLevel="0" collapsed="false">
      <c r="B93" s="41"/>
      <c r="C93" s="11"/>
      <c r="D93" s="11"/>
      <c r="E93" s="11"/>
      <c r="G93" s="11"/>
      <c r="H93" s="11"/>
    </row>
    <row r="94" s="12" customFormat="true" ht="12.75" hidden="false" customHeight="false" outlineLevel="0" collapsed="false">
      <c r="B94" s="13"/>
      <c r="C94" s="13"/>
      <c r="D94" s="13"/>
      <c r="E94" s="13"/>
      <c r="F94" s="13"/>
      <c r="G94" s="13"/>
      <c r="H94" s="13"/>
      <c r="I94" s="14"/>
    </row>
    <row r="95" customFormat="false" ht="15" hidden="false" customHeight="false" outlineLevel="0" collapsed="false">
      <c r="B95" s="91"/>
      <c r="C95" s="11"/>
      <c r="D95" s="11"/>
      <c r="E95" s="11"/>
      <c r="F95" s="11"/>
      <c r="G95" s="11"/>
      <c r="H95" s="11"/>
    </row>
    <row r="96" customFormat="false" ht="13.5" hidden="false" customHeight="false" outlineLevel="0" collapsed="false">
      <c r="B96" s="11"/>
      <c r="F96" s="11"/>
      <c r="G96" s="11"/>
      <c r="H96" s="11"/>
    </row>
    <row r="97" customFormat="false" ht="13.5" hidden="false" customHeight="false" outlineLevel="0" collapsed="false">
      <c r="F97" s="11"/>
      <c r="G97" s="11"/>
      <c r="H97" s="11"/>
    </row>
    <row r="98" customFormat="false" ht="13.5" hidden="false" customHeight="false" outlineLevel="0" collapsed="false">
      <c r="F98" s="11"/>
      <c r="G98" s="11"/>
      <c r="H98" s="11"/>
    </row>
    <row r="123" customFormat="false" ht="17.25" hidden="false" customHeight="false" outlineLevel="0" collapsed="false">
      <c r="B123" s="92"/>
      <c r="C123" s="92"/>
      <c r="D123" s="92"/>
      <c r="E123" s="92"/>
      <c r="F123" s="92"/>
      <c r="G123" s="92"/>
      <c r="H123" s="92"/>
    </row>
    <row r="124" customFormat="false" ht="17.25" hidden="false" customHeight="false" outlineLevel="0" collapsed="false">
      <c r="B124" s="93" t="s">
        <v>21</v>
      </c>
      <c r="C124" s="97" t="n">
        <v>41274</v>
      </c>
      <c r="D124" s="92"/>
      <c r="E124" s="92"/>
      <c r="F124" s="92"/>
      <c r="G124" s="92"/>
      <c r="H124" s="92"/>
    </row>
    <row r="125" customFormat="false" ht="18" hidden="false" customHeight="false" outlineLevel="0" collapsed="false">
      <c r="B125" s="95"/>
      <c r="C125" s="95"/>
      <c r="D125" s="95"/>
      <c r="E125" s="95"/>
      <c r="F125" s="95"/>
      <c r="G125" s="95"/>
      <c r="H125" s="95"/>
    </row>
    <row r="127" customFormat="false" ht="18" hidden="false" customHeight="false" outlineLevel="0" collapsed="false">
      <c r="B127" s="96"/>
      <c r="C127" s="134"/>
      <c r="D127" s="98"/>
      <c r="E127" s="98"/>
      <c r="F127" s="98"/>
      <c r="G127" s="98"/>
      <c r="H127" s="99" t="s">
        <v>3</v>
      </c>
    </row>
    <row r="128" customFormat="false" ht="30.75" hidden="false" customHeight="true" outlineLevel="0" collapsed="false">
      <c r="B128" s="44" t="s">
        <v>22</v>
      </c>
      <c r="C128" s="44"/>
      <c r="D128" s="44"/>
      <c r="E128" s="44"/>
      <c r="F128" s="44"/>
      <c r="G128" s="100" t="s">
        <v>23</v>
      </c>
      <c r="H128" s="100"/>
    </row>
    <row r="129" customFormat="false" ht="18" hidden="false" customHeight="true" outlineLevel="0" collapsed="false">
      <c r="B129" s="47" t="s">
        <v>24</v>
      </c>
      <c r="C129" s="47"/>
      <c r="D129" s="47"/>
      <c r="E129" s="47"/>
      <c r="F129" s="47"/>
      <c r="G129" s="101" t="n">
        <v>813</v>
      </c>
      <c r="H129" s="101"/>
    </row>
    <row r="130" customFormat="false" ht="17.25" hidden="false" customHeight="true" outlineLevel="0" collapsed="false">
      <c r="B130" s="49" t="s">
        <v>25</v>
      </c>
      <c r="C130" s="49"/>
      <c r="D130" s="49"/>
      <c r="E130" s="49"/>
      <c r="F130" s="49"/>
      <c r="G130" s="102" t="n">
        <v>813</v>
      </c>
      <c r="H130" s="102"/>
    </row>
    <row r="131" customFormat="false" ht="18" hidden="false" customHeight="true" outlineLevel="0" collapsed="false">
      <c r="B131" s="103" t="s">
        <v>26</v>
      </c>
      <c r="C131" s="103"/>
      <c r="D131" s="103"/>
      <c r="E131" s="103"/>
      <c r="F131" s="103"/>
      <c r="G131" s="104" t="n">
        <v>480</v>
      </c>
      <c r="H131" s="104"/>
    </row>
    <row r="134" customFormat="false" ht="17.25" hidden="false" customHeight="false" outlineLevel="0" collapsed="false">
      <c r="B134" s="105"/>
      <c r="C134" s="105"/>
      <c r="D134" s="105"/>
      <c r="E134" s="105"/>
      <c r="F134" s="105"/>
      <c r="G134" s="105"/>
      <c r="H134" s="105"/>
    </row>
    <row r="135" customFormat="false" ht="17.25" hidden="false" customHeight="false" outlineLevel="0" collapsed="false">
      <c r="B135" s="106" t="s">
        <v>27</v>
      </c>
      <c r="C135" s="105"/>
      <c r="D135" s="105"/>
      <c r="E135" s="106"/>
      <c r="F135" s="107" t="n">
        <f aca="false">C6</f>
        <v>41244</v>
      </c>
      <c r="G135" s="105"/>
      <c r="H135" s="105"/>
    </row>
    <row r="136" customFormat="false" ht="18" hidden="false" customHeight="false" outlineLevel="0" collapsed="false">
      <c r="B136" s="108"/>
      <c r="C136" s="108"/>
      <c r="D136" s="108"/>
      <c r="E136" s="108"/>
      <c r="F136" s="108"/>
      <c r="G136" s="108"/>
      <c r="H136" s="108"/>
    </row>
    <row r="138" customFormat="false" ht="18" hidden="false" customHeight="false" outlineLevel="0" collapsed="false">
      <c r="B138" s="109" t="s">
        <v>28</v>
      </c>
      <c r="C138" s="110"/>
      <c r="D138" s="110"/>
      <c r="E138" s="110"/>
      <c r="F138" s="110"/>
      <c r="G138" s="110"/>
      <c r="H138" s="111" t="s">
        <v>3</v>
      </c>
    </row>
    <row r="139" customFormat="false" ht="15.75" hidden="false" customHeight="true" outlineLevel="0" collapsed="false">
      <c r="B139" s="44" t="s">
        <v>29</v>
      </c>
      <c r="C139" s="44"/>
      <c r="D139" s="44"/>
      <c r="E139" s="44"/>
      <c r="F139" s="44"/>
      <c r="G139" s="112" t="s">
        <v>30</v>
      </c>
      <c r="H139" s="112"/>
    </row>
    <row r="140" customFormat="false" ht="17.25" hidden="false" customHeight="true" outlineLevel="0" collapsed="false">
      <c r="B140" s="113" t="s">
        <v>33</v>
      </c>
      <c r="C140" s="113"/>
      <c r="D140" s="113"/>
      <c r="E140" s="113"/>
      <c r="F140" s="113"/>
      <c r="G140" s="114" t="n">
        <v>187959</v>
      </c>
      <c r="H140" s="114"/>
      <c r="J140" s="115"/>
      <c r="K140" s="116"/>
    </row>
    <row r="141" customFormat="false" ht="17.25" hidden="false" customHeight="true" outlineLevel="0" collapsed="false">
      <c r="B141" s="49" t="s">
        <v>181</v>
      </c>
      <c r="C141" s="49"/>
      <c r="D141" s="49"/>
      <c r="E141" s="49"/>
      <c r="F141" s="49"/>
      <c r="G141" s="117" t="n">
        <v>172520</v>
      </c>
      <c r="H141" s="117"/>
      <c r="J141" s="115"/>
      <c r="K141" s="116"/>
    </row>
    <row r="142" customFormat="false" ht="17.25" hidden="false" customHeight="true" outlineLevel="0" collapsed="false">
      <c r="B142" s="49" t="s">
        <v>167</v>
      </c>
      <c r="C142" s="49"/>
      <c r="D142" s="49"/>
      <c r="E142" s="49"/>
      <c r="F142" s="49"/>
      <c r="G142" s="117" t="n">
        <v>118202</v>
      </c>
      <c r="H142" s="117"/>
      <c r="J142" s="115"/>
      <c r="K142" s="116"/>
    </row>
    <row r="143" customFormat="false" ht="17.25" hidden="false" customHeight="true" outlineLevel="0" collapsed="false">
      <c r="B143" s="49" t="s">
        <v>312</v>
      </c>
      <c r="C143" s="49"/>
      <c r="D143" s="49"/>
      <c r="E143" s="49"/>
      <c r="F143" s="49"/>
      <c r="G143" s="117" t="n">
        <v>104683</v>
      </c>
      <c r="H143" s="117"/>
      <c r="J143" s="115"/>
      <c r="K143" s="116"/>
    </row>
    <row r="144" customFormat="false" ht="17.25" hidden="false" customHeight="true" outlineLevel="0" collapsed="false">
      <c r="B144" s="49" t="s">
        <v>186</v>
      </c>
      <c r="C144" s="49"/>
      <c r="D144" s="49"/>
      <c r="E144" s="49"/>
      <c r="F144" s="49"/>
      <c r="G144" s="117" t="n">
        <v>59543</v>
      </c>
      <c r="H144" s="117"/>
      <c r="J144" s="115"/>
      <c r="K144" s="116"/>
    </row>
    <row r="145" customFormat="false" ht="13.5" hidden="false" customHeight="true" outlineLevel="0" collapsed="false">
      <c r="B145" s="49" t="s">
        <v>173</v>
      </c>
      <c r="C145" s="49"/>
      <c r="D145" s="49"/>
      <c r="E145" s="49"/>
      <c r="F145" s="49"/>
      <c r="G145" s="117" t="n">
        <v>42147</v>
      </c>
      <c r="H145" s="117"/>
      <c r="J145" s="118"/>
      <c r="K145" s="116"/>
    </row>
    <row r="146" customFormat="false" ht="17.25" hidden="false" customHeight="true" outlineLevel="0" collapsed="false">
      <c r="B146" s="49" t="s">
        <v>165</v>
      </c>
      <c r="C146" s="49"/>
      <c r="D146" s="49"/>
      <c r="E146" s="49"/>
      <c r="F146" s="49"/>
      <c r="G146" s="117" t="n">
        <v>33738</v>
      </c>
      <c r="H146" s="117"/>
      <c r="J146" s="115"/>
      <c r="K146" s="116"/>
    </row>
    <row r="147" customFormat="false" ht="17.25" hidden="false" customHeight="true" outlineLevel="0" collapsed="false">
      <c r="B147" s="49" t="s">
        <v>177</v>
      </c>
      <c r="C147" s="49"/>
      <c r="D147" s="49"/>
      <c r="E147" s="49"/>
      <c r="F147" s="49"/>
      <c r="G147" s="117" t="n">
        <v>28427</v>
      </c>
      <c r="H147" s="117"/>
      <c r="J147" s="115"/>
      <c r="K147" s="116"/>
    </row>
    <row r="148" customFormat="false" ht="17.25" hidden="false" customHeight="true" outlineLevel="0" collapsed="false">
      <c r="B148" s="49" t="s">
        <v>49</v>
      </c>
      <c r="C148" s="49"/>
      <c r="D148" s="49"/>
      <c r="E148" s="49"/>
      <c r="F148" s="49"/>
      <c r="G148" s="117" t="n">
        <v>19623</v>
      </c>
      <c r="H148" s="117"/>
      <c r="J148" s="115"/>
      <c r="K148" s="116"/>
    </row>
    <row r="149" customFormat="false" ht="18" hidden="false" customHeight="true" outlineLevel="0" collapsed="false">
      <c r="B149" s="103" t="s">
        <v>191</v>
      </c>
      <c r="C149" s="103"/>
      <c r="D149" s="103"/>
      <c r="E149" s="103"/>
      <c r="F149" s="103"/>
      <c r="G149" s="119" t="n">
        <v>19310</v>
      </c>
      <c r="H149" s="119"/>
      <c r="J149" s="115"/>
      <c r="K149" s="116"/>
    </row>
    <row r="150" customFormat="false" ht="17.25" hidden="false" customHeight="false" outlineLevel="0" collapsed="false">
      <c r="G150" s="120"/>
      <c r="H150" s="120"/>
      <c r="J150" s="121"/>
      <c r="K150" s="121"/>
    </row>
    <row r="151" customFormat="false" ht="17.25" hidden="false" customHeight="false" outlineLevel="0" collapsed="false">
      <c r="B151" s="122"/>
      <c r="C151" s="122"/>
      <c r="D151" s="122"/>
      <c r="E151" s="122"/>
      <c r="F151" s="122"/>
      <c r="G151" s="120"/>
      <c r="H151" s="120"/>
      <c r="J151" s="121"/>
      <c r="K151" s="121"/>
    </row>
    <row r="152" customFormat="false" ht="18" hidden="false" customHeight="false" outlineLevel="0" collapsed="false">
      <c r="B152" s="109" t="s">
        <v>51</v>
      </c>
      <c r="C152" s="110"/>
      <c r="D152" s="110"/>
      <c r="E152" s="110"/>
      <c r="F152" s="110"/>
      <c r="G152" s="110"/>
      <c r="H152" s="111" t="s">
        <v>15</v>
      </c>
      <c r="J152" s="121"/>
      <c r="K152" s="121"/>
    </row>
    <row r="153" customFormat="false" ht="15.75" hidden="false" customHeight="true" outlineLevel="0" collapsed="false">
      <c r="B153" s="44" t="s">
        <v>29</v>
      </c>
      <c r="C153" s="44"/>
      <c r="D153" s="44"/>
      <c r="E153" s="44"/>
      <c r="F153" s="44"/>
      <c r="G153" s="112" t="s">
        <v>30</v>
      </c>
      <c r="H153" s="112"/>
      <c r="J153" s="121"/>
      <c r="K153" s="121"/>
    </row>
    <row r="154" customFormat="false" ht="17.25" hidden="false" customHeight="true" outlineLevel="0" collapsed="false">
      <c r="B154" s="113" t="s">
        <v>181</v>
      </c>
      <c r="C154" s="113"/>
      <c r="D154" s="113"/>
      <c r="E154" s="113"/>
      <c r="F154" s="113"/>
      <c r="G154" s="114" t="n">
        <v>13968</v>
      </c>
      <c r="H154" s="114"/>
      <c r="I154" s="123"/>
      <c r="J154" s="124"/>
      <c r="K154" s="116"/>
      <c r="L154" s="125"/>
    </row>
    <row r="155" customFormat="false" ht="17.25" hidden="false" customHeight="true" outlineLevel="0" collapsed="false">
      <c r="B155" s="49" t="s">
        <v>167</v>
      </c>
      <c r="C155" s="49"/>
      <c r="D155" s="49"/>
      <c r="E155" s="49"/>
      <c r="F155" s="49"/>
      <c r="G155" s="117" t="n">
        <v>11978</v>
      </c>
      <c r="H155" s="117"/>
      <c r="I155" s="123"/>
      <c r="J155" s="124"/>
      <c r="K155" s="116"/>
      <c r="L155" s="125"/>
    </row>
    <row r="156" customFormat="false" ht="17.25" hidden="false" customHeight="true" outlineLevel="0" collapsed="false">
      <c r="B156" s="49" t="s">
        <v>312</v>
      </c>
      <c r="C156" s="49"/>
      <c r="D156" s="49"/>
      <c r="E156" s="49"/>
      <c r="F156" s="49"/>
      <c r="G156" s="117" t="n">
        <v>10901</v>
      </c>
      <c r="H156" s="117"/>
      <c r="I156" s="123"/>
      <c r="J156" s="124"/>
      <c r="K156" s="116"/>
      <c r="L156" s="125"/>
    </row>
    <row r="157" customFormat="false" ht="17.25" hidden="false" customHeight="true" outlineLevel="0" collapsed="false">
      <c r="B157" s="49" t="s">
        <v>33</v>
      </c>
      <c r="C157" s="49"/>
      <c r="D157" s="49"/>
      <c r="E157" s="49"/>
      <c r="F157" s="49"/>
      <c r="G157" s="117" t="n">
        <v>6838</v>
      </c>
      <c r="H157" s="117"/>
      <c r="I157" s="123"/>
      <c r="J157" s="124"/>
      <c r="K157" s="116"/>
      <c r="L157" s="125"/>
    </row>
    <row r="158" customFormat="false" ht="17.25" hidden="false" customHeight="true" outlineLevel="0" collapsed="false">
      <c r="B158" s="49" t="s">
        <v>186</v>
      </c>
      <c r="C158" s="49"/>
      <c r="D158" s="49"/>
      <c r="E158" s="49"/>
      <c r="F158" s="49"/>
      <c r="G158" s="117" t="n">
        <v>4331</v>
      </c>
      <c r="H158" s="117"/>
      <c r="I158" s="123"/>
      <c r="J158" s="124"/>
      <c r="K158" s="116"/>
      <c r="L158" s="125"/>
    </row>
    <row r="159" customFormat="false" ht="17.25" hidden="false" customHeight="true" outlineLevel="0" collapsed="false">
      <c r="B159" s="49" t="s">
        <v>173</v>
      </c>
      <c r="C159" s="49"/>
      <c r="D159" s="49"/>
      <c r="E159" s="49"/>
      <c r="F159" s="49"/>
      <c r="G159" s="117" t="n">
        <v>4160</v>
      </c>
      <c r="H159" s="117"/>
      <c r="I159" s="123"/>
      <c r="J159" s="126"/>
      <c r="K159" s="116"/>
      <c r="L159" s="125"/>
    </row>
    <row r="160" customFormat="false" ht="17.25" hidden="false" customHeight="true" outlineLevel="0" collapsed="false">
      <c r="B160" s="49" t="s">
        <v>165</v>
      </c>
      <c r="C160" s="49"/>
      <c r="D160" s="49"/>
      <c r="E160" s="49"/>
      <c r="F160" s="49"/>
      <c r="G160" s="117" t="n">
        <v>3287</v>
      </c>
      <c r="H160" s="117"/>
      <c r="I160" s="123"/>
      <c r="J160" s="124"/>
      <c r="K160" s="116"/>
      <c r="L160" s="125"/>
    </row>
    <row r="161" customFormat="false" ht="17.25" hidden="false" customHeight="true" outlineLevel="0" collapsed="false">
      <c r="B161" s="49" t="s">
        <v>177</v>
      </c>
      <c r="C161" s="49"/>
      <c r="D161" s="49"/>
      <c r="E161" s="49"/>
      <c r="F161" s="49"/>
      <c r="G161" s="117" t="n">
        <v>1966</v>
      </c>
      <c r="H161" s="117"/>
      <c r="I161" s="123"/>
      <c r="J161" s="124"/>
      <c r="K161" s="116"/>
      <c r="L161" s="125"/>
    </row>
    <row r="162" customFormat="false" ht="17.25" hidden="false" customHeight="true" outlineLevel="0" collapsed="false">
      <c r="B162" s="49" t="s">
        <v>203</v>
      </c>
      <c r="C162" s="49"/>
      <c r="D162" s="49"/>
      <c r="E162" s="49"/>
      <c r="F162" s="49"/>
      <c r="G162" s="117" t="n">
        <v>1795</v>
      </c>
      <c r="H162" s="117"/>
      <c r="I162" s="123"/>
      <c r="J162" s="124"/>
      <c r="K162" s="116"/>
      <c r="L162" s="125"/>
    </row>
    <row r="163" customFormat="false" ht="18" hidden="false" customHeight="true" outlineLevel="0" collapsed="false">
      <c r="B163" s="103" t="s">
        <v>49</v>
      </c>
      <c r="C163" s="103"/>
      <c r="D163" s="103"/>
      <c r="E163" s="103"/>
      <c r="F163" s="103"/>
      <c r="G163" s="119" t="n">
        <v>1579</v>
      </c>
      <c r="H163" s="119"/>
      <c r="I163" s="123"/>
      <c r="J163" s="124"/>
      <c r="K163" s="116"/>
      <c r="L163" s="125"/>
    </row>
    <row r="164" customFormat="false" ht="17.25" hidden="false" customHeight="false" outlineLevel="0" collapsed="false">
      <c r="B164" s="122"/>
      <c r="C164" s="122"/>
      <c r="D164" s="122"/>
      <c r="E164" s="122"/>
      <c r="F164" s="122"/>
      <c r="G164" s="120"/>
      <c r="H164" s="120"/>
      <c r="J164" s="121"/>
      <c r="K164" s="121"/>
    </row>
    <row r="165" customFormat="false" ht="17.25" hidden="false" customHeight="false" outlineLevel="0" collapsed="false">
      <c r="G165" s="120"/>
      <c r="H165" s="120"/>
      <c r="J165" s="11"/>
      <c r="K165" s="11"/>
    </row>
    <row r="166" customFormat="false" ht="18" hidden="false" customHeight="false" outlineLevel="0" collapsed="false">
      <c r="B166" s="109" t="s">
        <v>63</v>
      </c>
      <c r="C166" s="110"/>
      <c r="D166" s="110"/>
      <c r="E166" s="110"/>
      <c r="F166" s="110"/>
      <c r="G166" s="110"/>
      <c r="H166" s="111" t="s">
        <v>17</v>
      </c>
      <c r="J166" s="11"/>
      <c r="K166" s="121"/>
    </row>
    <row r="167" customFormat="false" ht="15" hidden="false" customHeight="true" outlineLevel="0" collapsed="false">
      <c r="B167" s="44" t="s">
        <v>29</v>
      </c>
      <c r="C167" s="44"/>
      <c r="D167" s="44"/>
      <c r="E167" s="44"/>
      <c r="F167" s="44"/>
      <c r="G167" s="112" t="s">
        <v>64</v>
      </c>
      <c r="H167" s="112"/>
      <c r="J167" s="11"/>
      <c r="K167" s="11"/>
    </row>
    <row r="168" customFormat="false" ht="17.25" hidden="false" customHeight="true" outlineLevel="0" collapsed="false">
      <c r="B168" s="113" t="s">
        <v>286</v>
      </c>
      <c r="C168" s="113"/>
      <c r="D168" s="113"/>
      <c r="E168" s="113"/>
      <c r="F168" s="113"/>
      <c r="G168" s="114" t="n">
        <v>1049103675339</v>
      </c>
      <c r="H168" s="114"/>
      <c r="I168" s="123"/>
      <c r="J168" s="127"/>
      <c r="K168" s="128"/>
    </row>
    <row r="169" customFormat="false" ht="17.25" hidden="false" customHeight="true" outlineLevel="0" collapsed="false">
      <c r="B169" s="49" t="s">
        <v>165</v>
      </c>
      <c r="C169" s="49"/>
      <c r="D169" s="49"/>
      <c r="E169" s="49"/>
      <c r="F169" s="49"/>
      <c r="G169" s="117" t="n">
        <v>753785750013</v>
      </c>
      <c r="H169" s="117"/>
      <c r="I169" s="123"/>
      <c r="J169" s="127"/>
      <c r="K169" s="128"/>
    </row>
    <row r="170" customFormat="false" ht="17.25" hidden="false" customHeight="true" outlineLevel="0" collapsed="false">
      <c r="B170" s="49" t="s">
        <v>161</v>
      </c>
      <c r="C170" s="49"/>
      <c r="D170" s="49"/>
      <c r="E170" s="49"/>
      <c r="F170" s="49"/>
      <c r="G170" s="117" t="n">
        <v>700395025614</v>
      </c>
      <c r="H170" s="117"/>
      <c r="I170" s="123"/>
      <c r="J170" s="127"/>
      <c r="K170" s="128"/>
    </row>
    <row r="171" customFormat="false" ht="17.25" hidden="false" customHeight="true" outlineLevel="0" collapsed="false">
      <c r="B171" s="49" t="s">
        <v>312</v>
      </c>
      <c r="C171" s="49"/>
      <c r="D171" s="49"/>
      <c r="E171" s="49"/>
      <c r="F171" s="49"/>
      <c r="G171" s="117" t="n">
        <v>431675562539</v>
      </c>
      <c r="H171" s="117"/>
      <c r="I171" s="123"/>
      <c r="J171" s="127"/>
      <c r="K171" s="128"/>
    </row>
    <row r="172" customFormat="false" ht="17.25" hidden="false" customHeight="true" outlineLevel="0" collapsed="false">
      <c r="B172" s="49" t="s">
        <v>167</v>
      </c>
      <c r="C172" s="49"/>
      <c r="D172" s="49"/>
      <c r="E172" s="49"/>
      <c r="F172" s="49"/>
      <c r="G172" s="117" t="n">
        <v>368516381057</v>
      </c>
      <c r="H172" s="117"/>
      <c r="I172" s="123"/>
      <c r="J172" s="129"/>
      <c r="K172" s="116"/>
    </row>
    <row r="173" customFormat="false" ht="17.25" hidden="false" customHeight="true" outlineLevel="0" collapsed="false">
      <c r="B173" s="49" t="s">
        <v>169</v>
      </c>
      <c r="C173" s="49"/>
      <c r="D173" s="49"/>
      <c r="E173" s="49"/>
      <c r="F173" s="49"/>
      <c r="G173" s="117" t="n">
        <v>350111225875</v>
      </c>
      <c r="H173" s="117"/>
      <c r="I173" s="123"/>
      <c r="J173" s="127"/>
      <c r="K173" s="128"/>
    </row>
    <row r="174" customFormat="false" ht="17.25" hidden="false" customHeight="true" outlineLevel="0" collapsed="false">
      <c r="B174" s="49" t="s">
        <v>173</v>
      </c>
      <c r="C174" s="49"/>
      <c r="D174" s="49"/>
      <c r="E174" s="49"/>
      <c r="F174" s="49"/>
      <c r="G174" s="117" t="n">
        <v>276661219719</v>
      </c>
      <c r="H174" s="117"/>
      <c r="I174" s="123"/>
      <c r="J174" s="127"/>
      <c r="K174" s="128"/>
    </row>
    <row r="175" customFormat="false" ht="17.25" hidden="false" customHeight="true" outlineLevel="0" collapsed="false">
      <c r="B175" s="49" t="s">
        <v>277</v>
      </c>
      <c r="C175" s="49"/>
      <c r="D175" s="49"/>
      <c r="E175" s="49"/>
      <c r="F175" s="49"/>
      <c r="G175" s="117" t="n">
        <v>219687972557</v>
      </c>
      <c r="H175" s="117"/>
      <c r="I175" s="123"/>
      <c r="J175" s="127"/>
      <c r="K175" s="128"/>
    </row>
    <row r="176" customFormat="false" ht="17.25" hidden="false" customHeight="true" outlineLevel="0" collapsed="false">
      <c r="B176" s="49" t="s">
        <v>179</v>
      </c>
      <c r="C176" s="49"/>
      <c r="D176" s="49"/>
      <c r="E176" s="49"/>
      <c r="F176" s="49"/>
      <c r="G176" s="117" t="n">
        <v>218842734592</v>
      </c>
      <c r="H176" s="117"/>
      <c r="I176" s="123"/>
      <c r="J176" s="127"/>
      <c r="K176" s="128"/>
    </row>
    <row r="177" customFormat="false" ht="18" hidden="false" customHeight="true" outlineLevel="0" collapsed="false">
      <c r="B177" s="103" t="s">
        <v>175</v>
      </c>
      <c r="C177" s="103"/>
      <c r="D177" s="103"/>
      <c r="E177" s="103"/>
      <c r="F177" s="103"/>
      <c r="G177" s="119" t="n">
        <v>216413970235</v>
      </c>
      <c r="H177" s="119"/>
      <c r="I177" s="123"/>
      <c r="J177" s="127"/>
      <c r="K177" s="128"/>
    </row>
    <row r="178" customFormat="false" ht="17.25" hidden="false" customHeight="false" outlineLevel="0" collapsed="false">
      <c r="G178" s="120"/>
      <c r="H178" s="120"/>
      <c r="K178" s="130"/>
    </row>
    <row r="179" customFormat="false" ht="13.5" hidden="false" customHeight="false" outlineLevel="0" collapsed="false">
      <c r="B179" s="131"/>
      <c r="K179" s="130"/>
    </row>
  </sheetData>
  <mergeCells count="103">
    <mergeCell ref="B2:H2"/>
    <mergeCell ref="B3:H3"/>
    <mergeCell ref="B11:D11"/>
    <mergeCell ref="B12:D12"/>
    <mergeCell ref="B13:D1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0:F130"/>
    <mergeCell ref="G130:H130"/>
    <mergeCell ref="B131:F131"/>
    <mergeCell ref="G131:H131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49:F149"/>
    <mergeCell ref="G149:H14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B167:F167"/>
    <mergeCell ref="G167:H167"/>
    <mergeCell ref="B168:F168"/>
    <mergeCell ref="G168:H168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</mergeCells>
  <printOptions headings="false" gridLines="false" gridLinesSet="true" horizontalCentered="false" verticalCentered="false"/>
  <pageMargins left="0.708333333333333" right="0.708333333333333" top="0.157638888888889" bottom="0.157638888888889" header="0.511805555555555" footer="0.118055555555556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&amp;C&amp;P (&amp;N)</oddFooter>
  </headerFooter>
  <rowBreaks count="5" manualBreakCount="5">
    <brk id="41" man="true" max="16383" min="0"/>
    <brk id="80" man="true" max="16383" min="0"/>
    <brk id="121" man="true" max="16383" min="0"/>
    <brk id="150" man="true" max="16383" min="0"/>
    <brk id="191" man="true" max="16383" min="0"/>
  </row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LibreOffice/6.4.6.2$Linux_X86_64 LibreOffice_project/40$Build-2</Application>
  <Company>MICEX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2007-06-25T14:16:27Z</dcterms:created>
  <dc:creator>Zakharova_ia</dc:creator>
  <dc:description/>
  <dc:language>en-US</dc:language>
  <cp:lastModifiedBy/>
  <cp:lastPrinted>2012-12-17T13:16:16Z</cp:lastPrinted>
  <dcterms:modified xsi:type="dcterms:W3CDTF">2021-02-09T03:54:33Z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MICEX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