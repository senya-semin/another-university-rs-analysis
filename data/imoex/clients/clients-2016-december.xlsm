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7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8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10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1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ЭтаКнига1" defaultThemeVersion="124226"/>
  <bookViews>
    <workbookView xWindow="-3165" yWindow="435" windowWidth="15480" windowHeight="6195" tabRatio="773" activeTab="11"/>
  </bookViews>
  <sheets>
    <sheet name="January" sheetId="283" r:id="rId1"/>
    <sheet name="February" sheetId="284" r:id="rId2"/>
    <sheet name="March" sheetId="285" r:id="rId3"/>
    <sheet name="April" sheetId="286" r:id="rId4"/>
    <sheet name="May" sheetId="287" r:id="rId5"/>
    <sheet name="June" sheetId="288" r:id="rId6"/>
    <sheet name="July" sheetId="289" r:id="rId7"/>
    <sheet name="August" sheetId="290" r:id="rId8"/>
    <sheet name="September" sheetId="291" r:id="rId9"/>
    <sheet name="October" sheetId="292" r:id="rId10"/>
    <sheet name="November" sheetId="293" r:id="rId11"/>
    <sheet name="December" sheetId="294" r:id="rId12"/>
  </sheets>
  <externalReferences>
    <externalReference r:id="rId13"/>
  </externalReferences>
  <calcPr calcId="145621" concurrentCalc="0"/>
</workbook>
</file>

<file path=xl/calcChain.xml><?xml version="1.0" encoding="utf-8"?>
<calcChain xmlns="http://schemas.openxmlformats.org/spreadsheetml/2006/main">
  <c r="E35" i="294" l="1"/>
  <c r="E36" i="294"/>
  <c r="E37" i="294"/>
  <c r="E38" i="294"/>
  <c r="E39" i="294"/>
  <c r="E40" i="294"/>
  <c r="E34" i="294"/>
  <c r="E35" i="293"/>
  <c r="E36" i="293"/>
  <c r="E37" i="293"/>
  <c r="E38" i="293"/>
  <c r="E39" i="293"/>
  <c r="E40" i="293"/>
  <c r="E34" i="293"/>
  <c r="E24" i="294"/>
  <c r="E25" i="294"/>
  <c r="E26" i="294"/>
  <c r="E27" i="294"/>
  <c r="E28" i="294"/>
  <c r="E29" i="294"/>
  <c r="E23" i="294"/>
  <c r="E13" i="294"/>
  <c r="E14" i="294"/>
  <c r="E15" i="294"/>
  <c r="E16" i="294"/>
  <c r="E17" i="294"/>
  <c r="E18" i="294"/>
  <c r="E12" i="294"/>
  <c r="E24" i="293"/>
  <c r="E25" i="293"/>
  <c r="E26" i="293"/>
  <c r="E27" i="293"/>
  <c r="E28" i="293"/>
  <c r="E29" i="293"/>
  <c r="E23" i="293"/>
  <c r="E13" i="293"/>
  <c r="E14" i="293"/>
  <c r="E15" i="293"/>
  <c r="E16" i="293"/>
  <c r="E17" i="293"/>
  <c r="E18" i="293"/>
  <c r="E12" i="293"/>
  <c r="E35" i="292"/>
  <c r="E36" i="292"/>
  <c r="E37" i="292"/>
  <c r="E38" i="292"/>
  <c r="E39" i="292"/>
  <c r="E40" i="292"/>
  <c r="E34" i="292"/>
  <c r="E24" i="292"/>
  <c r="E25" i="292"/>
  <c r="E26" i="292"/>
  <c r="E27" i="292"/>
  <c r="E28" i="292"/>
  <c r="E29" i="292"/>
  <c r="E23" i="292"/>
  <c r="E13" i="292"/>
  <c r="E14" i="292"/>
  <c r="E15" i="292"/>
  <c r="E16" i="292"/>
  <c r="E17" i="292"/>
  <c r="E18" i="292"/>
  <c r="E12" i="292"/>
  <c r="E35" i="291"/>
  <c r="E36" i="291"/>
  <c r="E37" i="291"/>
  <c r="E38" i="291"/>
  <c r="E39" i="291"/>
  <c r="E40" i="291"/>
  <c r="E34" i="291"/>
  <c r="E24" i="291"/>
  <c r="E25" i="291"/>
  <c r="E26" i="291"/>
  <c r="E27" i="291"/>
  <c r="E28" i="291"/>
  <c r="E29" i="291"/>
  <c r="E23" i="291"/>
  <c r="E13" i="291"/>
  <c r="E14" i="291"/>
  <c r="E15" i="291"/>
  <c r="E16" i="291"/>
  <c r="E17" i="291"/>
  <c r="E18" i="291"/>
  <c r="E12" i="291"/>
  <c r="E35" i="290"/>
  <c r="E36" i="290"/>
  <c r="E37" i="290"/>
  <c r="E38" i="290"/>
  <c r="E39" i="290"/>
  <c r="E40" i="290"/>
  <c r="E34" i="290"/>
  <c r="E24" i="290"/>
  <c r="E25" i="290"/>
  <c r="E26" i="290"/>
  <c r="E27" i="290"/>
  <c r="E28" i="290"/>
  <c r="E29" i="290"/>
  <c r="E23" i="290"/>
  <c r="E13" i="290"/>
  <c r="E14" i="290"/>
  <c r="E15" i="290"/>
  <c r="E16" i="290"/>
  <c r="E17" i="290"/>
  <c r="E18" i="290"/>
  <c r="E12" i="290"/>
  <c r="E35" i="289"/>
  <c r="E36" i="289"/>
  <c r="E37" i="289"/>
  <c r="E38" i="289"/>
  <c r="E39" i="289"/>
  <c r="E40" i="289"/>
  <c r="E34" i="289"/>
  <c r="E24" i="289"/>
  <c r="E25" i="289"/>
  <c r="E26" i="289"/>
  <c r="E27" i="289"/>
  <c r="E28" i="289"/>
  <c r="E29" i="289"/>
  <c r="E23" i="289"/>
  <c r="E13" i="289"/>
  <c r="E14" i="289"/>
  <c r="E15" i="289"/>
  <c r="E16" i="289"/>
  <c r="E17" i="289"/>
  <c r="E18" i="289"/>
  <c r="E12" i="289"/>
  <c r="E35" i="288"/>
  <c r="E36" i="288"/>
  <c r="E37" i="288"/>
  <c r="E38" i="288"/>
  <c r="E39" i="288"/>
  <c r="E40" i="288"/>
  <c r="E34" i="288"/>
  <c r="E24" i="288"/>
  <c r="E25" i="288"/>
  <c r="E26" i="288"/>
  <c r="E27" i="288"/>
  <c r="E28" i="288"/>
  <c r="E29" i="288"/>
  <c r="E23" i="288"/>
  <c r="E35" i="287"/>
  <c r="E36" i="287"/>
  <c r="E37" i="287"/>
  <c r="E38" i="287"/>
  <c r="E39" i="287"/>
  <c r="E40" i="287"/>
  <c r="E34" i="287"/>
  <c r="E24" i="287"/>
  <c r="E25" i="287"/>
  <c r="E26" i="287"/>
  <c r="E27" i="287"/>
  <c r="E28" i="287"/>
  <c r="E29" i="287"/>
  <c r="E23" i="287"/>
  <c r="E13" i="287"/>
  <c r="E14" i="287"/>
  <c r="E15" i="287"/>
  <c r="E16" i="287"/>
  <c r="E17" i="287"/>
  <c r="E18" i="287"/>
  <c r="E12" i="287"/>
  <c r="E35" i="286"/>
  <c r="E36" i="286"/>
  <c r="E37" i="286"/>
  <c r="E38" i="286"/>
  <c r="E39" i="286"/>
  <c r="E40" i="286"/>
  <c r="E34" i="286"/>
  <c r="E24" i="286"/>
  <c r="E25" i="286"/>
  <c r="E26" i="286"/>
  <c r="E27" i="286"/>
  <c r="E28" i="286"/>
  <c r="E29" i="286"/>
  <c r="E23" i="286"/>
  <c r="E13" i="286"/>
  <c r="E14" i="286"/>
  <c r="E15" i="286"/>
  <c r="E16" i="286"/>
  <c r="E17" i="286"/>
  <c r="E18" i="286"/>
  <c r="E12" i="286"/>
  <c r="E35" i="285"/>
  <c r="E36" i="285"/>
  <c r="E37" i="285"/>
  <c r="E38" i="285"/>
  <c r="E39" i="285"/>
  <c r="E40" i="285"/>
  <c r="E34" i="285"/>
  <c r="E24" i="285"/>
  <c r="E25" i="285"/>
  <c r="E26" i="285"/>
  <c r="E27" i="285"/>
  <c r="E28" i="285"/>
  <c r="E29" i="285"/>
  <c r="E23" i="285"/>
  <c r="E13" i="285"/>
  <c r="E14" i="285"/>
  <c r="E15" i="285"/>
  <c r="E16" i="285"/>
  <c r="E17" i="285"/>
  <c r="E18" i="285"/>
  <c r="E12" i="285"/>
  <c r="E35" i="284"/>
  <c r="E36" i="284"/>
  <c r="E37" i="284"/>
  <c r="E38" i="284"/>
  <c r="E39" i="284"/>
  <c r="E40" i="284"/>
  <c r="E34" i="284"/>
  <c r="E24" i="284"/>
  <c r="E25" i="284"/>
  <c r="E26" i="284"/>
  <c r="E27" i="284"/>
  <c r="E28" i="284"/>
  <c r="E29" i="284"/>
  <c r="E23" i="284"/>
  <c r="E13" i="284"/>
  <c r="E14" i="284"/>
  <c r="E15" i="284"/>
  <c r="E16" i="284"/>
  <c r="E17" i="284"/>
  <c r="E18" i="284"/>
  <c r="E12" i="284"/>
  <c r="C124" i="294"/>
  <c r="H83" i="294"/>
  <c r="G83" i="294"/>
  <c r="F83" i="294"/>
  <c r="E83" i="294"/>
  <c r="D83" i="294"/>
  <c r="C83" i="294"/>
  <c r="H40" i="294"/>
  <c r="G40" i="294"/>
  <c r="H39" i="294"/>
  <c r="G39" i="294"/>
  <c r="H38" i="294"/>
  <c r="G38" i="294"/>
  <c r="H37" i="294"/>
  <c r="G37" i="294"/>
  <c r="H36" i="294"/>
  <c r="G36" i="294"/>
  <c r="H35" i="294"/>
  <c r="G35" i="294"/>
  <c r="H34" i="294"/>
  <c r="G34" i="294"/>
  <c r="E33" i="294"/>
  <c r="H29" i="294"/>
  <c r="G29" i="294"/>
  <c r="H28" i="294"/>
  <c r="G28" i="294"/>
  <c r="H27" i="294"/>
  <c r="G27" i="294"/>
  <c r="H26" i="294"/>
  <c r="G26" i="294"/>
  <c r="H25" i="294"/>
  <c r="G25" i="294"/>
  <c r="H24" i="294"/>
  <c r="G24" i="294"/>
  <c r="H23" i="294"/>
  <c r="G23" i="294"/>
  <c r="E22" i="294"/>
  <c r="H18" i="294"/>
  <c r="G18" i="294"/>
  <c r="H17" i="294"/>
  <c r="G17" i="294"/>
  <c r="H16" i="294"/>
  <c r="G16" i="294"/>
  <c r="H15" i="294"/>
  <c r="G15" i="294"/>
  <c r="H14" i="294"/>
  <c r="G14" i="294"/>
  <c r="H13" i="294"/>
  <c r="G13" i="294"/>
  <c r="H12" i="294"/>
  <c r="G12" i="294"/>
  <c r="F11" i="294"/>
  <c r="F22" i="294"/>
  <c r="E11" i="294"/>
  <c r="C6" i="294"/>
  <c r="F133" i="294"/>
  <c r="F33" i="294"/>
  <c r="C6" i="293"/>
  <c r="F133" i="293"/>
  <c r="C124" i="293"/>
  <c r="E11" i="293"/>
  <c r="H83" i="293"/>
  <c r="G83" i="293"/>
  <c r="F83" i="293"/>
  <c r="E83" i="293"/>
  <c r="D83" i="293"/>
  <c r="C83" i="293"/>
  <c r="H40" i="293"/>
  <c r="G40" i="293"/>
  <c r="H39" i="293"/>
  <c r="G39" i="293"/>
  <c r="H38" i="293"/>
  <c r="G38" i="293"/>
  <c r="H37" i="293"/>
  <c r="G37" i="293"/>
  <c r="H36" i="293"/>
  <c r="G36" i="293"/>
  <c r="H35" i="293"/>
  <c r="G35" i="293"/>
  <c r="H34" i="293"/>
  <c r="G34" i="293"/>
  <c r="F11" i="293"/>
  <c r="F33" i="293"/>
  <c r="E33" i="293"/>
  <c r="H29" i="293"/>
  <c r="G29" i="293"/>
  <c r="H28" i="293"/>
  <c r="G28" i="293"/>
  <c r="H27" i="293"/>
  <c r="G27" i="293"/>
  <c r="H26" i="293"/>
  <c r="G26" i="293"/>
  <c r="H25" i="293"/>
  <c r="G25" i="293"/>
  <c r="H24" i="293"/>
  <c r="G24" i="293"/>
  <c r="H23" i="293"/>
  <c r="G23" i="293"/>
  <c r="F22" i="293"/>
  <c r="E22" i="293"/>
  <c r="H18" i="293"/>
  <c r="G18" i="293"/>
  <c r="H17" i="293"/>
  <c r="G17" i="293"/>
  <c r="H16" i="293"/>
  <c r="G16" i="293"/>
  <c r="H15" i="293"/>
  <c r="G15" i="293"/>
  <c r="H14" i="293"/>
  <c r="G14" i="293"/>
  <c r="H13" i="293"/>
  <c r="G13" i="293"/>
  <c r="H12" i="293"/>
  <c r="G12" i="293"/>
  <c r="E33" i="292"/>
  <c r="E22" i="292"/>
  <c r="E33" i="291"/>
  <c r="E22" i="291"/>
  <c r="E33" i="290"/>
  <c r="E22" i="290"/>
  <c r="E33" i="289"/>
  <c r="E22" i="289"/>
  <c r="E33" i="288"/>
  <c r="E22" i="288"/>
  <c r="E11" i="292"/>
  <c r="E11" i="291"/>
  <c r="E11" i="290"/>
  <c r="E11" i="289"/>
  <c r="E11" i="288"/>
  <c r="E33" i="287"/>
  <c r="E22" i="287"/>
  <c r="E11" i="287"/>
  <c r="E33" i="286"/>
  <c r="E22" i="286"/>
  <c r="E11" i="286"/>
  <c r="E33" i="285"/>
  <c r="E22" i="285"/>
  <c r="E11" i="285"/>
  <c r="E11" i="284"/>
  <c r="C6" i="292"/>
  <c r="F133" i="292"/>
  <c r="C124" i="292"/>
  <c r="H83" i="292"/>
  <c r="G83" i="292"/>
  <c r="F83" i="292"/>
  <c r="E83" i="292"/>
  <c r="D83" i="292"/>
  <c r="C83" i="292"/>
  <c r="H40" i="292"/>
  <c r="G40" i="292"/>
  <c r="H39" i="292"/>
  <c r="G39" i="292"/>
  <c r="H38" i="292"/>
  <c r="G38" i="292"/>
  <c r="H37" i="292"/>
  <c r="G37" i="292"/>
  <c r="H36" i="292"/>
  <c r="G36" i="292"/>
  <c r="H35" i="292"/>
  <c r="G35" i="292"/>
  <c r="H34" i="292"/>
  <c r="G34" i="292"/>
  <c r="F11" i="292"/>
  <c r="F33" i="292"/>
  <c r="H29" i="292"/>
  <c r="G29" i="292"/>
  <c r="H28" i="292"/>
  <c r="G28" i="292"/>
  <c r="H27" i="292"/>
  <c r="G27" i="292"/>
  <c r="H26" i="292"/>
  <c r="G26" i="292"/>
  <c r="H25" i="292"/>
  <c r="G25" i="292"/>
  <c r="H24" i="292"/>
  <c r="G24" i="292"/>
  <c r="H23" i="292"/>
  <c r="G23" i="292"/>
  <c r="F22" i="292"/>
  <c r="H18" i="292"/>
  <c r="G18" i="292"/>
  <c r="H17" i="292"/>
  <c r="G17" i="292"/>
  <c r="H16" i="292"/>
  <c r="G16" i="292"/>
  <c r="H15" i="292"/>
  <c r="G15" i="292"/>
  <c r="H14" i="292"/>
  <c r="G14" i="292"/>
  <c r="H13" i="292"/>
  <c r="G13" i="292"/>
  <c r="H12" i="292"/>
  <c r="G12" i="292"/>
  <c r="C6" i="291"/>
  <c r="F133" i="291"/>
  <c r="C124" i="291"/>
  <c r="H83" i="291"/>
  <c r="G83" i="291"/>
  <c r="F83" i="291"/>
  <c r="E83" i="291"/>
  <c r="D83" i="291"/>
  <c r="C83" i="291"/>
  <c r="H40" i="291"/>
  <c r="G40" i="291"/>
  <c r="H39" i="291"/>
  <c r="G39" i="291"/>
  <c r="H38" i="291"/>
  <c r="G38" i="291"/>
  <c r="H37" i="291"/>
  <c r="G37" i="291"/>
  <c r="H36" i="291"/>
  <c r="G36" i="291"/>
  <c r="H35" i="291"/>
  <c r="G35" i="291"/>
  <c r="H34" i="291"/>
  <c r="G34" i="291"/>
  <c r="F11" i="291"/>
  <c r="F33" i="291"/>
  <c r="H29" i="291"/>
  <c r="G29" i="291"/>
  <c r="H28" i="291"/>
  <c r="G28" i="291"/>
  <c r="H27" i="291"/>
  <c r="G27" i="291"/>
  <c r="H26" i="291"/>
  <c r="G26" i="291"/>
  <c r="H25" i="291"/>
  <c r="G25" i="291"/>
  <c r="H24" i="291"/>
  <c r="G24" i="291"/>
  <c r="H23" i="291"/>
  <c r="G23" i="291"/>
  <c r="F22" i="291"/>
  <c r="H18" i="291"/>
  <c r="G18" i="291"/>
  <c r="H17" i="291"/>
  <c r="G17" i="291"/>
  <c r="H16" i="291"/>
  <c r="G16" i="291"/>
  <c r="H15" i="291"/>
  <c r="G15" i="291"/>
  <c r="H14" i="291"/>
  <c r="G14" i="291"/>
  <c r="H13" i="291"/>
  <c r="G13" i="291"/>
  <c r="H12" i="291"/>
  <c r="G12" i="291"/>
  <c r="C124" i="290"/>
  <c r="H40" i="290"/>
  <c r="G40" i="290"/>
  <c r="H39" i="290"/>
  <c r="G39" i="290"/>
  <c r="H38" i="290"/>
  <c r="G38" i="290"/>
  <c r="H37" i="290"/>
  <c r="G37" i="290"/>
  <c r="H36" i="290"/>
  <c r="G36" i="290"/>
  <c r="H35" i="290"/>
  <c r="G35" i="290"/>
  <c r="H34" i="290"/>
  <c r="G34" i="290"/>
  <c r="H29" i="290"/>
  <c r="G29" i="290"/>
  <c r="H28" i="290"/>
  <c r="G28" i="290"/>
  <c r="H27" i="290"/>
  <c r="G27" i="290"/>
  <c r="H26" i="290"/>
  <c r="G26" i="290"/>
  <c r="H25" i="290"/>
  <c r="G25" i="290"/>
  <c r="H24" i="290"/>
  <c r="G24" i="290"/>
  <c r="H23" i="290"/>
  <c r="G23" i="290"/>
  <c r="H18" i="290"/>
  <c r="G18" i="290"/>
  <c r="H17" i="290"/>
  <c r="G17" i="290"/>
  <c r="H16" i="290"/>
  <c r="G16" i="290"/>
  <c r="H15" i="290"/>
  <c r="G15" i="290"/>
  <c r="H14" i="290"/>
  <c r="G14" i="290"/>
  <c r="H13" i="290"/>
  <c r="G13" i="290"/>
  <c r="H12" i="290"/>
  <c r="G12" i="290"/>
  <c r="F11" i="290"/>
  <c r="F33" i="290"/>
  <c r="H83" i="290"/>
  <c r="G83" i="290"/>
  <c r="F83" i="290"/>
  <c r="E83" i="290"/>
  <c r="D83" i="290"/>
  <c r="C83" i="290"/>
  <c r="C6" i="290"/>
  <c r="F133" i="290"/>
  <c r="F22" i="290"/>
  <c r="C124" i="289"/>
  <c r="H40" i="289"/>
  <c r="G40" i="289"/>
  <c r="H39" i="289"/>
  <c r="G39" i="289"/>
  <c r="H38" i="289"/>
  <c r="G38" i="289"/>
  <c r="H37" i="289"/>
  <c r="G37" i="289"/>
  <c r="H36" i="289"/>
  <c r="G36" i="289"/>
  <c r="H35" i="289"/>
  <c r="G35" i="289"/>
  <c r="H34" i="289"/>
  <c r="G34" i="289"/>
  <c r="H29" i="289"/>
  <c r="G29" i="289"/>
  <c r="H28" i="289"/>
  <c r="G28" i="289"/>
  <c r="H27" i="289"/>
  <c r="G27" i="289"/>
  <c r="H26" i="289"/>
  <c r="G26" i="289"/>
  <c r="H25" i="289"/>
  <c r="G25" i="289"/>
  <c r="H24" i="289"/>
  <c r="G24" i="289"/>
  <c r="H23" i="289"/>
  <c r="G23" i="289"/>
  <c r="H18" i="289"/>
  <c r="G18" i="289"/>
  <c r="H17" i="289"/>
  <c r="G17" i="289"/>
  <c r="H16" i="289"/>
  <c r="G16" i="289"/>
  <c r="H15" i="289"/>
  <c r="G15" i="289"/>
  <c r="H14" i="289"/>
  <c r="G14" i="289"/>
  <c r="H13" i="289"/>
  <c r="G13" i="289"/>
  <c r="H12" i="289"/>
  <c r="G12" i="289"/>
  <c r="F11" i="289"/>
  <c r="F33" i="289"/>
  <c r="C6" i="289"/>
  <c r="F133" i="289"/>
  <c r="H83" i="289"/>
  <c r="G83" i="289"/>
  <c r="F83" i="289"/>
  <c r="E83" i="289"/>
  <c r="D83" i="289"/>
  <c r="C83" i="289"/>
  <c r="F22" i="289"/>
  <c r="C124" i="288"/>
  <c r="H40" i="288"/>
  <c r="G40" i="288"/>
  <c r="H39" i="288"/>
  <c r="G39" i="288"/>
  <c r="H38" i="288"/>
  <c r="G38" i="288"/>
  <c r="H37" i="288"/>
  <c r="G37" i="288"/>
  <c r="H36" i="288"/>
  <c r="G36" i="288"/>
  <c r="H35" i="288"/>
  <c r="G35" i="288"/>
  <c r="H34" i="288"/>
  <c r="G34" i="288"/>
  <c r="H29" i="288"/>
  <c r="G29" i="288"/>
  <c r="H28" i="288"/>
  <c r="G28" i="288"/>
  <c r="H27" i="288"/>
  <c r="G27" i="288"/>
  <c r="H26" i="288"/>
  <c r="G26" i="288"/>
  <c r="H25" i="288"/>
  <c r="G25" i="288"/>
  <c r="H24" i="288"/>
  <c r="G24" i="288"/>
  <c r="H23" i="288"/>
  <c r="G23" i="288"/>
  <c r="H18" i="288"/>
  <c r="G18" i="288"/>
  <c r="H17" i="288"/>
  <c r="G17" i="288"/>
  <c r="H16" i="288"/>
  <c r="G16" i="288"/>
  <c r="H15" i="288"/>
  <c r="G15" i="288"/>
  <c r="H14" i="288"/>
  <c r="G14" i="288"/>
  <c r="H13" i="288"/>
  <c r="G13" i="288"/>
  <c r="H12" i="288"/>
  <c r="G12" i="288"/>
  <c r="F11" i="288"/>
  <c r="F33" i="288"/>
  <c r="C6" i="288"/>
  <c r="F133" i="288"/>
  <c r="H83" i="288"/>
  <c r="G83" i="288"/>
  <c r="F83" i="288"/>
  <c r="E83" i="288"/>
  <c r="D83" i="288"/>
  <c r="C83" i="288"/>
  <c r="F22" i="288"/>
  <c r="C124" i="287"/>
  <c r="H40" i="287"/>
  <c r="G40" i="287"/>
  <c r="H39" i="287"/>
  <c r="G39" i="287"/>
  <c r="H38" i="287"/>
  <c r="G38" i="287"/>
  <c r="H37" i="287"/>
  <c r="G37" i="287"/>
  <c r="H36" i="287"/>
  <c r="G36" i="287"/>
  <c r="H35" i="287"/>
  <c r="G35" i="287"/>
  <c r="H34" i="287"/>
  <c r="G34" i="287"/>
  <c r="H29" i="287"/>
  <c r="G29" i="287"/>
  <c r="H28" i="287"/>
  <c r="G28" i="287"/>
  <c r="H27" i="287"/>
  <c r="G27" i="287"/>
  <c r="H26" i="287"/>
  <c r="G26" i="287"/>
  <c r="H25" i="287"/>
  <c r="G25" i="287"/>
  <c r="H24" i="287"/>
  <c r="G24" i="287"/>
  <c r="H23" i="287"/>
  <c r="G23" i="287"/>
  <c r="H18" i="287"/>
  <c r="G18" i="287"/>
  <c r="H17" i="287"/>
  <c r="G17" i="287"/>
  <c r="H16" i="287"/>
  <c r="G16" i="287"/>
  <c r="H15" i="287"/>
  <c r="G15" i="287"/>
  <c r="H14" i="287"/>
  <c r="G14" i="287"/>
  <c r="H13" i="287"/>
  <c r="G13" i="287"/>
  <c r="H12" i="287"/>
  <c r="G12" i="287"/>
  <c r="F11" i="287"/>
  <c r="F33" i="287"/>
  <c r="H83" i="287"/>
  <c r="G83" i="287"/>
  <c r="F83" i="287"/>
  <c r="E83" i="287"/>
  <c r="D83" i="287"/>
  <c r="C83" i="287"/>
  <c r="C6" i="287"/>
  <c r="F133" i="287"/>
  <c r="F22" i="287"/>
  <c r="C124" i="286"/>
  <c r="H40" i="286"/>
  <c r="G40" i="286"/>
  <c r="H39" i="286"/>
  <c r="G39" i="286"/>
  <c r="H38" i="286"/>
  <c r="G38" i="286"/>
  <c r="H37" i="286"/>
  <c r="G37" i="286"/>
  <c r="H36" i="286"/>
  <c r="G36" i="286"/>
  <c r="H35" i="286"/>
  <c r="G35" i="286"/>
  <c r="H34" i="286"/>
  <c r="G34" i="286"/>
  <c r="H29" i="286"/>
  <c r="G29" i="286"/>
  <c r="H28" i="286"/>
  <c r="G28" i="286"/>
  <c r="H27" i="286"/>
  <c r="G27" i="286"/>
  <c r="H26" i="286"/>
  <c r="G26" i="286"/>
  <c r="H25" i="286"/>
  <c r="G25" i="286"/>
  <c r="H24" i="286"/>
  <c r="G24" i="286"/>
  <c r="H23" i="286"/>
  <c r="G23" i="286"/>
  <c r="H18" i="286"/>
  <c r="G18" i="286"/>
  <c r="H17" i="286"/>
  <c r="G17" i="286"/>
  <c r="H16" i="286"/>
  <c r="G16" i="286"/>
  <c r="H15" i="286"/>
  <c r="G15" i="286"/>
  <c r="H14" i="286"/>
  <c r="G14" i="286"/>
  <c r="H13" i="286"/>
  <c r="G13" i="286"/>
  <c r="H12" i="286"/>
  <c r="G12" i="286"/>
  <c r="F11" i="286"/>
  <c r="F33" i="286"/>
  <c r="H83" i="286"/>
  <c r="G83" i="286"/>
  <c r="F83" i="286"/>
  <c r="E83" i="286"/>
  <c r="D83" i="286"/>
  <c r="C83" i="286"/>
  <c r="C6" i="286"/>
  <c r="F133" i="286"/>
  <c r="F22" i="286"/>
  <c r="C124" i="285"/>
  <c r="H40" i="285"/>
  <c r="G40" i="285"/>
  <c r="H39" i="285"/>
  <c r="G39" i="285"/>
  <c r="H38" i="285"/>
  <c r="G38" i="285"/>
  <c r="H37" i="285"/>
  <c r="G37" i="285"/>
  <c r="H36" i="285"/>
  <c r="G36" i="285"/>
  <c r="H35" i="285"/>
  <c r="G35" i="285"/>
  <c r="H34" i="285"/>
  <c r="G34" i="285"/>
  <c r="H29" i="285"/>
  <c r="G29" i="285"/>
  <c r="H28" i="285"/>
  <c r="G28" i="285"/>
  <c r="H27" i="285"/>
  <c r="G27" i="285"/>
  <c r="H26" i="285"/>
  <c r="G26" i="285"/>
  <c r="H25" i="285"/>
  <c r="G25" i="285"/>
  <c r="H24" i="285"/>
  <c r="G24" i="285"/>
  <c r="H23" i="285"/>
  <c r="G23" i="285"/>
  <c r="H18" i="285"/>
  <c r="G18" i="285"/>
  <c r="H17" i="285"/>
  <c r="G17" i="285"/>
  <c r="H16" i="285"/>
  <c r="G16" i="285"/>
  <c r="H15" i="285"/>
  <c r="G15" i="285"/>
  <c r="H14" i="285"/>
  <c r="G14" i="285"/>
  <c r="H13" i="285"/>
  <c r="G13" i="285"/>
  <c r="H12" i="285"/>
  <c r="G12" i="285"/>
  <c r="F11" i="285"/>
  <c r="F22" i="285"/>
  <c r="H83" i="285"/>
  <c r="G83" i="285"/>
  <c r="F83" i="285"/>
  <c r="E83" i="285"/>
  <c r="D83" i="285"/>
  <c r="C83" i="285"/>
  <c r="C6" i="285"/>
  <c r="F133" i="285"/>
  <c r="F33" i="285"/>
  <c r="C124" i="284"/>
  <c r="H40" i="284"/>
  <c r="G40" i="284"/>
  <c r="H39" i="284"/>
  <c r="G39" i="284"/>
  <c r="H38" i="284"/>
  <c r="G38" i="284"/>
  <c r="H37" i="284"/>
  <c r="G37" i="284"/>
  <c r="H36" i="284"/>
  <c r="G36" i="284"/>
  <c r="H35" i="284"/>
  <c r="G35" i="284"/>
  <c r="H34" i="284"/>
  <c r="G34" i="284"/>
  <c r="H29" i="284"/>
  <c r="G29" i="284"/>
  <c r="H28" i="284"/>
  <c r="G28" i="284"/>
  <c r="H27" i="284"/>
  <c r="G27" i="284"/>
  <c r="H26" i="284"/>
  <c r="G26" i="284"/>
  <c r="H25" i="284"/>
  <c r="G25" i="284"/>
  <c r="H24" i="284"/>
  <c r="G24" i="284"/>
  <c r="H23" i="284"/>
  <c r="G23" i="284"/>
  <c r="H18" i="284"/>
  <c r="G18" i="284"/>
  <c r="H17" i="284"/>
  <c r="G17" i="284"/>
  <c r="H16" i="284"/>
  <c r="G16" i="284"/>
  <c r="H15" i="284"/>
  <c r="G15" i="284"/>
  <c r="H14" i="284"/>
  <c r="G14" i="284"/>
  <c r="H13" i="284"/>
  <c r="G13" i="284"/>
  <c r="H12" i="284"/>
  <c r="G12" i="284"/>
  <c r="F11" i="284"/>
  <c r="F33" i="284"/>
  <c r="H83" i="284"/>
  <c r="G83" i="284"/>
  <c r="F83" i="284"/>
  <c r="E83" i="284"/>
  <c r="D83" i="284"/>
  <c r="C83" i="284"/>
  <c r="C6" i="284"/>
  <c r="F133" i="284"/>
  <c r="E22" i="284"/>
  <c r="E33" i="284"/>
  <c r="F22" i="284"/>
  <c r="C6" i="283"/>
  <c r="F133" i="283"/>
  <c r="C124" i="283"/>
  <c r="E11" i="283"/>
  <c r="H83" i="283"/>
  <c r="G83" i="283"/>
  <c r="F83" i="283"/>
  <c r="E83" i="283"/>
  <c r="D83" i="283"/>
  <c r="C83" i="283"/>
  <c r="H40" i="283"/>
  <c r="G40" i="283"/>
  <c r="H39" i="283"/>
  <c r="G39" i="283"/>
  <c r="H38" i="283"/>
  <c r="G38" i="283"/>
  <c r="H37" i="283"/>
  <c r="G37" i="283"/>
  <c r="H36" i="283"/>
  <c r="G36" i="283"/>
  <c r="H35" i="283"/>
  <c r="G35" i="283"/>
  <c r="H34" i="283"/>
  <c r="G34" i="283"/>
  <c r="F11" i="283"/>
  <c r="F33" i="283"/>
  <c r="E33" i="283"/>
  <c r="H29" i="283"/>
  <c r="G29" i="283"/>
  <c r="H28" i="283"/>
  <c r="G28" i="283"/>
  <c r="H27" i="283"/>
  <c r="G27" i="283"/>
  <c r="H26" i="283"/>
  <c r="G26" i="283"/>
  <c r="H25" i="283"/>
  <c r="G25" i="283"/>
  <c r="H24" i="283"/>
  <c r="G24" i="283"/>
  <c r="H23" i="283"/>
  <c r="G23" i="283"/>
  <c r="F22" i="283"/>
  <c r="E22" i="283"/>
  <c r="H18" i="283"/>
  <c r="G18" i="283"/>
  <c r="H17" i="283"/>
  <c r="G17" i="283"/>
  <c r="H16" i="283"/>
  <c r="G16" i="283"/>
  <c r="H15" i="283"/>
  <c r="G15" i="283"/>
  <c r="H14" i="283"/>
  <c r="G14" i="283"/>
  <c r="H13" i="283"/>
  <c r="G13" i="283"/>
  <c r="H12" i="283"/>
  <c r="G12" i="283"/>
</calcChain>
</file>

<file path=xl/connections.xml><?xml version="1.0" encoding="utf-8"?>
<connections xmlns="http://schemas.openxmlformats.org/spreadsheetml/2006/main">
  <connection id="1" sourceFile="C:\Documents and Settings\malina\Рабочий стол\клиенты\Зарегистрированные2012.xlsx" odcFile="C:\Documents and Settings\malina\Мои документы\Мои источники данных\Зарегистрированные2012 Январь2012$.odc" keepAlive="1" name="Зарегистрированные2012 Январь2012$" type="5" refreshedVersion="0" new="1" background="1">
    <dbPr connection="Provider=Microsoft.ACE.OLEDB.12.0;Password=&quot;&quot;;User ID=Admin;Data Source=C:\Documents and Settings\malina\Рабочий стол\клиенты\Зарегистрированные2012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Январь2012$" commandType="3"/>
  </connection>
  <connection id="2" sourceFile="C:\Documents and Settings\malina\Рабочий стол\клиенты\Зарегистрированные2012.xlsx" odcFile="C:\Documents and Settings\malina\Мои документы\Мои источники данных\Зарегистрированные2012 Январь2012$.odc" keepAlive="1" name="Зарегистрированные2012 Январь2012$1" type="5" refreshedVersion="0" new="1" background="1">
    <dbPr connection="Provider=Microsoft.ACE.OLEDB.12.0;Password=&quot;&quot;;User ID=Admin;Data Source=C:\Documents and Settings\malina\Рабочий стол\клиенты\Зарегистрированные2012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Январь2012$" commandType="3"/>
  </connection>
</connections>
</file>

<file path=xl/sharedStrings.xml><?xml version="1.0" encoding="utf-8"?>
<sst xmlns="http://schemas.openxmlformats.org/spreadsheetml/2006/main" count="2712" uniqueCount="58">
  <si>
    <t>Физические лица</t>
  </si>
  <si>
    <t>Юридические лица</t>
  </si>
  <si>
    <t>Клиенты, передавшие свои средства в ДУ</t>
  </si>
  <si>
    <t>Всего</t>
  </si>
  <si>
    <t>Абсолютные показатели</t>
  </si>
  <si>
    <t>Количество клиентов</t>
  </si>
  <si>
    <t>Ведущие операторы рынка – число активных клиентов</t>
  </si>
  <si>
    <t>Ведущие операторы рынка – объем клиентских операций</t>
  </si>
  <si>
    <t>Торговый оборот, руб.</t>
  </si>
  <si>
    <t>Изменение (ед.)</t>
  </si>
  <si>
    <t>Изменение (%)</t>
  </si>
  <si>
    <t>Таблица 2</t>
  </si>
  <si>
    <t>Таблица 1</t>
  </si>
  <si>
    <t>Таблица 3</t>
  </si>
  <si>
    <t>Клиенты Участников торгов Фондовой биржи ММВБ</t>
  </si>
  <si>
    <t>Количество активных клиентов в Системе торгов (совершивших в течение месяца хотя бы одну сделку):</t>
  </si>
  <si>
    <t>Изменение количества уникальных клиентов - ретроспективные данные</t>
  </si>
  <si>
    <t>Группы клиентов</t>
  </si>
  <si>
    <t>Наименование Участника торгов</t>
  </si>
  <si>
    <t xml:space="preserve">Динамика количества клиентов за </t>
  </si>
  <si>
    <t xml:space="preserve">Списки ведущих операторов фондового рынка - клиенты Участников торгов за </t>
  </si>
  <si>
    <t>Количество Участников торгов, имеющих активных клиентов</t>
  </si>
  <si>
    <t>Дополнительные показатели за</t>
  </si>
  <si>
    <t>Участники торгов</t>
  </si>
  <si>
    <t>Ведущие операторы рынка – число зарегистрированных клиентов</t>
  </si>
  <si>
    <t xml:space="preserve">(по общему количеству уникальных клиентов всех типов, зарегистрированных в системе торгов биржи, в том числе  в течение месяца) </t>
  </si>
  <si>
    <t>(по количеству уникальных клиентов, совершивших хотя бы одну сделку за месяц)</t>
  </si>
  <si>
    <t xml:space="preserve">(по стоимостному объему сделок, заключенных в интересах клиентов за месяц) </t>
  </si>
  <si>
    <t>Сбербанк</t>
  </si>
  <si>
    <t>ФГ БКС</t>
  </si>
  <si>
    <t>ООО "АТОН"</t>
  </si>
  <si>
    <t>КИТ Финанс (ООО)</t>
  </si>
  <si>
    <t>ООО "Инвестиционная палата"</t>
  </si>
  <si>
    <t>ООО "ИК ВЕЛЕС Капитал"</t>
  </si>
  <si>
    <t>Количество зарегистрированных клиентов в Системе торгов (по состоянию на последний день месяца):</t>
  </si>
  <si>
    <t>Количество уникальных клиентов в Системе торгов (по состоянию на последний день месяца):</t>
  </si>
  <si>
    <t>Количество уникальных клиентов в Системе торгов (по состоянию на последний день месяца) (ежегодная статистика):</t>
  </si>
  <si>
    <t>Количество уникальных клиентов в Системе торгов (по состоянию на последний день месяца) (за последние 6 месяцев):</t>
  </si>
  <si>
    <t xml:space="preserve">ООО "Ренессанс Брокер" </t>
  </si>
  <si>
    <t>ФГ "ОТКРЫТИЕ"</t>
  </si>
  <si>
    <t>ВТБ 24 (ПАО)</t>
  </si>
  <si>
    <t>АО "ФИНАМ"</t>
  </si>
  <si>
    <t>АО "АЛЬФА-БАНК"</t>
  </si>
  <si>
    <t>Банк ГПБ (АО)</t>
  </si>
  <si>
    <t>ПАО "Промсвязьбанк"</t>
  </si>
  <si>
    <t>АЛОР БРОКЕР</t>
  </si>
  <si>
    <t>ООО "ИФК "МЕТРОПОЛЬ"</t>
  </si>
  <si>
    <t>ЗАО "БАНК КРЕДИТ СВИСС (МОСКВА)"</t>
  </si>
  <si>
    <t>Иностранные лица</t>
  </si>
  <si>
    <t xml:space="preserve">Иностранные физические лица </t>
  </si>
  <si>
    <t xml:space="preserve">Иностранные юридические лица </t>
  </si>
  <si>
    <t>ООО "БК РЕГИОН"</t>
  </si>
  <si>
    <t>ООО "РОНИН"</t>
  </si>
  <si>
    <t>ПАО "Совкомбанк"</t>
  </si>
  <si>
    <t>ООО "УНИВЕР Капитал"</t>
  </si>
  <si>
    <t>ООО ФК "РГС Инвестиции"</t>
  </si>
  <si>
    <t>ООО УК "Альфа-Капитал"</t>
  </si>
  <si>
    <t>КИТ Финанс (АО)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</si>
</sst>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-* #,##0_р_._-;\-* #,##0_р_._-;_-* &quot;-&quot;??_р_._-;_-@_-"/>
    <numFmt numFmtId="166" formatCode="[$-419]mmmm\ yyyy;@"/>
  </numFmts>
  <fonts count="53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 Cyr"/>
      <charset val="204"/>
    </font>
    <font>
      <sz val="11"/>
      <name val="Century Gothic"/>
      <family val="2"/>
      <charset val="204"/>
    </font>
    <font>
      <sz val="11"/>
      <color indexed="9"/>
      <name val="Century Gothic"/>
      <family val="2"/>
      <charset val="204"/>
    </font>
    <font>
      <b/>
      <sz val="11"/>
      <name val="Century Gothic"/>
      <family val="2"/>
      <charset val="204"/>
    </font>
    <font>
      <b/>
      <i/>
      <sz val="12"/>
      <name val="Century Gothic"/>
      <family val="2"/>
      <charset val="204"/>
    </font>
    <font>
      <sz val="10"/>
      <name val="Century Gothic"/>
      <family val="2"/>
      <charset val="204"/>
    </font>
    <font>
      <b/>
      <i/>
      <sz val="10"/>
      <name val="Century Gothic"/>
      <family val="2"/>
      <charset val="204"/>
    </font>
    <font>
      <b/>
      <sz val="10"/>
      <name val="Century Gothic"/>
      <family val="2"/>
      <charset val="204"/>
    </font>
    <font>
      <b/>
      <sz val="12"/>
      <name val="Century Gothic"/>
      <family val="2"/>
      <charset val="204"/>
    </font>
    <font>
      <sz val="12"/>
      <name val="Century Gothic"/>
      <family val="2"/>
      <charset val="204"/>
    </font>
    <font>
      <sz val="12"/>
      <color indexed="9"/>
      <name val="Century Gothic"/>
      <family val="2"/>
      <charset val="204"/>
    </font>
    <font>
      <b/>
      <i/>
      <sz val="16"/>
      <name val="Century Gothic"/>
      <family val="2"/>
      <charset val="204"/>
    </font>
    <font>
      <sz val="8"/>
      <color indexed="8"/>
      <name val="Arial Unicode MS"/>
      <family val="2"/>
      <charset val="204"/>
    </font>
    <font>
      <sz val="10"/>
      <color indexed="8"/>
      <name val="Arial"/>
      <family val="2"/>
      <charset val="204"/>
    </font>
    <font>
      <sz val="10"/>
      <color indexed="8"/>
      <name val="MS Sans Serif"/>
      <family val="2"/>
      <charset val="204"/>
    </font>
    <font>
      <sz val="8"/>
      <color indexed="8"/>
      <name val="Arial Unicode MS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1"/>
      <color rgb="FF9C65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0"/>
      <name val="Arial"/>
      <family val="2"/>
      <charset val="204"/>
    </font>
    <font>
      <sz val="11"/>
      <color indexed="8"/>
      <name val="Calibri"/>
      <family val="2"/>
      <scheme val="minor"/>
    </font>
    <font>
      <b/>
      <i/>
      <sz val="8"/>
      <name val="Tahoma"/>
      <family val="2"/>
      <charset val="204"/>
    </font>
    <font>
      <sz val="9"/>
      <color theme="1"/>
      <name val="Arial_Cyr"/>
      <charset val="204"/>
    </font>
  </fonts>
  <fills count="41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</fills>
  <borders count="3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75">
    <xf numFmtId="0" fontId="0" fillId="0" borderId="0"/>
    <xf numFmtId="0" fontId="32" fillId="10" borderId="0" applyNumberFormat="0" applyBorder="0" applyAlignment="0" applyProtection="0"/>
    <xf numFmtId="0" fontId="32" fillId="11" borderId="0" applyNumberFormat="0" applyBorder="0" applyAlignment="0" applyProtection="0"/>
    <xf numFmtId="0" fontId="32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14" borderId="0" applyNumberFormat="0" applyBorder="0" applyAlignment="0" applyProtection="0"/>
    <xf numFmtId="0" fontId="32" fillId="15" borderId="0" applyNumberFormat="0" applyBorder="0" applyAlignment="0" applyProtection="0"/>
    <xf numFmtId="0" fontId="32" fillId="16" borderId="0" applyNumberFormat="0" applyBorder="0" applyAlignment="0" applyProtection="0"/>
    <xf numFmtId="0" fontId="32" fillId="17" borderId="0" applyNumberFormat="0" applyBorder="0" applyAlignment="0" applyProtection="0"/>
    <xf numFmtId="0" fontId="32" fillId="18" borderId="0" applyNumberFormat="0" applyBorder="0" applyAlignment="0" applyProtection="0"/>
    <xf numFmtId="0" fontId="32" fillId="19" borderId="0" applyNumberFormat="0" applyBorder="0" applyAlignment="0" applyProtection="0"/>
    <xf numFmtId="0" fontId="32" fillId="20" borderId="0" applyNumberFormat="0" applyBorder="0" applyAlignment="0" applyProtection="0"/>
    <xf numFmtId="0" fontId="32" fillId="21" borderId="0" applyNumberFormat="0" applyBorder="0" applyAlignment="0" applyProtection="0"/>
    <xf numFmtId="0" fontId="33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33" fillId="33" borderId="0" applyNumberFormat="0" applyBorder="0" applyAlignment="0" applyProtection="0"/>
    <xf numFmtId="0" fontId="34" fillId="34" borderId="21" applyNumberFormat="0" applyAlignment="0" applyProtection="0"/>
    <xf numFmtId="0" fontId="35" fillId="35" borderId="22" applyNumberFormat="0" applyAlignment="0" applyProtection="0"/>
    <xf numFmtId="0" fontId="36" fillId="35" borderId="21" applyNumberFormat="0" applyAlignment="0" applyProtection="0"/>
    <xf numFmtId="0" fontId="37" fillId="0" borderId="23" applyNumberFormat="0" applyFill="0" applyAlignment="0" applyProtection="0"/>
    <xf numFmtId="0" fontId="38" fillId="0" borderId="24" applyNumberFormat="0" applyFill="0" applyAlignment="0" applyProtection="0"/>
    <xf numFmtId="0" fontId="39" fillId="0" borderId="25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26" applyNumberFormat="0" applyFill="0" applyAlignment="0" applyProtection="0"/>
    <xf numFmtId="0" fontId="41" fillId="36" borderId="27" applyNumberFormat="0" applyAlignment="0" applyProtection="0"/>
    <xf numFmtId="0" fontId="42" fillId="0" borderId="0" applyNumberFormat="0" applyFill="0" applyBorder="0" applyAlignment="0" applyProtection="0"/>
    <xf numFmtId="0" fontId="43" fillId="37" borderId="0" applyNumberFormat="0" applyBorder="0" applyAlignment="0" applyProtection="0"/>
    <xf numFmtId="0" fontId="32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16" fillId="0" borderId="0"/>
    <xf numFmtId="0" fontId="44" fillId="38" borderId="0" applyNumberFormat="0" applyBorder="0" applyAlignment="0" applyProtection="0"/>
    <xf numFmtId="0" fontId="45" fillId="0" borderId="0" applyNumberFormat="0" applyFill="0" applyBorder="0" applyAlignment="0" applyProtection="0"/>
    <xf numFmtId="0" fontId="32" fillId="39" borderId="28" applyNumberFormat="0" applyFont="0" applyAlignment="0" applyProtection="0"/>
    <xf numFmtId="9" fontId="15" fillId="0" borderId="0" applyFont="0" applyFill="0" applyBorder="0" applyAlignment="0" applyProtection="0"/>
    <xf numFmtId="0" fontId="46" fillId="0" borderId="29" applyNumberFormat="0" applyFill="0" applyAlignment="0" applyProtection="0"/>
    <xf numFmtId="0" fontId="47" fillId="0" borderId="0" applyNumberFormat="0" applyFill="0" applyBorder="0" applyAlignment="0" applyProtection="0"/>
    <xf numFmtId="164" fontId="15" fillId="0" borderId="0" applyFont="0" applyFill="0" applyBorder="0" applyAlignment="0" applyProtection="0"/>
    <xf numFmtId="0" fontId="48" fillId="40" borderId="0" applyNumberFormat="0" applyBorder="0" applyAlignment="0" applyProtection="0"/>
    <xf numFmtId="0" fontId="14" fillId="0" borderId="0"/>
    <xf numFmtId="0" fontId="14" fillId="39" borderId="28" applyNumberFormat="0" applyFont="0" applyAlignment="0" applyProtection="0"/>
    <xf numFmtId="0" fontId="14" fillId="10" borderId="0" applyNumberFormat="0" applyBorder="0" applyAlignment="0" applyProtection="0"/>
    <xf numFmtId="0" fontId="14" fillId="16" borderId="0" applyNumberFormat="0" applyBorder="0" applyAlignment="0" applyProtection="0"/>
    <xf numFmtId="0" fontId="14" fillId="11" borderId="0" applyNumberFormat="0" applyBorder="0" applyAlignment="0" applyProtection="0"/>
    <xf numFmtId="0" fontId="14" fillId="17" borderId="0" applyNumberFormat="0" applyBorder="0" applyAlignment="0" applyProtection="0"/>
    <xf numFmtId="0" fontId="14" fillId="12" borderId="0" applyNumberFormat="0" applyBorder="0" applyAlignment="0" applyProtection="0"/>
    <xf numFmtId="0" fontId="14" fillId="18" borderId="0" applyNumberFormat="0" applyBorder="0" applyAlignment="0" applyProtection="0"/>
    <xf numFmtId="0" fontId="14" fillId="13" borderId="0" applyNumberFormat="0" applyBorder="0" applyAlignment="0" applyProtection="0"/>
    <xf numFmtId="0" fontId="14" fillId="19" borderId="0" applyNumberFormat="0" applyBorder="0" applyAlignment="0" applyProtection="0"/>
    <xf numFmtId="0" fontId="14" fillId="14" borderId="0" applyNumberFormat="0" applyBorder="0" applyAlignment="0" applyProtection="0"/>
    <xf numFmtId="0" fontId="14" fillId="20" borderId="0" applyNumberFormat="0" applyBorder="0" applyAlignment="0" applyProtection="0"/>
    <xf numFmtId="0" fontId="14" fillId="15" borderId="0" applyNumberFormat="0" applyBorder="0" applyAlignment="0" applyProtection="0"/>
    <xf numFmtId="0" fontId="14" fillId="21" borderId="0" applyNumberFormat="0" applyBorder="0" applyAlignment="0" applyProtection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9" fillId="39" borderId="28" applyNumberFormat="0" applyFont="0" applyAlignment="0" applyProtection="0"/>
    <xf numFmtId="0" fontId="9" fillId="10" borderId="0" applyNumberFormat="0" applyBorder="0" applyAlignment="0" applyProtection="0"/>
    <xf numFmtId="0" fontId="9" fillId="16" borderId="0" applyNumberFormat="0" applyBorder="0" applyAlignment="0" applyProtection="0"/>
    <xf numFmtId="0" fontId="9" fillId="11" borderId="0" applyNumberFormat="0" applyBorder="0" applyAlignment="0" applyProtection="0"/>
    <xf numFmtId="0" fontId="9" fillId="17" borderId="0" applyNumberFormat="0" applyBorder="0" applyAlignment="0" applyProtection="0"/>
    <xf numFmtId="0" fontId="9" fillId="12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9" borderId="0" applyNumberFormat="0" applyBorder="0" applyAlignment="0" applyProtection="0"/>
    <xf numFmtId="0" fontId="9" fillId="14" borderId="0" applyNumberFormat="0" applyBorder="0" applyAlignment="0" applyProtection="0"/>
    <xf numFmtId="0" fontId="9" fillId="20" borderId="0" applyNumberFormat="0" applyBorder="0" applyAlignment="0" applyProtection="0"/>
    <xf numFmtId="0" fontId="9" fillId="15" borderId="0" applyNumberFormat="0" applyBorder="0" applyAlignment="0" applyProtection="0"/>
    <xf numFmtId="0" fontId="9" fillId="21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0" borderId="0"/>
    <xf numFmtId="0" fontId="8" fillId="39" borderId="28" applyNumberFormat="0" applyFont="0" applyAlignment="0" applyProtection="0"/>
    <xf numFmtId="0" fontId="8" fillId="0" borderId="0"/>
    <xf numFmtId="0" fontId="8" fillId="39" borderId="28" applyNumberFormat="0" applyFont="0" applyAlignment="0" applyProtection="0"/>
    <xf numFmtId="0" fontId="8" fillId="10" borderId="0" applyNumberFormat="0" applyBorder="0" applyAlignment="0" applyProtection="0"/>
    <xf numFmtId="0" fontId="8" fillId="16" borderId="0" applyNumberFormat="0" applyBorder="0" applyAlignment="0" applyProtection="0"/>
    <xf numFmtId="0" fontId="8" fillId="11" borderId="0" applyNumberFormat="0" applyBorder="0" applyAlignment="0" applyProtection="0"/>
    <xf numFmtId="0" fontId="8" fillId="17" borderId="0" applyNumberFormat="0" applyBorder="0" applyAlignment="0" applyProtection="0"/>
    <xf numFmtId="0" fontId="8" fillId="12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9" borderId="0" applyNumberFormat="0" applyBorder="0" applyAlignment="0" applyProtection="0"/>
    <xf numFmtId="0" fontId="8" fillId="14" borderId="0" applyNumberFormat="0" applyBorder="0" applyAlignment="0" applyProtection="0"/>
    <xf numFmtId="0" fontId="8" fillId="20" borderId="0" applyNumberFormat="0" applyBorder="0" applyAlignment="0" applyProtection="0"/>
    <xf numFmtId="0" fontId="8" fillId="15" borderId="0" applyNumberFormat="0" applyBorder="0" applyAlignment="0" applyProtection="0"/>
    <xf numFmtId="0" fontId="8" fillId="21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39" borderId="28" applyNumberFormat="0" applyFont="0" applyAlignment="0" applyProtection="0"/>
    <xf numFmtId="0" fontId="8" fillId="10" borderId="0" applyNumberFormat="0" applyBorder="0" applyAlignment="0" applyProtection="0"/>
    <xf numFmtId="0" fontId="8" fillId="16" borderId="0" applyNumberFormat="0" applyBorder="0" applyAlignment="0" applyProtection="0"/>
    <xf numFmtId="0" fontId="8" fillId="11" borderId="0" applyNumberFormat="0" applyBorder="0" applyAlignment="0" applyProtection="0"/>
    <xf numFmtId="0" fontId="8" fillId="17" borderId="0" applyNumberFormat="0" applyBorder="0" applyAlignment="0" applyProtection="0"/>
    <xf numFmtId="0" fontId="8" fillId="12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9" borderId="0" applyNumberFormat="0" applyBorder="0" applyAlignment="0" applyProtection="0"/>
    <xf numFmtId="0" fontId="8" fillId="14" borderId="0" applyNumberFormat="0" applyBorder="0" applyAlignment="0" applyProtection="0"/>
    <xf numFmtId="0" fontId="8" fillId="20" borderId="0" applyNumberFormat="0" applyBorder="0" applyAlignment="0" applyProtection="0"/>
    <xf numFmtId="0" fontId="8" fillId="15" borderId="0" applyNumberFormat="0" applyBorder="0" applyAlignment="0" applyProtection="0"/>
    <xf numFmtId="0" fontId="8" fillId="2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39" borderId="28" applyNumberFormat="0" applyFont="0" applyAlignment="0" applyProtection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39" borderId="28" applyNumberFormat="0" applyFont="0" applyAlignment="0" applyProtection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39" borderId="28" applyNumberFormat="0" applyFont="0" applyAlignment="0" applyProtection="0"/>
    <xf numFmtId="0" fontId="7" fillId="10" borderId="0" applyNumberFormat="0" applyBorder="0" applyAlignment="0" applyProtection="0"/>
    <xf numFmtId="0" fontId="7" fillId="16" borderId="0" applyNumberFormat="0" applyBorder="0" applyAlignment="0" applyProtection="0"/>
    <xf numFmtId="0" fontId="7" fillId="11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9" borderId="0" applyNumberFormat="0" applyBorder="0" applyAlignment="0" applyProtection="0"/>
    <xf numFmtId="0" fontId="7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21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39" borderId="28" applyNumberFormat="0" applyFont="0" applyAlignment="0" applyProtection="0"/>
    <xf numFmtId="0" fontId="6" fillId="0" borderId="0"/>
    <xf numFmtId="0" fontId="6" fillId="39" borderId="28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39" borderId="28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6" fillId="0" borderId="0"/>
    <xf numFmtId="0" fontId="6" fillId="39" borderId="28" applyNumberFormat="0" applyFont="0" applyAlignment="0" applyProtection="0"/>
    <xf numFmtId="0" fontId="6" fillId="10" borderId="0" applyNumberFormat="0" applyBorder="0" applyAlignment="0" applyProtection="0"/>
    <xf numFmtId="0" fontId="6" fillId="16" borderId="0" applyNumberFormat="0" applyBorder="0" applyAlignment="0" applyProtection="0"/>
    <xf numFmtId="0" fontId="6" fillId="11" borderId="0" applyNumberFormat="0" applyBorder="0" applyAlignment="0" applyProtection="0"/>
    <xf numFmtId="0" fontId="6" fillId="17" borderId="0" applyNumberFormat="0" applyBorder="0" applyAlignment="0" applyProtection="0"/>
    <xf numFmtId="0" fontId="6" fillId="12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9" borderId="0" applyNumberFormat="0" applyBorder="0" applyAlignment="0" applyProtection="0"/>
    <xf numFmtId="0" fontId="6" fillId="14" borderId="0" applyNumberFormat="0" applyBorder="0" applyAlignment="0" applyProtection="0"/>
    <xf numFmtId="0" fontId="6" fillId="20" borderId="0" applyNumberFormat="0" applyBorder="0" applyAlignment="0" applyProtection="0"/>
    <xf numFmtId="0" fontId="6" fillId="15" borderId="0" applyNumberFormat="0" applyBorder="0" applyAlignment="0" applyProtection="0"/>
    <xf numFmtId="0" fontId="6" fillId="21" borderId="0" applyNumberFormat="0" applyBorder="0" applyAlignment="0" applyProtection="0"/>
    <xf numFmtId="0" fontId="5" fillId="0" borderId="0"/>
    <xf numFmtId="0" fontId="5" fillId="39" borderId="28" applyNumberFormat="0" applyFont="0" applyAlignment="0" applyProtection="0"/>
    <xf numFmtId="0" fontId="5" fillId="10" borderId="0" applyNumberFormat="0" applyBorder="0" applyAlignment="0" applyProtection="0"/>
    <xf numFmtId="0" fontId="5" fillId="16" borderId="0" applyNumberFormat="0" applyBorder="0" applyAlignment="0" applyProtection="0"/>
    <xf numFmtId="0" fontId="5" fillId="11" borderId="0" applyNumberFormat="0" applyBorder="0" applyAlignment="0" applyProtection="0"/>
    <xf numFmtId="0" fontId="5" fillId="17" borderId="0" applyNumberFormat="0" applyBorder="0" applyAlignment="0" applyProtection="0"/>
    <xf numFmtId="0" fontId="5" fillId="12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9" borderId="0" applyNumberFormat="0" applyBorder="0" applyAlignment="0" applyProtection="0"/>
    <xf numFmtId="0" fontId="5" fillId="14" borderId="0" applyNumberFormat="0" applyBorder="0" applyAlignment="0" applyProtection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5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4" fillId="0" borderId="0"/>
    <xf numFmtId="0" fontId="4" fillId="39" borderId="28" applyNumberFormat="0" applyFont="0" applyAlignment="0" applyProtection="0"/>
    <xf numFmtId="0" fontId="4" fillId="10" borderId="0" applyNumberFormat="0" applyBorder="0" applyAlignment="0" applyProtection="0"/>
    <xf numFmtId="0" fontId="4" fillId="16" borderId="0" applyNumberFormat="0" applyBorder="0" applyAlignment="0" applyProtection="0"/>
    <xf numFmtId="0" fontId="4" fillId="11" borderId="0" applyNumberFormat="0" applyBorder="0" applyAlignment="0" applyProtection="0"/>
    <xf numFmtId="0" fontId="4" fillId="17" borderId="0" applyNumberFormat="0" applyBorder="0" applyAlignment="0" applyProtection="0"/>
    <xf numFmtId="0" fontId="4" fillId="12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20" borderId="0" applyNumberFormat="0" applyBorder="0" applyAlignment="0" applyProtection="0"/>
    <xf numFmtId="0" fontId="4" fillId="15" borderId="0" applyNumberFormat="0" applyBorder="0" applyAlignment="0" applyProtection="0"/>
    <xf numFmtId="0" fontId="4" fillId="21" borderId="0" applyNumberFormat="0" applyBorder="0" applyAlignment="0" applyProtection="0"/>
    <xf numFmtId="0" fontId="3" fillId="0" borderId="0"/>
    <xf numFmtId="0" fontId="3" fillId="39" borderId="28" applyNumberFormat="0" applyFont="0" applyAlignment="0" applyProtection="0"/>
    <xf numFmtId="0" fontId="3" fillId="10" borderId="0" applyNumberFormat="0" applyBorder="0" applyAlignment="0" applyProtection="0"/>
    <xf numFmtId="0" fontId="3" fillId="16" borderId="0" applyNumberFormat="0" applyBorder="0" applyAlignment="0" applyProtection="0"/>
    <xf numFmtId="0" fontId="3" fillId="11" borderId="0" applyNumberFormat="0" applyBorder="0" applyAlignment="0" applyProtection="0"/>
    <xf numFmtId="0" fontId="3" fillId="17" borderId="0" applyNumberFormat="0" applyBorder="0" applyAlignment="0" applyProtection="0"/>
    <xf numFmtId="0" fontId="3" fillId="12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9" borderId="0" applyNumberFormat="0" applyBorder="0" applyAlignment="0" applyProtection="0"/>
    <xf numFmtId="0" fontId="3" fillId="14" borderId="0" applyNumberFormat="0" applyBorder="0" applyAlignment="0" applyProtection="0"/>
    <xf numFmtId="0" fontId="3" fillId="20" borderId="0" applyNumberFormat="0" applyBorder="0" applyAlignment="0" applyProtection="0"/>
    <xf numFmtId="0" fontId="3" fillId="15" borderId="0" applyNumberFormat="0" applyBorder="0" applyAlignment="0" applyProtection="0"/>
    <xf numFmtId="0" fontId="3" fillId="21" borderId="0" applyNumberFormat="0" applyBorder="0" applyAlignment="0" applyProtection="0"/>
    <xf numFmtId="0" fontId="2" fillId="0" borderId="0"/>
    <xf numFmtId="0" fontId="2" fillId="39" borderId="28" applyNumberFormat="0" applyFont="0" applyAlignment="0" applyProtection="0"/>
    <xf numFmtId="0" fontId="2" fillId="10" borderId="0" applyNumberFormat="0" applyBorder="0" applyAlignment="0" applyProtection="0"/>
    <xf numFmtId="0" fontId="2" fillId="16" borderId="0" applyNumberFormat="0" applyBorder="0" applyAlignment="0" applyProtection="0"/>
    <xf numFmtId="0" fontId="2" fillId="11" borderId="0" applyNumberFormat="0" applyBorder="0" applyAlignment="0" applyProtection="0"/>
    <xf numFmtId="0" fontId="2" fillId="17" borderId="0" applyNumberFormat="0" applyBorder="0" applyAlignment="0" applyProtection="0"/>
    <xf numFmtId="0" fontId="2" fillId="12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9" borderId="0" applyNumberFormat="0" applyBorder="0" applyAlignment="0" applyProtection="0"/>
    <xf numFmtId="0" fontId="2" fillId="14" borderId="0" applyNumberFormat="0" applyBorder="0" applyAlignment="0" applyProtection="0"/>
    <xf numFmtId="0" fontId="2" fillId="20" borderId="0" applyNumberFormat="0" applyBorder="0" applyAlignment="0" applyProtection="0"/>
    <xf numFmtId="0" fontId="2" fillId="15" borderId="0" applyNumberFormat="0" applyBorder="0" applyAlignment="0" applyProtection="0"/>
    <xf numFmtId="0" fontId="2" fillId="21" borderId="0" applyNumberFormat="0" applyBorder="0" applyAlignment="0" applyProtection="0"/>
    <xf numFmtId="0" fontId="49" fillId="0" borderId="0"/>
    <xf numFmtId="0" fontId="50" fillId="0" borderId="0"/>
    <xf numFmtId="0" fontId="1" fillId="0" borderId="0"/>
  </cellStyleXfs>
  <cellXfs count="159">
    <xf numFmtId="0" fontId="0" fillId="0" borderId="0" xfId="0"/>
    <xf numFmtId="0" fontId="20" fillId="0" borderId="0" xfId="0" applyFont="1" applyAlignment="1">
      <alignment vertical="center"/>
    </xf>
    <xf numFmtId="0" fontId="21" fillId="0" borderId="0" xfId="0" applyFont="1" applyBorder="1" applyAlignment="1">
      <alignment vertical="center"/>
    </xf>
    <xf numFmtId="0" fontId="23" fillId="0" borderId="0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Border="1" applyAlignment="1">
      <alignment vertical="center"/>
    </xf>
    <xf numFmtId="0" fontId="24" fillId="0" borderId="0" xfId="0" applyFont="1" applyBorder="1" applyAlignment="1">
      <alignment horizontal="right" vertical="center"/>
    </xf>
    <xf numFmtId="3" fontId="23" fillId="0" borderId="0" xfId="0" applyNumberFormat="1" applyFont="1" applyBorder="1"/>
    <xf numFmtId="165" fontId="23" fillId="0" borderId="0" xfId="48" applyNumberFormat="1" applyFont="1" applyBorder="1"/>
    <xf numFmtId="0" fontId="24" fillId="0" borderId="0" xfId="0" applyFont="1" applyBorder="1" applyAlignment="1">
      <alignment horizontal="justify" vertical="center"/>
    </xf>
    <xf numFmtId="0" fontId="24" fillId="0" borderId="0" xfId="0" applyFont="1" applyBorder="1" applyAlignment="1">
      <alignment horizontal="center" vertical="center"/>
    </xf>
    <xf numFmtId="3" fontId="21" fillId="0" borderId="4" xfId="0" applyNumberFormat="1" applyFont="1" applyBorder="1" applyAlignment="1">
      <alignment vertical="center"/>
    </xf>
    <xf numFmtId="0" fontId="24" fillId="2" borderId="5" xfId="0" applyFont="1" applyFill="1" applyBorder="1" applyAlignment="1">
      <alignment vertical="center"/>
    </xf>
    <xf numFmtId="0" fontId="24" fillId="4" borderId="5" xfId="0" applyFont="1" applyFill="1" applyBorder="1" applyAlignment="1">
      <alignment vertical="center"/>
    </xf>
    <xf numFmtId="0" fontId="21" fillId="4" borderId="0" xfId="0" applyFont="1" applyFill="1" applyBorder="1" applyAlignment="1">
      <alignment vertical="center"/>
    </xf>
    <xf numFmtId="0" fontId="20" fillId="4" borderId="0" xfId="0" applyFont="1" applyFill="1" applyBorder="1" applyAlignment="1">
      <alignment horizontal="right" vertical="center"/>
    </xf>
    <xf numFmtId="0" fontId="21" fillId="0" borderId="3" xfId="0" applyFont="1" applyBorder="1" applyAlignment="1">
      <alignment horizontal="right" vertical="center" wrapText="1"/>
    </xf>
    <xf numFmtId="0" fontId="20" fillId="4" borderId="0" xfId="0" applyFont="1" applyFill="1" applyAlignment="1">
      <alignment vertical="center"/>
    </xf>
    <xf numFmtId="0" fontId="20" fillId="4" borderId="0" xfId="0" applyFont="1" applyFill="1" applyBorder="1" applyAlignment="1">
      <alignment vertical="center"/>
    </xf>
    <xf numFmtId="0" fontId="20" fillId="2" borderId="0" xfId="0" applyFont="1" applyFill="1" applyAlignment="1">
      <alignment vertical="center"/>
    </xf>
    <xf numFmtId="0" fontId="20" fillId="2" borderId="0" xfId="0" applyFont="1" applyFill="1" applyBorder="1" applyAlignment="1">
      <alignment vertical="center"/>
    </xf>
    <xf numFmtId="0" fontId="20" fillId="4" borderId="5" xfId="0" applyFont="1" applyFill="1" applyBorder="1" applyAlignment="1">
      <alignment vertical="center"/>
    </xf>
    <xf numFmtId="0" fontId="20" fillId="2" borderId="5" xfId="0" applyFont="1" applyFill="1" applyBorder="1" applyAlignment="1">
      <alignment vertical="center"/>
    </xf>
    <xf numFmtId="0" fontId="21" fillId="2" borderId="5" xfId="0" applyFont="1" applyFill="1" applyBorder="1" applyAlignment="1">
      <alignment vertical="center"/>
    </xf>
    <xf numFmtId="0" fontId="17" fillId="6" borderId="8" xfId="0" applyFont="1" applyFill="1" applyBorder="1" applyAlignment="1">
      <alignment vertical="center"/>
    </xf>
    <xf numFmtId="0" fontId="17" fillId="7" borderId="9" xfId="0" applyFont="1" applyFill="1" applyBorder="1" applyAlignment="1">
      <alignment vertical="center"/>
    </xf>
    <xf numFmtId="0" fontId="18" fillId="8" borderId="10" xfId="0" applyFont="1" applyFill="1" applyBorder="1" applyAlignment="1">
      <alignment vertical="center"/>
    </xf>
    <xf numFmtId="0" fontId="17" fillId="5" borderId="11" xfId="0" applyFont="1" applyFill="1" applyBorder="1" applyAlignment="1">
      <alignment vertical="center" wrapText="1"/>
    </xf>
    <xf numFmtId="0" fontId="20" fillId="3" borderId="0" xfId="0" applyFont="1" applyFill="1" applyAlignment="1">
      <alignment vertical="center"/>
    </xf>
    <xf numFmtId="0" fontId="20" fillId="3" borderId="0" xfId="0" applyFont="1" applyFill="1" applyBorder="1" applyAlignment="1">
      <alignment vertical="center"/>
    </xf>
    <xf numFmtId="0" fontId="20" fillId="3" borderId="5" xfId="0" applyFont="1" applyFill="1" applyBorder="1" applyAlignment="1">
      <alignment vertical="center"/>
    </xf>
    <xf numFmtId="0" fontId="19" fillId="0" borderId="6" xfId="0" applyFont="1" applyBorder="1" applyAlignment="1">
      <alignment vertical="center" wrapText="1"/>
    </xf>
    <xf numFmtId="0" fontId="20" fillId="9" borderId="0" xfId="0" applyFont="1" applyFill="1" applyAlignment="1">
      <alignment vertical="center"/>
    </xf>
    <xf numFmtId="0" fontId="20" fillId="9" borderId="0" xfId="0" applyFont="1" applyFill="1" applyBorder="1" applyAlignment="1">
      <alignment vertical="center"/>
    </xf>
    <xf numFmtId="0" fontId="20" fillId="9" borderId="5" xfId="0" applyFont="1" applyFill="1" applyBorder="1" applyAlignment="1">
      <alignment vertical="center"/>
    </xf>
    <xf numFmtId="0" fontId="21" fillId="3" borderId="5" xfId="0" applyFont="1" applyFill="1" applyBorder="1" applyAlignment="1">
      <alignment vertical="center"/>
    </xf>
    <xf numFmtId="0" fontId="20" fillId="3" borderId="5" xfId="0" applyFont="1" applyFill="1" applyBorder="1" applyAlignment="1">
      <alignment horizontal="right" vertical="center"/>
    </xf>
    <xf numFmtId="0" fontId="21" fillId="9" borderId="0" xfId="0" applyFont="1" applyFill="1" applyBorder="1" applyAlignment="1">
      <alignment vertical="center"/>
    </xf>
    <xf numFmtId="0" fontId="20" fillId="9" borderId="0" xfId="0" applyFont="1" applyFill="1" applyBorder="1" applyAlignment="1">
      <alignment horizontal="right" vertical="center"/>
    </xf>
    <xf numFmtId="0" fontId="25" fillId="0" borderId="0" xfId="0" applyFont="1" applyBorder="1" applyAlignment="1">
      <alignment horizontal="left" vertical="center" wrapText="1"/>
    </xf>
    <xf numFmtId="3" fontId="25" fillId="0" borderId="0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vertical="center" wrapText="1"/>
    </xf>
    <xf numFmtId="3" fontId="23" fillId="0" borderId="0" xfId="0" applyNumberFormat="1" applyFont="1" applyBorder="1" applyAlignment="1">
      <alignment vertical="center"/>
    </xf>
    <xf numFmtId="10" fontId="23" fillId="0" borderId="0" xfId="45" applyNumberFormat="1" applyFont="1" applyBorder="1" applyAlignment="1">
      <alignment vertical="center"/>
    </xf>
    <xf numFmtId="0" fontId="21" fillId="0" borderId="3" xfId="0" applyFont="1" applyFill="1" applyBorder="1" applyAlignment="1">
      <alignment horizontal="right" vertical="center" wrapText="1"/>
    </xf>
    <xf numFmtId="0" fontId="21" fillId="0" borderId="0" xfId="0" applyFont="1" applyFill="1" applyAlignment="1">
      <alignment vertical="center" wrapText="1"/>
    </xf>
    <xf numFmtId="0" fontId="28" fillId="0" borderId="0" xfId="38" applyFont="1" applyFill="1" applyBorder="1" applyAlignment="1"/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3" fontId="16" fillId="0" borderId="0" xfId="41" applyNumberFormat="1" applyBorder="1"/>
    <xf numFmtId="0" fontId="31" fillId="0" borderId="0" xfId="40" applyFont="1" applyFill="1" applyBorder="1" applyAlignment="1">
      <alignment horizontal="left"/>
    </xf>
    <xf numFmtId="0" fontId="0" fillId="0" borderId="0" xfId="0" applyBorder="1"/>
    <xf numFmtId="0" fontId="28" fillId="0" borderId="0" xfId="37" applyFont="1" applyFill="1" applyBorder="1" applyAlignment="1"/>
    <xf numFmtId="0" fontId="16" fillId="0" borderId="0" xfId="41" applyBorder="1"/>
    <xf numFmtId="0" fontId="28" fillId="0" borderId="0" xfId="39" applyFont="1" applyFill="1" applyBorder="1" applyAlignment="1"/>
    <xf numFmtId="3" fontId="28" fillId="0" borderId="0" xfId="39" applyNumberFormat="1" applyFont="1" applyFill="1" applyBorder="1" applyAlignment="1">
      <alignment horizontal="right"/>
    </xf>
    <xf numFmtId="3" fontId="28" fillId="0" borderId="0" xfId="39" applyNumberFormat="1" applyFont="1" applyFill="1" applyBorder="1" applyAlignment="1">
      <alignment horizontal="left"/>
    </xf>
    <xf numFmtId="3" fontId="21" fillId="0" borderId="0" xfId="0" applyNumberFormat="1" applyFont="1" applyAlignment="1">
      <alignment vertical="center"/>
    </xf>
    <xf numFmtId="10" fontId="21" fillId="0" borderId="4" xfId="45" applyNumberFormat="1" applyFont="1" applyBorder="1" applyAlignment="1">
      <alignment vertical="center"/>
    </xf>
    <xf numFmtId="0" fontId="24" fillId="0" borderId="3" xfId="0" applyFont="1" applyFill="1" applyBorder="1" applyAlignment="1">
      <alignment horizontal="right" vertical="center"/>
    </xf>
    <xf numFmtId="0" fontId="24" fillId="0" borderId="6" xfId="0" applyFont="1" applyFill="1" applyBorder="1" applyAlignment="1">
      <alignment horizontal="right" vertical="center"/>
    </xf>
    <xf numFmtId="14" fontId="24" fillId="3" borderId="5" xfId="0" applyNumberFormat="1" applyFont="1" applyFill="1" applyBorder="1" applyAlignment="1">
      <alignment vertical="center"/>
    </xf>
    <xf numFmtId="166" fontId="20" fillId="4" borderId="0" xfId="0" applyNumberFormat="1" applyFont="1" applyFill="1" applyAlignment="1">
      <alignment vertical="center"/>
    </xf>
    <xf numFmtId="10" fontId="24" fillId="0" borderId="3" xfId="45" applyNumberFormat="1" applyFont="1" applyBorder="1" applyAlignment="1">
      <alignment vertical="center"/>
    </xf>
    <xf numFmtId="0" fontId="25" fillId="0" borderId="0" xfId="0" applyFont="1" applyFill="1" applyAlignment="1">
      <alignment vertical="center"/>
    </xf>
    <xf numFmtId="0" fontId="25" fillId="0" borderId="0" xfId="0" applyFont="1" applyAlignment="1">
      <alignment vertical="center"/>
    </xf>
    <xf numFmtId="3" fontId="24" fillId="0" borderId="3" xfId="0" applyNumberFormat="1" applyFont="1" applyFill="1" applyBorder="1" applyAlignment="1">
      <alignment horizontal="right" vertical="center"/>
    </xf>
    <xf numFmtId="166" fontId="24" fillId="0" borderId="3" xfId="0" applyNumberFormat="1" applyFont="1" applyFill="1" applyBorder="1" applyAlignment="1">
      <alignment vertical="center" wrapText="1"/>
    </xf>
    <xf numFmtId="166" fontId="24" fillId="3" borderId="5" xfId="0" applyNumberFormat="1" applyFont="1" applyFill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Fill="1" applyAlignment="1">
      <alignment vertical="center"/>
    </xf>
    <xf numFmtId="1" fontId="0" fillId="0" borderId="0" xfId="0" applyNumberFormat="1"/>
    <xf numFmtId="3" fontId="25" fillId="0" borderId="4" xfId="0" applyNumberFormat="1" applyFont="1" applyBorder="1" applyAlignment="1">
      <alignment vertical="center" wrapText="1"/>
    </xf>
    <xf numFmtId="3" fontId="25" fillId="5" borderId="5" xfId="0" applyNumberFormat="1" applyFont="1" applyFill="1" applyBorder="1"/>
    <xf numFmtId="3" fontId="25" fillId="6" borderId="7" xfId="0" applyNumberFormat="1" applyFont="1" applyFill="1" applyBorder="1"/>
    <xf numFmtId="3" fontId="25" fillId="7" borderId="1" xfId="0" applyNumberFormat="1" applyFont="1" applyFill="1" applyBorder="1"/>
    <xf numFmtId="3" fontId="24" fillId="0" borderId="3" xfId="0" applyNumberFormat="1" applyFont="1" applyBorder="1" applyAlignment="1">
      <alignment horizontal="right"/>
    </xf>
    <xf numFmtId="3" fontId="26" fillId="8" borderId="1" xfId="0" applyNumberFormat="1" applyFont="1" applyFill="1" applyBorder="1"/>
    <xf numFmtId="3" fontId="25" fillId="0" borderId="4" xfId="0" applyNumberFormat="1" applyFont="1" applyFill="1" applyBorder="1" applyAlignment="1">
      <alignment vertical="center" wrapText="1"/>
    </xf>
    <xf numFmtId="4" fontId="21" fillId="0" borderId="0" xfId="0" applyNumberFormat="1" applyFont="1" applyFill="1" applyAlignment="1">
      <alignment vertical="center"/>
    </xf>
    <xf numFmtId="2" fontId="0" fillId="0" borderId="0" xfId="0" applyNumberFormat="1"/>
    <xf numFmtId="0" fontId="24" fillId="9" borderId="0" xfId="0" applyFont="1" applyFill="1" applyBorder="1" applyAlignment="1">
      <alignment vertical="center"/>
    </xf>
    <xf numFmtId="0" fontId="51" fillId="9" borderId="5" xfId="0" applyFont="1" applyFill="1" applyBorder="1" applyAlignment="1">
      <alignment vertical="center"/>
    </xf>
    <xf numFmtId="166" fontId="20" fillId="3" borderId="0" xfId="0" applyNumberFormat="1" applyFont="1" applyFill="1" applyAlignment="1">
      <alignment vertical="center"/>
    </xf>
    <xf numFmtId="3" fontId="52" fillId="0" borderId="0" xfId="0" applyNumberFormat="1" applyFont="1"/>
    <xf numFmtId="166" fontId="20" fillId="9" borderId="0" xfId="0" applyNumberFormat="1" applyFont="1" applyFill="1" applyAlignment="1">
      <alignment horizontal="lef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0" fillId="2" borderId="5" xfId="0" applyFont="1" applyFill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5" fillId="0" borderId="1" xfId="0" applyFont="1" applyBorder="1" applyAlignment="1">
      <alignment horizontal="left" vertical="center" wrapText="1"/>
    </xf>
    <xf numFmtId="0" fontId="25" fillId="0" borderId="9" xfId="0" applyFont="1" applyBorder="1" applyAlignment="1">
      <alignment horizontal="left" vertical="center" wrapText="1"/>
    </xf>
    <xf numFmtId="3" fontId="25" fillId="0" borderId="19" xfId="0" applyNumberFormat="1" applyFont="1" applyBorder="1" applyAlignment="1">
      <alignment horizontal="right" vertical="center"/>
    </xf>
    <xf numFmtId="3" fontId="25" fillId="0" borderId="1" xfId="0" applyNumberFormat="1" applyFont="1" applyBorder="1" applyAlignment="1">
      <alignment horizontal="right" vertical="center"/>
    </xf>
    <xf numFmtId="0" fontId="25" fillId="0" borderId="12" xfId="0" applyFont="1" applyBorder="1" applyAlignment="1">
      <alignment horizontal="left" vertical="center" wrapText="1"/>
    </xf>
    <xf numFmtId="0" fontId="25" fillId="0" borderId="17" xfId="0" applyFont="1" applyBorder="1" applyAlignment="1">
      <alignment horizontal="left" vertical="center" wrapText="1"/>
    </xf>
    <xf numFmtId="3" fontId="25" fillId="0" borderId="20" xfId="0" applyNumberFormat="1" applyFont="1" applyBorder="1" applyAlignment="1">
      <alignment horizontal="right" vertical="center"/>
    </xf>
    <xf numFmtId="3" fontId="25" fillId="0" borderId="12" xfId="0" applyNumberFormat="1" applyFont="1" applyBorder="1" applyAlignment="1">
      <alignment horizontal="right" vertical="center"/>
    </xf>
    <xf numFmtId="14" fontId="24" fillId="0" borderId="13" xfId="0" applyNumberFormat="1" applyFont="1" applyFill="1" applyBorder="1" applyAlignment="1">
      <alignment horizontal="right" vertical="center" wrapText="1"/>
    </xf>
    <xf numFmtId="14" fontId="24" fillId="0" borderId="3" xfId="0" applyNumberFormat="1" applyFont="1" applyFill="1" applyBorder="1" applyAlignment="1">
      <alignment horizontal="right" vertical="center" wrapText="1"/>
    </xf>
    <xf numFmtId="0" fontId="25" fillId="0" borderId="7" xfId="0" applyFont="1" applyBorder="1" applyAlignment="1">
      <alignment horizontal="left" vertical="center" wrapText="1"/>
    </xf>
    <xf numFmtId="0" fontId="25" fillId="0" borderId="8" xfId="0" applyFont="1" applyBorder="1" applyAlignment="1">
      <alignment horizontal="left" vertical="center" wrapText="1"/>
    </xf>
    <xf numFmtId="3" fontId="25" fillId="0" borderId="18" xfId="0" applyNumberFormat="1" applyFont="1" applyBorder="1" applyAlignment="1">
      <alignment horizontal="right" vertical="center"/>
    </xf>
    <xf numFmtId="3" fontId="25" fillId="0" borderId="7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left" vertical="center" wrapText="1"/>
    </xf>
    <xf numFmtId="0" fontId="24" fillId="0" borderId="6" xfId="0" applyFont="1" applyBorder="1" applyAlignment="1">
      <alignment horizontal="left" vertical="center" wrapText="1"/>
    </xf>
    <xf numFmtId="0" fontId="24" fillId="0" borderId="3" xfId="0" applyFont="1" applyBorder="1" applyAlignment="1">
      <alignment vertical="center" wrapText="1"/>
    </xf>
    <xf numFmtId="0" fontId="24" fillId="0" borderId="6" xfId="0" applyFont="1" applyBorder="1" applyAlignment="1">
      <alignment vertical="center" wrapText="1"/>
    </xf>
    <xf numFmtId="0" fontId="20" fillId="2" borderId="5" xfId="0" applyFont="1" applyFill="1" applyBorder="1" applyAlignment="1">
      <alignment horizontal="right" vertical="center"/>
    </xf>
    <xf numFmtId="0" fontId="25" fillId="6" borderId="7" xfId="0" applyFont="1" applyFill="1" applyBorder="1" applyAlignment="1">
      <alignment horizontal="left" vertical="center"/>
    </xf>
    <xf numFmtId="0" fontId="25" fillId="6" borderId="8" xfId="0" applyFont="1" applyFill="1" applyBorder="1" applyAlignment="1">
      <alignment horizontal="left" vertical="center"/>
    </xf>
    <xf numFmtId="0" fontId="25" fillId="7" borderId="1" xfId="0" applyFont="1" applyFill="1" applyBorder="1" applyAlignment="1">
      <alignment horizontal="left" vertical="center"/>
    </xf>
    <xf numFmtId="0" fontId="25" fillId="7" borderId="9" xfId="0" applyFont="1" applyFill="1" applyBorder="1" applyAlignment="1">
      <alignment horizontal="left" vertical="center"/>
    </xf>
    <xf numFmtId="0" fontId="26" fillId="8" borderId="1" xfId="0" applyFont="1" applyFill="1" applyBorder="1" applyAlignment="1">
      <alignment horizontal="left" vertical="center"/>
    </xf>
    <xf numFmtId="0" fontId="26" fillId="8" borderId="9" xfId="0" applyFont="1" applyFill="1" applyBorder="1" applyAlignment="1">
      <alignment horizontal="left" vertical="center"/>
    </xf>
    <xf numFmtId="0" fontId="25" fillId="5" borderId="5" xfId="0" applyFont="1" applyFill="1" applyBorder="1" applyAlignment="1">
      <alignment horizontal="left" vertical="center" wrapText="1"/>
    </xf>
    <xf numFmtId="0" fontId="25" fillId="5" borderId="11" xfId="0" applyFont="1" applyFill="1" applyBorder="1" applyAlignment="1">
      <alignment horizontal="left" vertical="center" wrapText="1"/>
    </xf>
    <xf numFmtId="0" fontId="24" fillId="0" borderId="3" xfId="0" applyFont="1" applyBorder="1" applyAlignment="1">
      <alignment horizontal="right" vertical="center"/>
    </xf>
    <xf numFmtId="0" fontId="24" fillId="0" borderId="6" xfId="0" applyFont="1" applyBorder="1" applyAlignment="1">
      <alignment horizontal="right" vertical="center"/>
    </xf>
    <xf numFmtId="0" fontId="24" fillId="0" borderId="30" xfId="0" applyFont="1" applyBorder="1" applyAlignment="1">
      <alignment horizontal="left" vertical="center" wrapText="1"/>
    </xf>
    <xf numFmtId="14" fontId="24" fillId="0" borderId="30" xfId="0" applyNumberFormat="1" applyFont="1" applyBorder="1" applyAlignment="1">
      <alignment horizontal="center" vertical="center" wrapText="1"/>
    </xf>
    <xf numFmtId="14" fontId="24" fillId="0" borderId="13" xfId="0" applyNumberFormat="1" applyFont="1" applyBorder="1" applyAlignment="1">
      <alignment horizontal="center" vertical="center" wrapText="1"/>
    </xf>
    <xf numFmtId="0" fontId="25" fillId="0" borderId="14" xfId="0" applyFont="1" applyBorder="1" applyAlignment="1">
      <alignment horizontal="left" vertical="center" wrapText="1"/>
    </xf>
    <xf numFmtId="1" fontId="25" fillId="0" borderId="20" xfId="45" applyNumberFormat="1" applyFont="1" applyBorder="1" applyAlignment="1">
      <alignment horizontal="center" vertical="center"/>
    </xf>
    <xf numFmtId="1" fontId="25" fillId="0" borderId="12" xfId="45" applyNumberFormat="1" applyFont="1" applyBorder="1" applyAlignment="1">
      <alignment horizontal="center" vertical="center"/>
    </xf>
    <xf numFmtId="0" fontId="25" fillId="0" borderId="2" xfId="0" applyFont="1" applyFill="1" applyBorder="1" applyAlignment="1">
      <alignment horizontal="left" vertical="center" wrapText="1"/>
    </xf>
    <xf numFmtId="0" fontId="25" fillId="0" borderId="16" xfId="0" applyFont="1" applyFill="1" applyBorder="1" applyAlignment="1">
      <alignment horizontal="left" vertical="center" wrapText="1"/>
    </xf>
    <xf numFmtId="0" fontId="25" fillId="0" borderId="1" xfId="0" applyFont="1" applyFill="1" applyBorder="1" applyAlignment="1">
      <alignment horizontal="left" vertical="center" wrapText="1"/>
    </xf>
    <xf numFmtId="0" fontId="25" fillId="0" borderId="9" xfId="0" applyFont="1" applyFill="1" applyBorder="1" applyAlignment="1">
      <alignment horizontal="left" vertical="center" wrapText="1"/>
    </xf>
    <xf numFmtId="0" fontId="25" fillId="0" borderId="1" xfId="0" applyFont="1" applyFill="1" applyBorder="1" applyAlignment="1">
      <alignment horizontal="left" vertical="center" wrapText="1" indent="1"/>
    </xf>
    <xf numFmtId="0" fontId="25" fillId="0" borderId="9" xfId="0" applyFont="1" applyFill="1" applyBorder="1" applyAlignment="1">
      <alignment horizontal="left" vertical="center" wrapText="1" indent="1"/>
    </xf>
    <xf numFmtId="0" fontId="25" fillId="0" borderId="2" xfId="0" applyFont="1" applyFill="1" applyBorder="1" applyAlignment="1">
      <alignment horizontal="left" vertical="center" wrapText="1" indent="1"/>
    </xf>
    <xf numFmtId="0" fontId="25" fillId="0" borderId="16" xfId="0" applyFont="1" applyFill="1" applyBorder="1" applyAlignment="1">
      <alignment horizontal="left" vertical="center" wrapText="1" indent="1"/>
    </xf>
    <xf numFmtId="0" fontId="25" fillId="0" borderId="4" xfId="0" applyFont="1" applyFill="1" applyBorder="1" applyAlignment="1">
      <alignment horizontal="left" vertical="center" wrapText="1"/>
    </xf>
    <xf numFmtId="0" fontId="25" fillId="0" borderId="10" xfId="0" applyFont="1" applyFill="1" applyBorder="1" applyAlignment="1">
      <alignment horizontal="left" vertical="center" wrapText="1"/>
    </xf>
    <xf numFmtId="0" fontId="27" fillId="0" borderId="0" xfId="0" applyFont="1" applyAlignment="1">
      <alignment horizontal="center" vertical="center"/>
    </xf>
    <xf numFmtId="166" fontId="27" fillId="0" borderId="15" xfId="0" applyNumberFormat="1" applyFont="1" applyBorder="1" applyAlignment="1">
      <alignment horizontal="center" vertical="center"/>
    </xf>
    <xf numFmtId="0" fontId="24" fillId="0" borderId="3" xfId="0" applyFont="1" applyFill="1" applyBorder="1" applyAlignment="1">
      <alignment horizontal="left" vertical="center" wrapText="1"/>
    </xf>
    <xf numFmtId="0" fontId="24" fillId="0" borderId="6" xfId="0" applyFont="1" applyFill="1" applyBorder="1" applyAlignment="1">
      <alignment horizontal="left" vertical="center" wrapText="1"/>
    </xf>
  </cellXfs>
  <cellStyles count="675">
    <cellStyle name="20% - Акцент1" xfId="1" builtinId="30" customBuiltin="1"/>
    <cellStyle name="20% - Акцент1 10" xfId="646"/>
    <cellStyle name="20% - Акцент1 11" xfId="660"/>
    <cellStyle name="20% - Акцент1 2" xfId="52"/>
    <cellStyle name="20% - Акцент1 2 2" xfId="98"/>
    <cellStyle name="20% - Акцент1 2 2 2" xfId="190"/>
    <cellStyle name="20% - Акцент1 2 2 2 2" xfId="540"/>
    <cellStyle name="20% - Акцент1 2 2 3" xfId="448"/>
    <cellStyle name="20% - Акцент1 2 2 4" xfId="356"/>
    <cellStyle name="20% - Акцент1 2 3" xfId="144"/>
    <cellStyle name="20% - Акцент1 2 3 2" xfId="494"/>
    <cellStyle name="20% - Акцент1 2 4" xfId="236"/>
    <cellStyle name="20% - Акцент1 2 4 2" xfId="586"/>
    <cellStyle name="20% - Акцент1 2 5" xfId="402"/>
    <cellStyle name="20% - Акцент1 2 6" xfId="310"/>
    <cellStyle name="20% - Акцент1 3" xfId="70"/>
    <cellStyle name="20% - Акцент1 3 2" xfId="116"/>
    <cellStyle name="20% - Акцент1 3 2 2" xfId="208"/>
    <cellStyle name="20% - Акцент1 3 2 2 2" xfId="558"/>
    <cellStyle name="20% - Акцент1 3 2 3" xfId="466"/>
    <cellStyle name="20% - Акцент1 3 2 4" xfId="374"/>
    <cellStyle name="20% - Акцент1 3 3" xfId="162"/>
    <cellStyle name="20% - Акцент1 3 3 2" xfId="512"/>
    <cellStyle name="20% - Акцент1 3 4" xfId="254"/>
    <cellStyle name="20% - Акцент1 3 4 2" xfId="604"/>
    <cellStyle name="20% - Акцент1 3 5" xfId="420"/>
    <cellStyle name="20% - Акцент1 3 6" xfId="328"/>
    <cellStyle name="20% - Акцент1 4" xfId="82"/>
    <cellStyle name="20% - Акцент1 4 2" xfId="174"/>
    <cellStyle name="20% - Акцент1 4 2 2" xfId="524"/>
    <cellStyle name="20% - Акцент1 4 3" xfId="268"/>
    <cellStyle name="20% - Акцент1 4 3 2" xfId="618"/>
    <cellStyle name="20% - Акцент1 4 4" xfId="432"/>
    <cellStyle name="20% - Акцент1 4 5" xfId="340"/>
    <cellStyle name="20% - Акцент1 5" xfId="128"/>
    <cellStyle name="20% - Акцент1 5 2" xfId="478"/>
    <cellStyle name="20% - Акцент1 6" xfId="220"/>
    <cellStyle name="20% - Акцент1 6 2" xfId="570"/>
    <cellStyle name="20% - Акцент1 7" xfId="282"/>
    <cellStyle name="20% - Акцент1 7 2" xfId="632"/>
    <cellStyle name="20% - Акцент1 8" xfId="386"/>
    <cellStyle name="20% - Акцент1 9" xfId="294"/>
    <cellStyle name="20% - Акцент2" xfId="2" builtinId="34" customBuiltin="1"/>
    <cellStyle name="20% - Акцент2 10" xfId="648"/>
    <cellStyle name="20% - Акцент2 11" xfId="662"/>
    <cellStyle name="20% - Акцент2 2" xfId="54"/>
    <cellStyle name="20% - Акцент2 2 2" xfId="100"/>
    <cellStyle name="20% - Акцент2 2 2 2" xfId="192"/>
    <cellStyle name="20% - Акцент2 2 2 2 2" xfId="542"/>
    <cellStyle name="20% - Акцент2 2 2 3" xfId="450"/>
    <cellStyle name="20% - Акцент2 2 2 4" xfId="358"/>
    <cellStyle name="20% - Акцент2 2 3" xfId="146"/>
    <cellStyle name="20% - Акцент2 2 3 2" xfId="496"/>
    <cellStyle name="20% - Акцент2 2 4" xfId="238"/>
    <cellStyle name="20% - Акцент2 2 4 2" xfId="588"/>
    <cellStyle name="20% - Акцент2 2 5" xfId="404"/>
    <cellStyle name="20% - Акцент2 2 6" xfId="312"/>
    <cellStyle name="20% - Акцент2 3" xfId="72"/>
    <cellStyle name="20% - Акцент2 3 2" xfId="118"/>
    <cellStyle name="20% - Акцент2 3 2 2" xfId="210"/>
    <cellStyle name="20% - Акцент2 3 2 2 2" xfId="560"/>
    <cellStyle name="20% - Акцент2 3 2 3" xfId="468"/>
    <cellStyle name="20% - Акцент2 3 2 4" xfId="376"/>
    <cellStyle name="20% - Акцент2 3 3" xfId="164"/>
    <cellStyle name="20% - Акцент2 3 3 2" xfId="514"/>
    <cellStyle name="20% - Акцент2 3 4" xfId="256"/>
    <cellStyle name="20% - Акцент2 3 4 2" xfId="606"/>
    <cellStyle name="20% - Акцент2 3 5" xfId="422"/>
    <cellStyle name="20% - Акцент2 3 6" xfId="330"/>
    <cellStyle name="20% - Акцент2 4" xfId="83"/>
    <cellStyle name="20% - Акцент2 4 2" xfId="175"/>
    <cellStyle name="20% - Акцент2 4 2 2" xfId="525"/>
    <cellStyle name="20% - Акцент2 4 3" xfId="270"/>
    <cellStyle name="20% - Акцент2 4 3 2" xfId="620"/>
    <cellStyle name="20% - Акцент2 4 4" xfId="433"/>
    <cellStyle name="20% - Акцент2 4 5" xfId="341"/>
    <cellStyle name="20% - Акцент2 5" xfId="129"/>
    <cellStyle name="20% - Акцент2 5 2" xfId="479"/>
    <cellStyle name="20% - Акцент2 6" xfId="221"/>
    <cellStyle name="20% - Акцент2 6 2" xfId="571"/>
    <cellStyle name="20% - Акцент2 7" xfId="284"/>
    <cellStyle name="20% - Акцент2 7 2" xfId="634"/>
    <cellStyle name="20% - Акцент2 8" xfId="387"/>
    <cellStyle name="20% - Акцент2 9" xfId="295"/>
    <cellStyle name="20% - Акцент3" xfId="3" builtinId="38" customBuiltin="1"/>
    <cellStyle name="20% - Акцент3 10" xfId="650"/>
    <cellStyle name="20% - Акцент3 11" xfId="664"/>
    <cellStyle name="20% - Акцент3 2" xfId="56"/>
    <cellStyle name="20% - Акцент3 2 2" xfId="102"/>
    <cellStyle name="20% - Акцент3 2 2 2" xfId="194"/>
    <cellStyle name="20% - Акцент3 2 2 2 2" xfId="544"/>
    <cellStyle name="20% - Акцент3 2 2 3" xfId="452"/>
    <cellStyle name="20% - Акцент3 2 2 4" xfId="360"/>
    <cellStyle name="20% - Акцент3 2 3" xfId="148"/>
    <cellStyle name="20% - Акцент3 2 3 2" xfId="498"/>
    <cellStyle name="20% - Акцент3 2 4" xfId="240"/>
    <cellStyle name="20% - Акцент3 2 4 2" xfId="590"/>
    <cellStyle name="20% - Акцент3 2 5" xfId="406"/>
    <cellStyle name="20% - Акцент3 2 6" xfId="314"/>
    <cellStyle name="20% - Акцент3 3" xfId="74"/>
    <cellStyle name="20% - Акцент3 3 2" xfId="120"/>
    <cellStyle name="20% - Акцент3 3 2 2" xfId="212"/>
    <cellStyle name="20% - Акцент3 3 2 2 2" xfId="562"/>
    <cellStyle name="20% - Акцент3 3 2 3" xfId="470"/>
    <cellStyle name="20% - Акцент3 3 2 4" xfId="378"/>
    <cellStyle name="20% - Акцент3 3 3" xfId="166"/>
    <cellStyle name="20% - Акцент3 3 3 2" xfId="516"/>
    <cellStyle name="20% - Акцент3 3 4" xfId="258"/>
    <cellStyle name="20% - Акцент3 3 4 2" xfId="608"/>
    <cellStyle name="20% - Акцент3 3 5" xfId="424"/>
    <cellStyle name="20% - Акцент3 3 6" xfId="332"/>
    <cellStyle name="20% - Акцент3 4" xfId="84"/>
    <cellStyle name="20% - Акцент3 4 2" xfId="176"/>
    <cellStyle name="20% - Акцент3 4 2 2" xfId="526"/>
    <cellStyle name="20% - Акцент3 4 3" xfId="272"/>
    <cellStyle name="20% - Акцент3 4 3 2" xfId="622"/>
    <cellStyle name="20% - Акцент3 4 4" xfId="434"/>
    <cellStyle name="20% - Акцент3 4 5" xfId="342"/>
    <cellStyle name="20% - Акцент3 5" xfId="130"/>
    <cellStyle name="20% - Акцент3 5 2" xfId="480"/>
    <cellStyle name="20% - Акцент3 6" xfId="222"/>
    <cellStyle name="20% - Акцент3 6 2" xfId="572"/>
    <cellStyle name="20% - Акцент3 7" xfId="286"/>
    <cellStyle name="20% - Акцент3 7 2" xfId="636"/>
    <cellStyle name="20% - Акцент3 8" xfId="388"/>
    <cellStyle name="20% - Акцент3 9" xfId="296"/>
    <cellStyle name="20% - Акцент4" xfId="4" builtinId="42" customBuiltin="1"/>
    <cellStyle name="20% - Акцент4 10" xfId="652"/>
    <cellStyle name="20% - Акцент4 11" xfId="666"/>
    <cellStyle name="20% - Акцент4 2" xfId="58"/>
    <cellStyle name="20% - Акцент4 2 2" xfId="104"/>
    <cellStyle name="20% - Акцент4 2 2 2" xfId="196"/>
    <cellStyle name="20% - Акцент4 2 2 2 2" xfId="546"/>
    <cellStyle name="20% - Акцент4 2 2 3" xfId="454"/>
    <cellStyle name="20% - Акцент4 2 2 4" xfId="362"/>
    <cellStyle name="20% - Акцент4 2 3" xfId="150"/>
    <cellStyle name="20% - Акцент4 2 3 2" xfId="500"/>
    <cellStyle name="20% - Акцент4 2 4" xfId="242"/>
    <cellStyle name="20% - Акцент4 2 4 2" xfId="592"/>
    <cellStyle name="20% - Акцент4 2 5" xfId="408"/>
    <cellStyle name="20% - Акцент4 2 6" xfId="316"/>
    <cellStyle name="20% - Акцент4 3" xfId="76"/>
    <cellStyle name="20% - Акцент4 3 2" xfId="122"/>
    <cellStyle name="20% - Акцент4 3 2 2" xfId="214"/>
    <cellStyle name="20% - Акцент4 3 2 2 2" xfId="564"/>
    <cellStyle name="20% - Акцент4 3 2 3" xfId="472"/>
    <cellStyle name="20% - Акцент4 3 2 4" xfId="380"/>
    <cellStyle name="20% - Акцент4 3 3" xfId="168"/>
    <cellStyle name="20% - Акцент4 3 3 2" xfId="518"/>
    <cellStyle name="20% - Акцент4 3 4" xfId="260"/>
    <cellStyle name="20% - Акцент4 3 4 2" xfId="610"/>
    <cellStyle name="20% - Акцент4 3 5" xfId="426"/>
    <cellStyle name="20% - Акцент4 3 6" xfId="334"/>
    <cellStyle name="20% - Акцент4 4" xfId="85"/>
    <cellStyle name="20% - Акцент4 4 2" xfId="177"/>
    <cellStyle name="20% - Акцент4 4 2 2" xfId="527"/>
    <cellStyle name="20% - Акцент4 4 3" xfId="274"/>
    <cellStyle name="20% - Акцент4 4 3 2" xfId="624"/>
    <cellStyle name="20% - Акцент4 4 4" xfId="435"/>
    <cellStyle name="20% - Акцент4 4 5" xfId="343"/>
    <cellStyle name="20% - Акцент4 5" xfId="131"/>
    <cellStyle name="20% - Акцент4 5 2" xfId="481"/>
    <cellStyle name="20% - Акцент4 6" xfId="223"/>
    <cellStyle name="20% - Акцент4 6 2" xfId="573"/>
    <cellStyle name="20% - Акцент4 7" xfId="288"/>
    <cellStyle name="20% - Акцент4 7 2" xfId="638"/>
    <cellStyle name="20% - Акцент4 8" xfId="389"/>
    <cellStyle name="20% - Акцент4 9" xfId="297"/>
    <cellStyle name="20% - Акцент5" xfId="5" builtinId="46" customBuiltin="1"/>
    <cellStyle name="20% - Акцент5 10" xfId="654"/>
    <cellStyle name="20% - Акцент5 11" xfId="668"/>
    <cellStyle name="20% - Акцент5 2" xfId="60"/>
    <cellStyle name="20% - Акцент5 2 2" xfId="106"/>
    <cellStyle name="20% - Акцент5 2 2 2" xfId="198"/>
    <cellStyle name="20% - Акцент5 2 2 2 2" xfId="548"/>
    <cellStyle name="20% - Акцент5 2 2 3" xfId="456"/>
    <cellStyle name="20% - Акцент5 2 2 4" xfId="364"/>
    <cellStyle name="20% - Акцент5 2 3" xfId="152"/>
    <cellStyle name="20% - Акцент5 2 3 2" xfId="502"/>
    <cellStyle name="20% - Акцент5 2 4" xfId="244"/>
    <cellStyle name="20% - Акцент5 2 4 2" xfId="594"/>
    <cellStyle name="20% - Акцент5 2 5" xfId="410"/>
    <cellStyle name="20% - Акцент5 2 6" xfId="318"/>
    <cellStyle name="20% - Акцент5 3" xfId="78"/>
    <cellStyle name="20% - Акцент5 3 2" xfId="124"/>
    <cellStyle name="20% - Акцент5 3 2 2" xfId="216"/>
    <cellStyle name="20% - Акцент5 3 2 2 2" xfId="566"/>
    <cellStyle name="20% - Акцент5 3 2 3" xfId="474"/>
    <cellStyle name="20% - Акцент5 3 2 4" xfId="382"/>
    <cellStyle name="20% - Акцент5 3 3" xfId="170"/>
    <cellStyle name="20% - Акцент5 3 3 2" xfId="520"/>
    <cellStyle name="20% - Акцент5 3 4" xfId="262"/>
    <cellStyle name="20% - Акцент5 3 4 2" xfId="612"/>
    <cellStyle name="20% - Акцент5 3 5" xfId="428"/>
    <cellStyle name="20% - Акцент5 3 6" xfId="336"/>
    <cellStyle name="20% - Акцент5 4" xfId="86"/>
    <cellStyle name="20% - Акцент5 4 2" xfId="178"/>
    <cellStyle name="20% - Акцент5 4 2 2" xfId="528"/>
    <cellStyle name="20% - Акцент5 4 3" xfId="276"/>
    <cellStyle name="20% - Акцент5 4 3 2" xfId="626"/>
    <cellStyle name="20% - Акцент5 4 4" xfId="436"/>
    <cellStyle name="20% - Акцент5 4 5" xfId="344"/>
    <cellStyle name="20% - Акцент5 5" xfId="132"/>
    <cellStyle name="20% - Акцент5 5 2" xfId="482"/>
    <cellStyle name="20% - Акцент5 6" xfId="224"/>
    <cellStyle name="20% - Акцент5 6 2" xfId="574"/>
    <cellStyle name="20% - Акцент5 7" xfId="290"/>
    <cellStyle name="20% - Акцент5 7 2" xfId="640"/>
    <cellStyle name="20% - Акцент5 8" xfId="390"/>
    <cellStyle name="20% - Акцент5 9" xfId="298"/>
    <cellStyle name="20% - Акцент6" xfId="6" builtinId="50" customBuiltin="1"/>
    <cellStyle name="20% - Акцент6 10" xfId="656"/>
    <cellStyle name="20% - Акцент6 11" xfId="670"/>
    <cellStyle name="20% - Акцент6 2" xfId="62"/>
    <cellStyle name="20% - Акцент6 2 2" xfId="108"/>
    <cellStyle name="20% - Акцент6 2 2 2" xfId="200"/>
    <cellStyle name="20% - Акцент6 2 2 2 2" xfId="550"/>
    <cellStyle name="20% - Акцент6 2 2 3" xfId="458"/>
    <cellStyle name="20% - Акцент6 2 2 4" xfId="366"/>
    <cellStyle name="20% - Акцент6 2 3" xfId="154"/>
    <cellStyle name="20% - Акцент6 2 3 2" xfId="504"/>
    <cellStyle name="20% - Акцент6 2 4" xfId="246"/>
    <cellStyle name="20% - Акцент6 2 4 2" xfId="596"/>
    <cellStyle name="20% - Акцент6 2 5" xfId="412"/>
    <cellStyle name="20% - Акцент6 2 6" xfId="320"/>
    <cellStyle name="20% - Акцент6 3" xfId="80"/>
    <cellStyle name="20% - Акцент6 3 2" xfId="126"/>
    <cellStyle name="20% - Акцент6 3 2 2" xfId="218"/>
    <cellStyle name="20% - Акцент6 3 2 2 2" xfId="568"/>
    <cellStyle name="20% - Акцент6 3 2 3" xfId="476"/>
    <cellStyle name="20% - Акцент6 3 2 4" xfId="384"/>
    <cellStyle name="20% - Акцент6 3 3" xfId="172"/>
    <cellStyle name="20% - Акцент6 3 3 2" xfId="522"/>
    <cellStyle name="20% - Акцент6 3 4" xfId="264"/>
    <cellStyle name="20% - Акцент6 3 4 2" xfId="614"/>
    <cellStyle name="20% - Акцент6 3 5" xfId="430"/>
    <cellStyle name="20% - Акцент6 3 6" xfId="338"/>
    <cellStyle name="20% - Акцент6 4" xfId="87"/>
    <cellStyle name="20% - Акцент6 4 2" xfId="179"/>
    <cellStyle name="20% - Акцент6 4 2 2" xfId="529"/>
    <cellStyle name="20% - Акцент6 4 3" xfId="278"/>
    <cellStyle name="20% - Акцент6 4 3 2" xfId="628"/>
    <cellStyle name="20% - Акцент6 4 4" xfId="437"/>
    <cellStyle name="20% - Акцент6 4 5" xfId="345"/>
    <cellStyle name="20% - Акцент6 5" xfId="133"/>
    <cellStyle name="20% - Акцент6 5 2" xfId="483"/>
    <cellStyle name="20% - Акцент6 6" xfId="225"/>
    <cellStyle name="20% - Акцент6 6 2" xfId="575"/>
    <cellStyle name="20% - Акцент6 7" xfId="292"/>
    <cellStyle name="20% - Акцент6 7 2" xfId="642"/>
    <cellStyle name="20% - Акцент6 8" xfId="391"/>
    <cellStyle name="20% - Акцент6 9" xfId="299"/>
    <cellStyle name="40% - Акцент1" xfId="7" builtinId="31" customBuiltin="1"/>
    <cellStyle name="40% - Акцент1 10" xfId="647"/>
    <cellStyle name="40% - Акцент1 11" xfId="661"/>
    <cellStyle name="40% - Акцент1 2" xfId="53"/>
    <cellStyle name="40% - Акцент1 2 2" xfId="99"/>
    <cellStyle name="40% - Акцент1 2 2 2" xfId="191"/>
    <cellStyle name="40% - Акцент1 2 2 2 2" xfId="541"/>
    <cellStyle name="40% - Акцент1 2 2 3" xfId="449"/>
    <cellStyle name="40% - Акцент1 2 2 4" xfId="357"/>
    <cellStyle name="40% - Акцент1 2 3" xfId="145"/>
    <cellStyle name="40% - Акцент1 2 3 2" xfId="495"/>
    <cellStyle name="40% - Акцент1 2 4" xfId="237"/>
    <cellStyle name="40% - Акцент1 2 4 2" xfId="587"/>
    <cellStyle name="40% - Акцент1 2 5" xfId="403"/>
    <cellStyle name="40% - Акцент1 2 6" xfId="311"/>
    <cellStyle name="40% - Акцент1 3" xfId="71"/>
    <cellStyle name="40% - Акцент1 3 2" xfId="117"/>
    <cellStyle name="40% - Акцент1 3 2 2" xfId="209"/>
    <cellStyle name="40% - Акцент1 3 2 2 2" xfId="559"/>
    <cellStyle name="40% - Акцент1 3 2 3" xfId="467"/>
    <cellStyle name="40% - Акцент1 3 2 4" xfId="375"/>
    <cellStyle name="40% - Акцент1 3 3" xfId="163"/>
    <cellStyle name="40% - Акцент1 3 3 2" xfId="513"/>
    <cellStyle name="40% - Акцент1 3 4" xfId="255"/>
    <cellStyle name="40% - Акцент1 3 4 2" xfId="605"/>
    <cellStyle name="40% - Акцент1 3 5" xfId="421"/>
    <cellStyle name="40% - Акцент1 3 6" xfId="329"/>
    <cellStyle name="40% - Акцент1 4" xfId="88"/>
    <cellStyle name="40% - Акцент1 4 2" xfId="180"/>
    <cellStyle name="40% - Акцент1 4 2 2" xfId="530"/>
    <cellStyle name="40% - Акцент1 4 3" xfId="269"/>
    <cellStyle name="40% - Акцент1 4 3 2" xfId="619"/>
    <cellStyle name="40% - Акцент1 4 4" xfId="438"/>
    <cellStyle name="40% - Акцент1 4 5" xfId="346"/>
    <cellStyle name="40% - Акцент1 5" xfId="134"/>
    <cellStyle name="40% - Акцент1 5 2" xfId="484"/>
    <cellStyle name="40% - Акцент1 6" xfId="226"/>
    <cellStyle name="40% - Акцент1 6 2" xfId="576"/>
    <cellStyle name="40% - Акцент1 7" xfId="283"/>
    <cellStyle name="40% - Акцент1 7 2" xfId="633"/>
    <cellStyle name="40% - Акцент1 8" xfId="392"/>
    <cellStyle name="40% - Акцент1 9" xfId="300"/>
    <cellStyle name="40% - Акцент2" xfId="8" builtinId="35" customBuiltin="1"/>
    <cellStyle name="40% - Акцент2 10" xfId="649"/>
    <cellStyle name="40% - Акцент2 11" xfId="663"/>
    <cellStyle name="40% - Акцент2 2" xfId="55"/>
    <cellStyle name="40% - Акцент2 2 2" xfId="101"/>
    <cellStyle name="40% - Акцент2 2 2 2" xfId="193"/>
    <cellStyle name="40% - Акцент2 2 2 2 2" xfId="543"/>
    <cellStyle name="40% - Акцент2 2 2 3" xfId="451"/>
    <cellStyle name="40% - Акцент2 2 2 4" xfId="359"/>
    <cellStyle name="40% - Акцент2 2 3" xfId="147"/>
    <cellStyle name="40% - Акцент2 2 3 2" xfId="497"/>
    <cellStyle name="40% - Акцент2 2 4" xfId="239"/>
    <cellStyle name="40% - Акцент2 2 4 2" xfId="589"/>
    <cellStyle name="40% - Акцент2 2 5" xfId="405"/>
    <cellStyle name="40% - Акцент2 2 6" xfId="313"/>
    <cellStyle name="40% - Акцент2 3" xfId="73"/>
    <cellStyle name="40% - Акцент2 3 2" xfId="119"/>
    <cellStyle name="40% - Акцент2 3 2 2" xfId="211"/>
    <cellStyle name="40% - Акцент2 3 2 2 2" xfId="561"/>
    <cellStyle name="40% - Акцент2 3 2 3" xfId="469"/>
    <cellStyle name="40% - Акцент2 3 2 4" xfId="377"/>
    <cellStyle name="40% - Акцент2 3 3" xfId="165"/>
    <cellStyle name="40% - Акцент2 3 3 2" xfId="515"/>
    <cellStyle name="40% - Акцент2 3 4" xfId="257"/>
    <cellStyle name="40% - Акцент2 3 4 2" xfId="607"/>
    <cellStyle name="40% - Акцент2 3 5" xfId="423"/>
    <cellStyle name="40% - Акцент2 3 6" xfId="331"/>
    <cellStyle name="40% - Акцент2 4" xfId="89"/>
    <cellStyle name="40% - Акцент2 4 2" xfId="181"/>
    <cellStyle name="40% - Акцент2 4 2 2" xfId="531"/>
    <cellStyle name="40% - Акцент2 4 3" xfId="271"/>
    <cellStyle name="40% - Акцент2 4 3 2" xfId="621"/>
    <cellStyle name="40% - Акцент2 4 4" xfId="439"/>
    <cellStyle name="40% - Акцент2 4 5" xfId="347"/>
    <cellStyle name="40% - Акцент2 5" xfId="135"/>
    <cellStyle name="40% - Акцент2 5 2" xfId="485"/>
    <cellStyle name="40% - Акцент2 6" xfId="227"/>
    <cellStyle name="40% - Акцент2 6 2" xfId="577"/>
    <cellStyle name="40% - Акцент2 7" xfId="285"/>
    <cellStyle name="40% - Акцент2 7 2" xfId="635"/>
    <cellStyle name="40% - Акцент2 8" xfId="393"/>
    <cellStyle name="40% - Акцент2 9" xfId="301"/>
    <cellStyle name="40% - Акцент3" xfId="9" builtinId="39" customBuiltin="1"/>
    <cellStyle name="40% - Акцент3 10" xfId="651"/>
    <cellStyle name="40% - Акцент3 11" xfId="665"/>
    <cellStyle name="40% - Акцент3 2" xfId="57"/>
    <cellStyle name="40% - Акцент3 2 2" xfId="103"/>
    <cellStyle name="40% - Акцент3 2 2 2" xfId="195"/>
    <cellStyle name="40% - Акцент3 2 2 2 2" xfId="545"/>
    <cellStyle name="40% - Акцент3 2 2 3" xfId="453"/>
    <cellStyle name="40% - Акцент3 2 2 4" xfId="361"/>
    <cellStyle name="40% - Акцент3 2 3" xfId="149"/>
    <cellStyle name="40% - Акцент3 2 3 2" xfId="499"/>
    <cellStyle name="40% - Акцент3 2 4" xfId="241"/>
    <cellStyle name="40% - Акцент3 2 4 2" xfId="591"/>
    <cellStyle name="40% - Акцент3 2 5" xfId="407"/>
    <cellStyle name="40% - Акцент3 2 6" xfId="315"/>
    <cellStyle name="40% - Акцент3 3" xfId="75"/>
    <cellStyle name="40% - Акцент3 3 2" xfId="121"/>
    <cellStyle name="40% - Акцент3 3 2 2" xfId="213"/>
    <cellStyle name="40% - Акцент3 3 2 2 2" xfId="563"/>
    <cellStyle name="40% - Акцент3 3 2 3" xfId="471"/>
    <cellStyle name="40% - Акцент3 3 2 4" xfId="379"/>
    <cellStyle name="40% - Акцент3 3 3" xfId="167"/>
    <cellStyle name="40% - Акцент3 3 3 2" xfId="517"/>
    <cellStyle name="40% - Акцент3 3 4" xfId="259"/>
    <cellStyle name="40% - Акцент3 3 4 2" xfId="609"/>
    <cellStyle name="40% - Акцент3 3 5" xfId="425"/>
    <cellStyle name="40% - Акцент3 3 6" xfId="333"/>
    <cellStyle name="40% - Акцент3 4" xfId="90"/>
    <cellStyle name="40% - Акцент3 4 2" xfId="182"/>
    <cellStyle name="40% - Акцент3 4 2 2" xfId="532"/>
    <cellStyle name="40% - Акцент3 4 3" xfId="273"/>
    <cellStyle name="40% - Акцент3 4 3 2" xfId="623"/>
    <cellStyle name="40% - Акцент3 4 4" xfId="440"/>
    <cellStyle name="40% - Акцент3 4 5" xfId="348"/>
    <cellStyle name="40% - Акцент3 5" xfId="136"/>
    <cellStyle name="40% - Акцент3 5 2" xfId="486"/>
    <cellStyle name="40% - Акцент3 6" xfId="228"/>
    <cellStyle name="40% - Акцент3 6 2" xfId="578"/>
    <cellStyle name="40% - Акцент3 7" xfId="287"/>
    <cellStyle name="40% - Акцент3 7 2" xfId="637"/>
    <cellStyle name="40% - Акцент3 8" xfId="394"/>
    <cellStyle name="40% - Акцент3 9" xfId="302"/>
    <cellStyle name="40% - Акцент4" xfId="10" builtinId="43" customBuiltin="1"/>
    <cellStyle name="40% - Акцент4 10" xfId="653"/>
    <cellStyle name="40% - Акцент4 11" xfId="667"/>
    <cellStyle name="40% - Акцент4 2" xfId="59"/>
    <cellStyle name="40% - Акцент4 2 2" xfId="105"/>
    <cellStyle name="40% - Акцент4 2 2 2" xfId="197"/>
    <cellStyle name="40% - Акцент4 2 2 2 2" xfId="547"/>
    <cellStyle name="40% - Акцент4 2 2 3" xfId="455"/>
    <cellStyle name="40% - Акцент4 2 2 4" xfId="363"/>
    <cellStyle name="40% - Акцент4 2 3" xfId="151"/>
    <cellStyle name="40% - Акцент4 2 3 2" xfId="501"/>
    <cellStyle name="40% - Акцент4 2 4" xfId="243"/>
    <cellStyle name="40% - Акцент4 2 4 2" xfId="593"/>
    <cellStyle name="40% - Акцент4 2 5" xfId="409"/>
    <cellStyle name="40% - Акцент4 2 6" xfId="317"/>
    <cellStyle name="40% - Акцент4 3" xfId="77"/>
    <cellStyle name="40% - Акцент4 3 2" xfId="123"/>
    <cellStyle name="40% - Акцент4 3 2 2" xfId="215"/>
    <cellStyle name="40% - Акцент4 3 2 2 2" xfId="565"/>
    <cellStyle name="40% - Акцент4 3 2 3" xfId="473"/>
    <cellStyle name="40% - Акцент4 3 2 4" xfId="381"/>
    <cellStyle name="40% - Акцент4 3 3" xfId="169"/>
    <cellStyle name="40% - Акцент4 3 3 2" xfId="519"/>
    <cellStyle name="40% - Акцент4 3 4" xfId="261"/>
    <cellStyle name="40% - Акцент4 3 4 2" xfId="611"/>
    <cellStyle name="40% - Акцент4 3 5" xfId="427"/>
    <cellStyle name="40% - Акцент4 3 6" xfId="335"/>
    <cellStyle name="40% - Акцент4 4" xfId="91"/>
    <cellStyle name="40% - Акцент4 4 2" xfId="183"/>
    <cellStyle name="40% - Акцент4 4 2 2" xfId="533"/>
    <cellStyle name="40% - Акцент4 4 3" xfId="275"/>
    <cellStyle name="40% - Акцент4 4 3 2" xfId="625"/>
    <cellStyle name="40% - Акцент4 4 4" xfId="441"/>
    <cellStyle name="40% - Акцент4 4 5" xfId="349"/>
    <cellStyle name="40% - Акцент4 5" xfId="137"/>
    <cellStyle name="40% - Акцент4 5 2" xfId="487"/>
    <cellStyle name="40% - Акцент4 6" xfId="229"/>
    <cellStyle name="40% - Акцент4 6 2" xfId="579"/>
    <cellStyle name="40% - Акцент4 7" xfId="289"/>
    <cellStyle name="40% - Акцент4 7 2" xfId="639"/>
    <cellStyle name="40% - Акцент4 8" xfId="395"/>
    <cellStyle name="40% - Акцент4 9" xfId="303"/>
    <cellStyle name="40% - Акцент5" xfId="11" builtinId="47" customBuiltin="1"/>
    <cellStyle name="40% - Акцент5 10" xfId="655"/>
    <cellStyle name="40% - Акцент5 11" xfId="669"/>
    <cellStyle name="40% - Акцент5 2" xfId="61"/>
    <cellStyle name="40% - Акцент5 2 2" xfId="107"/>
    <cellStyle name="40% - Акцент5 2 2 2" xfId="199"/>
    <cellStyle name="40% - Акцент5 2 2 2 2" xfId="549"/>
    <cellStyle name="40% - Акцент5 2 2 3" xfId="457"/>
    <cellStyle name="40% - Акцент5 2 2 4" xfId="365"/>
    <cellStyle name="40% - Акцент5 2 3" xfId="153"/>
    <cellStyle name="40% - Акцент5 2 3 2" xfId="503"/>
    <cellStyle name="40% - Акцент5 2 4" xfId="245"/>
    <cellStyle name="40% - Акцент5 2 4 2" xfId="595"/>
    <cellStyle name="40% - Акцент5 2 5" xfId="411"/>
    <cellStyle name="40% - Акцент5 2 6" xfId="319"/>
    <cellStyle name="40% - Акцент5 3" xfId="79"/>
    <cellStyle name="40% - Акцент5 3 2" xfId="125"/>
    <cellStyle name="40% - Акцент5 3 2 2" xfId="217"/>
    <cellStyle name="40% - Акцент5 3 2 2 2" xfId="567"/>
    <cellStyle name="40% - Акцент5 3 2 3" xfId="475"/>
    <cellStyle name="40% - Акцент5 3 2 4" xfId="383"/>
    <cellStyle name="40% - Акцент5 3 3" xfId="171"/>
    <cellStyle name="40% - Акцент5 3 3 2" xfId="521"/>
    <cellStyle name="40% - Акцент5 3 4" xfId="263"/>
    <cellStyle name="40% - Акцент5 3 4 2" xfId="613"/>
    <cellStyle name="40% - Акцент5 3 5" xfId="429"/>
    <cellStyle name="40% - Акцент5 3 6" xfId="337"/>
    <cellStyle name="40% - Акцент5 4" xfId="92"/>
    <cellStyle name="40% - Акцент5 4 2" xfId="184"/>
    <cellStyle name="40% - Акцент5 4 2 2" xfId="534"/>
    <cellStyle name="40% - Акцент5 4 3" xfId="277"/>
    <cellStyle name="40% - Акцент5 4 3 2" xfId="627"/>
    <cellStyle name="40% - Акцент5 4 4" xfId="442"/>
    <cellStyle name="40% - Акцент5 4 5" xfId="350"/>
    <cellStyle name="40% - Акцент5 5" xfId="138"/>
    <cellStyle name="40% - Акцент5 5 2" xfId="488"/>
    <cellStyle name="40% - Акцент5 6" xfId="230"/>
    <cellStyle name="40% - Акцент5 6 2" xfId="580"/>
    <cellStyle name="40% - Акцент5 7" xfId="291"/>
    <cellStyle name="40% - Акцент5 7 2" xfId="641"/>
    <cellStyle name="40% - Акцент5 8" xfId="396"/>
    <cellStyle name="40% - Акцент5 9" xfId="304"/>
    <cellStyle name="40% - Акцент6" xfId="12" builtinId="51" customBuiltin="1"/>
    <cellStyle name="40% - Акцент6 10" xfId="657"/>
    <cellStyle name="40% - Акцент6 11" xfId="671"/>
    <cellStyle name="40% - Акцент6 2" xfId="63"/>
    <cellStyle name="40% - Акцент6 2 2" xfId="109"/>
    <cellStyle name="40% - Акцент6 2 2 2" xfId="201"/>
    <cellStyle name="40% - Акцент6 2 2 2 2" xfId="551"/>
    <cellStyle name="40% - Акцент6 2 2 3" xfId="459"/>
    <cellStyle name="40% - Акцент6 2 2 4" xfId="367"/>
    <cellStyle name="40% - Акцент6 2 3" xfId="155"/>
    <cellStyle name="40% - Акцент6 2 3 2" xfId="505"/>
    <cellStyle name="40% - Акцент6 2 4" xfId="247"/>
    <cellStyle name="40% - Акцент6 2 4 2" xfId="597"/>
    <cellStyle name="40% - Акцент6 2 5" xfId="413"/>
    <cellStyle name="40% - Акцент6 2 6" xfId="321"/>
    <cellStyle name="40% - Акцент6 3" xfId="81"/>
    <cellStyle name="40% - Акцент6 3 2" xfId="127"/>
    <cellStyle name="40% - Акцент6 3 2 2" xfId="219"/>
    <cellStyle name="40% - Акцент6 3 2 2 2" xfId="569"/>
    <cellStyle name="40% - Акцент6 3 2 3" xfId="477"/>
    <cellStyle name="40% - Акцент6 3 2 4" xfId="385"/>
    <cellStyle name="40% - Акцент6 3 3" xfId="173"/>
    <cellStyle name="40% - Акцент6 3 3 2" xfId="523"/>
    <cellStyle name="40% - Акцент6 3 4" xfId="265"/>
    <cellStyle name="40% - Акцент6 3 4 2" xfId="615"/>
    <cellStyle name="40% - Акцент6 3 5" xfId="431"/>
    <cellStyle name="40% - Акцент6 3 6" xfId="339"/>
    <cellStyle name="40% - Акцент6 4" xfId="93"/>
    <cellStyle name="40% - Акцент6 4 2" xfId="185"/>
    <cellStyle name="40% - Акцент6 4 2 2" xfId="535"/>
    <cellStyle name="40% - Акцент6 4 3" xfId="279"/>
    <cellStyle name="40% - Акцент6 4 3 2" xfId="629"/>
    <cellStyle name="40% - Акцент6 4 4" xfId="443"/>
    <cellStyle name="40% - Акцент6 4 5" xfId="351"/>
    <cellStyle name="40% - Акцент6 5" xfId="139"/>
    <cellStyle name="40% - Акцент6 5 2" xfId="489"/>
    <cellStyle name="40% - Акцент6 6" xfId="231"/>
    <cellStyle name="40% - Акцент6 6 2" xfId="581"/>
    <cellStyle name="40% - Акцент6 7" xfId="293"/>
    <cellStyle name="40% - Акцент6 7 2" xfId="643"/>
    <cellStyle name="40% - Акцент6 8" xfId="397"/>
    <cellStyle name="40% - Акцент6 9" xfId="305"/>
    <cellStyle name="60% - Акцент1" xfId="13" builtinId="32" customBuiltin="1"/>
    <cellStyle name="60% - Акцент2" xfId="14" builtinId="36" customBuiltin="1"/>
    <cellStyle name="60% - Акцент3" xfId="15" builtinId="40" customBuiltin="1"/>
    <cellStyle name="60% - Акцент4" xfId="16" builtinId="44" customBuiltin="1"/>
    <cellStyle name="60% - Акцент5" xfId="17" builtinId="48" customBuiltin="1"/>
    <cellStyle name="60% - Акцент6" xfId="18" builtinId="52" customBuiltin="1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" xfId="32" builtinId="25" customBuiltin="1"/>
    <cellStyle name="Контрольная ячейка" xfId="33" builtinId="23" customBuiltin="1"/>
    <cellStyle name="Название" xfId="34" builtinId="15" customBuiltin="1"/>
    <cellStyle name="Нейтральный" xfId="35" builtinId="28" customBuiltin="1"/>
    <cellStyle name="Обычный" xfId="0" builtinId="0"/>
    <cellStyle name="Обычный 10" xfId="280"/>
    <cellStyle name="Обычный 10 2" xfId="630"/>
    <cellStyle name="Обычный 11" xfId="644"/>
    <cellStyle name="Обычный 12" xfId="658"/>
    <cellStyle name="Обычный 13" xfId="672"/>
    <cellStyle name="Обычный 14" xfId="673"/>
    <cellStyle name="Обычный 15" xfId="674"/>
    <cellStyle name="Обычный 2" xfId="36"/>
    <cellStyle name="Обычный 2 2" xfId="94"/>
    <cellStyle name="Обычный 2 2 2" xfId="186"/>
    <cellStyle name="Обычный 2 2 2 2" xfId="536"/>
    <cellStyle name="Обычный 2 2 3" xfId="444"/>
    <cellStyle name="Обычный 2 2 4" xfId="352"/>
    <cellStyle name="Обычный 2 3" xfId="140"/>
    <cellStyle name="Обычный 2 3 2" xfId="490"/>
    <cellStyle name="Обычный 2 4" xfId="232"/>
    <cellStyle name="Обычный 2 4 2" xfId="582"/>
    <cellStyle name="Обычный 2 5" xfId="398"/>
    <cellStyle name="Обычный 2 6" xfId="306"/>
    <cellStyle name="Обычный 3" xfId="50"/>
    <cellStyle name="Обычный 3 2" xfId="96"/>
    <cellStyle name="Обычный 3 2 2" xfId="188"/>
    <cellStyle name="Обычный 3 2 2 2" xfId="538"/>
    <cellStyle name="Обычный 3 2 3" xfId="446"/>
    <cellStyle name="Обычный 3 2 4" xfId="354"/>
    <cellStyle name="Обычный 3 3" xfId="142"/>
    <cellStyle name="Обычный 3 3 2" xfId="492"/>
    <cellStyle name="Обычный 3 4" xfId="234"/>
    <cellStyle name="Обычный 3 4 2" xfId="584"/>
    <cellStyle name="Обычный 3 5" xfId="400"/>
    <cellStyle name="Обычный 3 6" xfId="308"/>
    <cellStyle name="Обычный 4" xfId="64"/>
    <cellStyle name="Обычный 4 2" xfId="110"/>
    <cellStyle name="Обычный 4 2 2" xfId="202"/>
    <cellStyle name="Обычный 4 2 2 2" xfId="552"/>
    <cellStyle name="Обычный 4 2 3" xfId="460"/>
    <cellStyle name="Обычный 4 2 4" xfId="368"/>
    <cellStyle name="Обычный 4 3" xfId="156"/>
    <cellStyle name="Обычный 4 3 2" xfId="506"/>
    <cellStyle name="Обычный 4 4" xfId="248"/>
    <cellStyle name="Обычный 4 4 2" xfId="598"/>
    <cellStyle name="Обычный 4 5" xfId="414"/>
    <cellStyle name="Обычный 4 6" xfId="322"/>
    <cellStyle name="Обычный 5" xfId="65"/>
    <cellStyle name="Обычный 5 2" xfId="111"/>
    <cellStyle name="Обычный 5 2 2" xfId="203"/>
    <cellStyle name="Обычный 5 2 2 2" xfId="553"/>
    <cellStyle name="Обычный 5 2 3" xfId="461"/>
    <cellStyle name="Обычный 5 2 4" xfId="369"/>
    <cellStyle name="Обычный 5 3" xfId="157"/>
    <cellStyle name="Обычный 5 3 2" xfId="507"/>
    <cellStyle name="Обычный 5 4" xfId="249"/>
    <cellStyle name="Обычный 5 4 2" xfId="599"/>
    <cellStyle name="Обычный 5 5" xfId="415"/>
    <cellStyle name="Обычный 5 6" xfId="323"/>
    <cellStyle name="Обычный 6" xfId="66"/>
    <cellStyle name="Обычный 6 2" xfId="112"/>
    <cellStyle name="Обычный 6 2 2" xfId="204"/>
    <cellStyle name="Обычный 6 2 2 2" xfId="554"/>
    <cellStyle name="Обычный 6 2 3" xfId="462"/>
    <cellStyle name="Обычный 6 2 4" xfId="370"/>
    <cellStyle name="Обычный 6 3" xfId="158"/>
    <cellStyle name="Обычный 6 3 2" xfId="508"/>
    <cellStyle name="Обычный 6 4" xfId="250"/>
    <cellStyle name="Обычный 6 4 2" xfId="600"/>
    <cellStyle name="Обычный 6 5" xfId="416"/>
    <cellStyle name="Обычный 6 6" xfId="324"/>
    <cellStyle name="Обычный 7" xfId="67"/>
    <cellStyle name="Обычный 7 2" xfId="113"/>
    <cellStyle name="Обычный 7 2 2" xfId="205"/>
    <cellStyle name="Обычный 7 2 2 2" xfId="555"/>
    <cellStyle name="Обычный 7 2 3" xfId="463"/>
    <cellStyle name="Обычный 7 2 4" xfId="371"/>
    <cellStyle name="Обычный 7 3" xfId="159"/>
    <cellStyle name="Обычный 7 3 2" xfId="509"/>
    <cellStyle name="Обычный 7 4" xfId="251"/>
    <cellStyle name="Обычный 7 4 2" xfId="601"/>
    <cellStyle name="Обычный 7 5" xfId="417"/>
    <cellStyle name="Обычный 7 6" xfId="325"/>
    <cellStyle name="Обычный 8" xfId="68"/>
    <cellStyle name="Обычный 8 2" xfId="114"/>
    <cellStyle name="Обычный 8 2 2" xfId="206"/>
    <cellStyle name="Обычный 8 2 2 2" xfId="556"/>
    <cellStyle name="Обычный 8 2 3" xfId="464"/>
    <cellStyle name="Обычный 8 2 4" xfId="372"/>
    <cellStyle name="Обычный 8 3" xfId="160"/>
    <cellStyle name="Обычный 8 3 2" xfId="510"/>
    <cellStyle name="Обычный 8 4" xfId="252"/>
    <cellStyle name="Обычный 8 4 2" xfId="602"/>
    <cellStyle name="Обычный 8 5" xfId="418"/>
    <cellStyle name="Обычный 8 6" xfId="326"/>
    <cellStyle name="Обычный 9" xfId="266"/>
    <cellStyle name="Обычный 9 2" xfId="616"/>
    <cellStyle name="Обычный_CLAC_1" xfId="37"/>
    <cellStyle name="Обычный_CLRE_1" xfId="38"/>
    <cellStyle name="Обычный_CLVL_1" xfId="39"/>
    <cellStyle name="Обычный_EQEQ" xfId="40"/>
    <cellStyle name="Обычный_Март2010" xfId="41"/>
    <cellStyle name="Плохой" xfId="42" builtinId="27" customBuiltin="1"/>
    <cellStyle name="Пояснение" xfId="43" builtinId="53" customBuiltin="1"/>
    <cellStyle name="Примечание 2" xfId="44"/>
    <cellStyle name="Примечание 2 2" xfId="95"/>
    <cellStyle name="Примечание 2 2 2" xfId="187"/>
    <cellStyle name="Примечание 2 2 2 2" xfId="537"/>
    <cellStyle name="Примечание 2 2 3" xfId="445"/>
    <cellStyle name="Примечание 2 2 4" xfId="353"/>
    <cellStyle name="Примечание 2 3" xfId="141"/>
    <cellStyle name="Примечание 2 3 2" xfId="491"/>
    <cellStyle name="Примечание 2 4" xfId="233"/>
    <cellStyle name="Примечание 2 4 2" xfId="583"/>
    <cellStyle name="Примечание 2 5" xfId="399"/>
    <cellStyle name="Примечание 2 6" xfId="307"/>
    <cellStyle name="Примечание 3" xfId="51"/>
    <cellStyle name="Примечание 3 2" xfId="97"/>
    <cellStyle name="Примечание 3 2 2" xfId="189"/>
    <cellStyle name="Примечание 3 2 2 2" xfId="539"/>
    <cellStyle name="Примечание 3 2 3" xfId="447"/>
    <cellStyle name="Примечание 3 2 4" xfId="355"/>
    <cellStyle name="Примечание 3 3" xfId="143"/>
    <cellStyle name="Примечание 3 3 2" xfId="493"/>
    <cellStyle name="Примечание 3 4" xfId="235"/>
    <cellStyle name="Примечание 3 4 2" xfId="585"/>
    <cellStyle name="Примечание 3 5" xfId="401"/>
    <cellStyle name="Примечание 3 6" xfId="309"/>
    <cellStyle name="Примечание 4" xfId="69"/>
    <cellStyle name="Примечание 4 2" xfId="115"/>
    <cellStyle name="Примечание 4 2 2" xfId="207"/>
    <cellStyle name="Примечание 4 2 2 2" xfId="557"/>
    <cellStyle name="Примечание 4 2 3" xfId="465"/>
    <cellStyle name="Примечание 4 2 4" xfId="373"/>
    <cellStyle name="Примечание 4 3" xfId="161"/>
    <cellStyle name="Примечание 4 3 2" xfId="511"/>
    <cellStyle name="Примечание 4 4" xfId="253"/>
    <cellStyle name="Примечание 4 4 2" xfId="603"/>
    <cellStyle name="Примечание 4 5" xfId="419"/>
    <cellStyle name="Примечание 4 6" xfId="327"/>
    <cellStyle name="Примечание 5" xfId="267"/>
    <cellStyle name="Примечание 5 2" xfId="617"/>
    <cellStyle name="Примечание 6" xfId="281"/>
    <cellStyle name="Примечание 6 2" xfId="631"/>
    <cellStyle name="Примечание 7" xfId="645"/>
    <cellStyle name="Примечание 8" xfId="659"/>
    <cellStyle name="Процентный" xfId="45" builtinId="5"/>
    <cellStyle name="Связанная ячейка" xfId="46" builtinId="24" customBuiltin="1"/>
    <cellStyle name="Текст предупреждения" xfId="47" builtinId="11" customBuiltin="1"/>
    <cellStyle name="Финансовый" xfId="48" builtinId="3"/>
    <cellStyle name="Хороший" xfId="49" builtinId="26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January!$B$50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January!$C$50:$I$50</c:f>
              <c:numCache>
                <c:formatCode>General</c:formatCode>
                <c:ptCount val="7"/>
                <c:pt idx="2" formatCode="#,##0">
                  <c:v>772175</c:v>
                </c:pt>
                <c:pt idx="3" formatCode="#,##0">
                  <c:v>805549</c:v>
                </c:pt>
                <c:pt idx="4" formatCode="#,##0">
                  <c:v>881844</c:v>
                </c:pt>
                <c:pt idx="5" formatCode="#,##0">
                  <c:v>944559</c:v>
                </c:pt>
                <c:pt idx="6" formatCode="#,##0">
                  <c:v>1006751</c:v>
                </c:pt>
              </c:numCache>
            </c:numRef>
          </c:val>
        </c:ser>
        <c:ser>
          <c:idx val="1"/>
          <c:order val="1"/>
          <c:tx>
            <c:strRef>
              <c:f>January!$B$51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January!$C$51:$I$51</c:f>
              <c:numCache>
                <c:formatCode>General</c:formatCode>
                <c:ptCount val="7"/>
                <c:pt idx="2" formatCode="#,##0">
                  <c:v>16850</c:v>
                </c:pt>
                <c:pt idx="3" formatCode="#,##0">
                  <c:v>17821</c:v>
                </c:pt>
                <c:pt idx="4" formatCode="#,##0">
                  <c:v>19539</c:v>
                </c:pt>
                <c:pt idx="5" formatCode="#,##0">
                  <c:v>20178</c:v>
                </c:pt>
                <c:pt idx="6" formatCode="#,##0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January!$B$52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January!$C$52:$I$52</c:f>
              <c:numCache>
                <c:formatCode>General</c:formatCode>
                <c:ptCount val="7"/>
                <c:pt idx="2" formatCode="#,##0">
                  <c:v>5058</c:v>
                </c:pt>
                <c:pt idx="3" formatCode="#,##0">
                  <c:v>5876</c:v>
                </c:pt>
                <c:pt idx="4" formatCode="#,##0">
                  <c:v>6957</c:v>
                </c:pt>
                <c:pt idx="5" formatCode="#,##0">
                  <c:v>7486</c:v>
                </c:pt>
                <c:pt idx="6" formatCode="#,##0">
                  <c:v>8729</c:v>
                </c:pt>
              </c:numCache>
            </c:numRef>
          </c:val>
        </c:ser>
        <c:ser>
          <c:idx val="3"/>
          <c:order val="3"/>
          <c:tx>
            <c:strRef>
              <c:f>January!$B$53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January!$C$53:$I$53</c:f>
              <c:numCache>
                <c:formatCode>General</c:formatCode>
                <c:ptCount val="7"/>
                <c:pt idx="2" formatCode="#,##0">
                  <c:v>5242</c:v>
                </c:pt>
                <c:pt idx="3" formatCode="#,##0">
                  <c:v>5261</c:v>
                </c:pt>
                <c:pt idx="4" formatCode="#,##0">
                  <c:v>5182</c:v>
                </c:pt>
                <c:pt idx="5" formatCode="#,##0">
                  <c:v>5142</c:v>
                </c:pt>
                <c:pt idx="6" formatCode="#,##0">
                  <c:v>3836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2211072"/>
        <c:axId val="17751360"/>
        <c:axId val="0"/>
      </c:bar3DChart>
      <c:dateAx>
        <c:axId val="222110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7751360"/>
        <c:crosses val="autoZero"/>
        <c:auto val="1"/>
        <c:lblOffset val="100"/>
        <c:baseTimeUnit val="years"/>
        <c:majorUnit val="1"/>
        <c:minorUnit val="1"/>
      </c:dateAx>
      <c:valAx>
        <c:axId val="17751360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221107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January!$B$84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January!$C$83:$H$83</c:f>
              <c:numCache>
                <c:formatCode>[$-419]mmmm\ yyyy;@</c:formatCode>
                <c:ptCount val="6"/>
                <c:pt idx="0">
                  <c:v>42246</c:v>
                </c:pt>
                <c:pt idx="1">
                  <c:v>42277</c:v>
                </c:pt>
                <c:pt idx="2">
                  <c:v>42307</c:v>
                </c:pt>
                <c:pt idx="3">
                  <c:v>42338</c:v>
                </c:pt>
                <c:pt idx="4">
                  <c:v>42369</c:v>
                </c:pt>
                <c:pt idx="5">
                  <c:v>42400</c:v>
                </c:pt>
              </c:numCache>
            </c:numRef>
          </c:cat>
          <c:val>
            <c:numRef>
              <c:f>January!$C$84:$H$84</c:f>
              <c:numCache>
                <c:formatCode>#,##0</c:formatCode>
                <c:ptCount val="6"/>
                <c:pt idx="0">
                  <c:v>991257</c:v>
                </c:pt>
                <c:pt idx="1">
                  <c:v>993268</c:v>
                </c:pt>
                <c:pt idx="2">
                  <c:v>996118</c:v>
                </c:pt>
                <c:pt idx="3">
                  <c:v>1001556</c:v>
                </c:pt>
                <c:pt idx="4">
                  <c:v>1006751</c:v>
                </c:pt>
                <c:pt idx="5">
                  <c:v>1012875</c:v>
                </c:pt>
              </c:numCache>
            </c:numRef>
          </c:val>
        </c:ser>
        <c:ser>
          <c:idx val="1"/>
          <c:order val="1"/>
          <c:tx>
            <c:strRef>
              <c:f>January!$B$85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January!$C$83:$H$83</c:f>
              <c:numCache>
                <c:formatCode>[$-419]mmmm\ yyyy;@</c:formatCode>
                <c:ptCount val="6"/>
                <c:pt idx="0">
                  <c:v>42246</c:v>
                </c:pt>
                <c:pt idx="1">
                  <c:v>42277</c:v>
                </c:pt>
                <c:pt idx="2">
                  <c:v>42307</c:v>
                </c:pt>
                <c:pt idx="3">
                  <c:v>42338</c:v>
                </c:pt>
                <c:pt idx="4">
                  <c:v>42369</c:v>
                </c:pt>
                <c:pt idx="5">
                  <c:v>42400</c:v>
                </c:pt>
              </c:numCache>
            </c:numRef>
          </c:cat>
          <c:val>
            <c:numRef>
              <c:f>January!$C$85:$H$85</c:f>
              <c:numCache>
                <c:formatCode>#,##0</c:formatCode>
                <c:ptCount val="6"/>
                <c:pt idx="0">
                  <c:v>20981</c:v>
                </c:pt>
                <c:pt idx="1">
                  <c:v>21072</c:v>
                </c:pt>
                <c:pt idx="2">
                  <c:v>20973</c:v>
                </c:pt>
                <c:pt idx="3">
                  <c:v>21007</c:v>
                </c:pt>
                <c:pt idx="4">
                  <c:v>20753</c:v>
                </c:pt>
                <c:pt idx="5">
                  <c:v>20804</c:v>
                </c:pt>
              </c:numCache>
            </c:numRef>
          </c:val>
        </c:ser>
        <c:ser>
          <c:idx val="2"/>
          <c:order val="2"/>
          <c:tx>
            <c:strRef>
              <c:f>January!$B$86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January!$C$83:$H$83</c:f>
              <c:numCache>
                <c:formatCode>[$-419]mmmm\ yyyy;@</c:formatCode>
                <c:ptCount val="6"/>
                <c:pt idx="0">
                  <c:v>42246</c:v>
                </c:pt>
                <c:pt idx="1">
                  <c:v>42277</c:v>
                </c:pt>
                <c:pt idx="2">
                  <c:v>42307</c:v>
                </c:pt>
                <c:pt idx="3">
                  <c:v>42338</c:v>
                </c:pt>
                <c:pt idx="4">
                  <c:v>42369</c:v>
                </c:pt>
                <c:pt idx="5">
                  <c:v>42400</c:v>
                </c:pt>
              </c:numCache>
            </c:numRef>
          </c:cat>
          <c:val>
            <c:numRef>
              <c:f>January!$C$86:$H$86</c:f>
              <c:numCache>
                <c:formatCode>#,##0</c:formatCode>
                <c:ptCount val="6"/>
                <c:pt idx="0">
                  <c:v>8602</c:v>
                </c:pt>
                <c:pt idx="1">
                  <c:v>8775</c:v>
                </c:pt>
                <c:pt idx="2">
                  <c:v>8894</c:v>
                </c:pt>
                <c:pt idx="3">
                  <c:v>8699</c:v>
                </c:pt>
                <c:pt idx="4">
                  <c:v>8729</c:v>
                </c:pt>
                <c:pt idx="5">
                  <c:v>8764</c:v>
                </c:pt>
              </c:numCache>
            </c:numRef>
          </c:val>
        </c:ser>
        <c:ser>
          <c:idx val="3"/>
          <c:order val="3"/>
          <c:tx>
            <c:strRef>
              <c:f>January!$B$87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January!$C$83:$H$83</c:f>
              <c:numCache>
                <c:formatCode>[$-419]mmmm\ yyyy;@</c:formatCode>
                <c:ptCount val="6"/>
                <c:pt idx="0">
                  <c:v>42246</c:v>
                </c:pt>
                <c:pt idx="1">
                  <c:v>42277</c:v>
                </c:pt>
                <c:pt idx="2">
                  <c:v>42307</c:v>
                </c:pt>
                <c:pt idx="3">
                  <c:v>42338</c:v>
                </c:pt>
                <c:pt idx="4">
                  <c:v>42369</c:v>
                </c:pt>
                <c:pt idx="5">
                  <c:v>42400</c:v>
                </c:pt>
              </c:numCache>
            </c:numRef>
          </c:cat>
          <c:val>
            <c:numRef>
              <c:f>January!$C$87:$H$87</c:f>
              <c:numCache>
                <c:formatCode>#,##0</c:formatCode>
                <c:ptCount val="6"/>
                <c:pt idx="0">
                  <c:v>4694</c:v>
                </c:pt>
                <c:pt idx="1">
                  <c:v>4323</c:v>
                </c:pt>
                <c:pt idx="2">
                  <c:v>4266</c:v>
                </c:pt>
                <c:pt idx="3">
                  <c:v>4148</c:v>
                </c:pt>
                <c:pt idx="4">
                  <c:v>3836</c:v>
                </c:pt>
                <c:pt idx="5">
                  <c:v>3848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38908416"/>
        <c:axId val="19154624"/>
        <c:axId val="0"/>
      </c:bar3DChart>
      <c:dateAx>
        <c:axId val="3890841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1546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154624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389084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February!$B$50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February!$C$50:$I$50</c:f>
              <c:numCache>
                <c:formatCode>General</c:formatCode>
                <c:ptCount val="7"/>
                <c:pt idx="2" formatCode="#,##0">
                  <c:v>772175</c:v>
                </c:pt>
                <c:pt idx="3" formatCode="#,##0">
                  <c:v>805549</c:v>
                </c:pt>
                <c:pt idx="4" formatCode="#,##0">
                  <c:v>881844</c:v>
                </c:pt>
                <c:pt idx="5" formatCode="#,##0">
                  <c:v>944559</c:v>
                </c:pt>
                <c:pt idx="6" formatCode="#,##0">
                  <c:v>1006751</c:v>
                </c:pt>
              </c:numCache>
            </c:numRef>
          </c:val>
        </c:ser>
        <c:ser>
          <c:idx val="1"/>
          <c:order val="1"/>
          <c:tx>
            <c:strRef>
              <c:f>February!$B$51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February!$C$51:$I$51</c:f>
              <c:numCache>
                <c:formatCode>General</c:formatCode>
                <c:ptCount val="7"/>
                <c:pt idx="2" formatCode="#,##0">
                  <c:v>16850</c:v>
                </c:pt>
                <c:pt idx="3" formatCode="#,##0">
                  <c:v>17821</c:v>
                </c:pt>
                <c:pt idx="4" formatCode="#,##0">
                  <c:v>19539</c:v>
                </c:pt>
                <c:pt idx="5" formatCode="#,##0">
                  <c:v>20178</c:v>
                </c:pt>
                <c:pt idx="6" formatCode="#,##0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February!$B$52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February!$C$52:$I$52</c:f>
              <c:numCache>
                <c:formatCode>General</c:formatCode>
                <c:ptCount val="7"/>
                <c:pt idx="2" formatCode="#,##0">
                  <c:v>5058</c:v>
                </c:pt>
                <c:pt idx="3" formatCode="#,##0">
                  <c:v>5876</c:v>
                </c:pt>
                <c:pt idx="4" formatCode="#,##0">
                  <c:v>6957</c:v>
                </c:pt>
                <c:pt idx="5" formatCode="#,##0">
                  <c:v>7486</c:v>
                </c:pt>
                <c:pt idx="6" formatCode="#,##0">
                  <c:v>8729</c:v>
                </c:pt>
              </c:numCache>
            </c:numRef>
          </c:val>
        </c:ser>
        <c:ser>
          <c:idx val="3"/>
          <c:order val="3"/>
          <c:tx>
            <c:strRef>
              <c:f>February!$B$53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February!$C$53:$I$53</c:f>
              <c:numCache>
                <c:formatCode>General</c:formatCode>
                <c:ptCount val="7"/>
                <c:pt idx="2" formatCode="#,##0">
                  <c:v>5242</c:v>
                </c:pt>
                <c:pt idx="3" formatCode="#,##0">
                  <c:v>5261</c:v>
                </c:pt>
                <c:pt idx="4" formatCode="#,##0">
                  <c:v>5182</c:v>
                </c:pt>
                <c:pt idx="5" formatCode="#,##0">
                  <c:v>5142</c:v>
                </c:pt>
                <c:pt idx="6" formatCode="#,##0">
                  <c:v>3836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62290432"/>
        <c:axId val="19156928"/>
        <c:axId val="0"/>
      </c:bar3DChart>
      <c:dateAx>
        <c:axId val="622904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156928"/>
        <c:crosses val="autoZero"/>
        <c:auto val="1"/>
        <c:lblOffset val="100"/>
        <c:baseTimeUnit val="years"/>
        <c:majorUnit val="1"/>
        <c:minorUnit val="1"/>
      </c:dateAx>
      <c:valAx>
        <c:axId val="19156928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6229043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February!$B$84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February!$C$83:$H$83</c:f>
              <c:numCache>
                <c:formatCode>[$-419]mmmm\ yyyy;@</c:formatCode>
                <c:ptCount val="6"/>
                <c:pt idx="0">
                  <c:v>42276</c:v>
                </c:pt>
                <c:pt idx="1">
                  <c:v>42306</c:v>
                </c:pt>
                <c:pt idx="2">
                  <c:v>42337</c:v>
                </c:pt>
                <c:pt idx="3">
                  <c:v>42367</c:v>
                </c:pt>
                <c:pt idx="4">
                  <c:v>42398</c:v>
                </c:pt>
                <c:pt idx="5">
                  <c:v>42429</c:v>
                </c:pt>
              </c:numCache>
            </c:numRef>
          </c:cat>
          <c:val>
            <c:numRef>
              <c:f>February!$C$84:$H$84</c:f>
              <c:numCache>
                <c:formatCode>#,##0</c:formatCode>
                <c:ptCount val="6"/>
                <c:pt idx="0">
                  <c:v>993268</c:v>
                </c:pt>
                <c:pt idx="1">
                  <c:v>996118</c:v>
                </c:pt>
                <c:pt idx="2">
                  <c:v>1001556</c:v>
                </c:pt>
                <c:pt idx="3">
                  <c:v>1006751</c:v>
                </c:pt>
                <c:pt idx="4">
                  <c:v>1012875</c:v>
                </c:pt>
                <c:pt idx="5">
                  <c:v>1006765</c:v>
                </c:pt>
              </c:numCache>
            </c:numRef>
          </c:val>
        </c:ser>
        <c:ser>
          <c:idx val="1"/>
          <c:order val="1"/>
          <c:tx>
            <c:strRef>
              <c:f>February!$B$85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February!$C$83:$H$83</c:f>
              <c:numCache>
                <c:formatCode>[$-419]mmmm\ yyyy;@</c:formatCode>
                <c:ptCount val="6"/>
                <c:pt idx="0">
                  <c:v>42276</c:v>
                </c:pt>
                <c:pt idx="1">
                  <c:v>42306</c:v>
                </c:pt>
                <c:pt idx="2">
                  <c:v>42337</c:v>
                </c:pt>
                <c:pt idx="3">
                  <c:v>42367</c:v>
                </c:pt>
                <c:pt idx="4">
                  <c:v>42398</c:v>
                </c:pt>
                <c:pt idx="5">
                  <c:v>42429</c:v>
                </c:pt>
              </c:numCache>
            </c:numRef>
          </c:cat>
          <c:val>
            <c:numRef>
              <c:f>February!$C$85:$H$85</c:f>
              <c:numCache>
                <c:formatCode>#,##0</c:formatCode>
                <c:ptCount val="6"/>
                <c:pt idx="0">
                  <c:v>21072</c:v>
                </c:pt>
                <c:pt idx="1">
                  <c:v>20973</c:v>
                </c:pt>
                <c:pt idx="2">
                  <c:v>21007</c:v>
                </c:pt>
                <c:pt idx="3">
                  <c:v>20753</c:v>
                </c:pt>
                <c:pt idx="4">
                  <c:v>20804</c:v>
                </c:pt>
                <c:pt idx="5">
                  <c:v>18908</c:v>
                </c:pt>
              </c:numCache>
            </c:numRef>
          </c:val>
        </c:ser>
        <c:ser>
          <c:idx val="2"/>
          <c:order val="2"/>
          <c:tx>
            <c:strRef>
              <c:f>February!$B$86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February!$C$83:$H$83</c:f>
              <c:numCache>
                <c:formatCode>[$-419]mmmm\ yyyy;@</c:formatCode>
                <c:ptCount val="6"/>
                <c:pt idx="0">
                  <c:v>42276</c:v>
                </c:pt>
                <c:pt idx="1">
                  <c:v>42306</c:v>
                </c:pt>
                <c:pt idx="2">
                  <c:v>42337</c:v>
                </c:pt>
                <c:pt idx="3">
                  <c:v>42367</c:v>
                </c:pt>
                <c:pt idx="4">
                  <c:v>42398</c:v>
                </c:pt>
                <c:pt idx="5">
                  <c:v>42429</c:v>
                </c:pt>
              </c:numCache>
            </c:numRef>
          </c:cat>
          <c:val>
            <c:numRef>
              <c:f>February!$C$86:$H$86</c:f>
              <c:numCache>
                <c:formatCode>#,##0</c:formatCode>
                <c:ptCount val="6"/>
                <c:pt idx="0">
                  <c:v>8775</c:v>
                </c:pt>
                <c:pt idx="1">
                  <c:v>8894</c:v>
                </c:pt>
                <c:pt idx="2">
                  <c:v>8699</c:v>
                </c:pt>
                <c:pt idx="3">
                  <c:v>8729</c:v>
                </c:pt>
                <c:pt idx="4">
                  <c:v>8764</c:v>
                </c:pt>
                <c:pt idx="5">
                  <c:v>8657</c:v>
                </c:pt>
              </c:numCache>
            </c:numRef>
          </c:val>
        </c:ser>
        <c:ser>
          <c:idx val="3"/>
          <c:order val="3"/>
          <c:tx>
            <c:strRef>
              <c:f>February!$B$87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February!$C$83:$H$83</c:f>
              <c:numCache>
                <c:formatCode>[$-419]mmmm\ yyyy;@</c:formatCode>
                <c:ptCount val="6"/>
                <c:pt idx="0">
                  <c:v>42276</c:v>
                </c:pt>
                <c:pt idx="1">
                  <c:v>42306</c:v>
                </c:pt>
                <c:pt idx="2">
                  <c:v>42337</c:v>
                </c:pt>
                <c:pt idx="3">
                  <c:v>42367</c:v>
                </c:pt>
                <c:pt idx="4">
                  <c:v>42398</c:v>
                </c:pt>
                <c:pt idx="5">
                  <c:v>42429</c:v>
                </c:pt>
              </c:numCache>
            </c:numRef>
          </c:cat>
          <c:val>
            <c:numRef>
              <c:f>February!$C$87:$H$87</c:f>
              <c:numCache>
                <c:formatCode>#,##0</c:formatCode>
                <c:ptCount val="6"/>
                <c:pt idx="0">
                  <c:v>4323</c:v>
                </c:pt>
                <c:pt idx="1">
                  <c:v>4266</c:v>
                </c:pt>
                <c:pt idx="2">
                  <c:v>4148</c:v>
                </c:pt>
                <c:pt idx="3">
                  <c:v>3836</c:v>
                </c:pt>
                <c:pt idx="4">
                  <c:v>3848</c:v>
                </c:pt>
                <c:pt idx="5">
                  <c:v>2930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66215936"/>
        <c:axId val="19159232"/>
        <c:axId val="0"/>
      </c:bar3DChart>
      <c:dateAx>
        <c:axId val="6621593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15923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9159232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662159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March!$B$50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March!$C$50:$I$50</c:f>
              <c:numCache>
                <c:formatCode>General</c:formatCode>
                <c:ptCount val="7"/>
                <c:pt idx="2" formatCode="#,##0">
                  <c:v>772175</c:v>
                </c:pt>
                <c:pt idx="3" formatCode="#,##0">
                  <c:v>805549</c:v>
                </c:pt>
                <c:pt idx="4" formatCode="#,##0">
                  <c:v>881844</c:v>
                </c:pt>
                <c:pt idx="5" formatCode="#,##0">
                  <c:v>944559</c:v>
                </c:pt>
                <c:pt idx="6" formatCode="#,##0">
                  <c:v>1006751</c:v>
                </c:pt>
              </c:numCache>
            </c:numRef>
          </c:val>
        </c:ser>
        <c:ser>
          <c:idx val="1"/>
          <c:order val="1"/>
          <c:tx>
            <c:strRef>
              <c:f>March!$B$51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March!$C$51:$I$51</c:f>
              <c:numCache>
                <c:formatCode>General</c:formatCode>
                <c:ptCount val="7"/>
                <c:pt idx="2" formatCode="#,##0">
                  <c:v>16850</c:v>
                </c:pt>
                <c:pt idx="3" formatCode="#,##0">
                  <c:v>17821</c:v>
                </c:pt>
                <c:pt idx="4" formatCode="#,##0">
                  <c:v>19539</c:v>
                </c:pt>
                <c:pt idx="5" formatCode="#,##0">
                  <c:v>20178</c:v>
                </c:pt>
                <c:pt idx="6" formatCode="#,##0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March!$B$52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March!$C$52:$I$52</c:f>
              <c:numCache>
                <c:formatCode>General</c:formatCode>
                <c:ptCount val="7"/>
                <c:pt idx="2" formatCode="#,##0">
                  <c:v>5058</c:v>
                </c:pt>
                <c:pt idx="3" formatCode="#,##0">
                  <c:v>5876</c:v>
                </c:pt>
                <c:pt idx="4" formatCode="#,##0">
                  <c:v>6957</c:v>
                </c:pt>
                <c:pt idx="5" formatCode="#,##0">
                  <c:v>7486</c:v>
                </c:pt>
                <c:pt idx="6" formatCode="#,##0">
                  <c:v>8729</c:v>
                </c:pt>
              </c:numCache>
            </c:numRef>
          </c:val>
        </c:ser>
        <c:ser>
          <c:idx val="3"/>
          <c:order val="3"/>
          <c:tx>
            <c:strRef>
              <c:f>March!$B$53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March!$C$53:$I$53</c:f>
              <c:numCache>
                <c:formatCode>General</c:formatCode>
                <c:ptCount val="7"/>
                <c:pt idx="2" formatCode="#,##0">
                  <c:v>5242</c:v>
                </c:pt>
                <c:pt idx="3" formatCode="#,##0">
                  <c:v>5261</c:v>
                </c:pt>
                <c:pt idx="4" formatCode="#,##0">
                  <c:v>5182</c:v>
                </c:pt>
                <c:pt idx="5" formatCode="#,##0">
                  <c:v>5142</c:v>
                </c:pt>
                <c:pt idx="6" formatCode="#,##0">
                  <c:v>3836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04746496"/>
        <c:axId val="22309120"/>
        <c:axId val="0"/>
      </c:bar3DChart>
      <c:dateAx>
        <c:axId val="1047464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2309120"/>
        <c:crosses val="autoZero"/>
        <c:auto val="1"/>
        <c:lblOffset val="100"/>
        <c:baseTimeUnit val="years"/>
        <c:majorUnit val="1"/>
        <c:minorUnit val="1"/>
      </c:dateAx>
      <c:valAx>
        <c:axId val="22309120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047464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March!$B$84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March!$C$83:$H$83</c:f>
              <c:numCache>
                <c:formatCode>[$-419]mmmm\ yyyy;@</c:formatCode>
                <c:ptCount val="6"/>
                <c:pt idx="0">
                  <c:v>42306</c:v>
                </c:pt>
                <c:pt idx="1">
                  <c:v>42337</c:v>
                </c:pt>
                <c:pt idx="2">
                  <c:v>42367</c:v>
                </c:pt>
                <c:pt idx="3">
                  <c:v>42398</c:v>
                </c:pt>
                <c:pt idx="4">
                  <c:v>42429</c:v>
                </c:pt>
                <c:pt idx="5">
                  <c:v>42458</c:v>
                </c:pt>
              </c:numCache>
            </c:numRef>
          </c:cat>
          <c:val>
            <c:numRef>
              <c:f>March!$C$84:$H$84</c:f>
              <c:numCache>
                <c:formatCode>#,##0</c:formatCode>
                <c:ptCount val="6"/>
                <c:pt idx="0">
                  <c:v>996118</c:v>
                </c:pt>
                <c:pt idx="1">
                  <c:v>1001556</c:v>
                </c:pt>
                <c:pt idx="2">
                  <c:v>1006751</c:v>
                </c:pt>
                <c:pt idx="3">
                  <c:v>1012875</c:v>
                </c:pt>
                <c:pt idx="4">
                  <c:v>1006765</c:v>
                </c:pt>
                <c:pt idx="5">
                  <c:v>1008379</c:v>
                </c:pt>
              </c:numCache>
            </c:numRef>
          </c:val>
        </c:ser>
        <c:ser>
          <c:idx val="1"/>
          <c:order val="1"/>
          <c:tx>
            <c:strRef>
              <c:f>March!$B$85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March!$C$83:$H$83</c:f>
              <c:numCache>
                <c:formatCode>[$-419]mmmm\ yyyy;@</c:formatCode>
                <c:ptCount val="6"/>
                <c:pt idx="0">
                  <c:v>42306</c:v>
                </c:pt>
                <c:pt idx="1">
                  <c:v>42337</c:v>
                </c:pt>
                <c:pt idx="2">
                  <c:v>42367</c:v>
                </c:pt>
                <c:pt idx="3">
                  <c:v>42398</c:v>
                </c:pt>
                <c:pt idx="4">
                  <c:v>42429</c:v>
                </c:pt>
                <c:pt idx="5">
                  <c:v>42458</c:v>
                </c:pt>
              </c:numCache>
            </c:numRef>
          </c:cat>
          <c:val>
            <c:numRef>
              <c:f>March!$C$85:$H$85</c:f>
              <c:numCache>
                <c:formatCode>#,##0</c:formatCode>
                <c:ptCount val="6"/>
                <c:pt idx="0">
                  <c:v>20973</c:v>
                </c:pt>
                <c:pt idx="1">
                  <c:v>21007</c:v>
                </c:pt>
                <c:pt idx="2">
                  <c:v>20753</c:v>
                </c:pt>
                <c:pt idx="3">
                  <c:v>20804</c:v>
                </c:pt>
                <c:pt idx="4">
                  <c:v>18908</c:v>
                </c:pt>
                <c:pt idx="5">
                  <c:v>19035</c:v>
                </c:pt>
              </c:numCache>
            </c:numRef>
          </c:val>
        </c:ser>
        <c:ser>
          <c:idx val="2"/>
          <c:order val="2"/>
          <c:tx>
            <c:strRef>
              <c:f>March!$B$86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March!$C$83:$H$83</c:f>
              <c:numCache>
                <c:formatCode>[$-419]mmmm\ yyyy;@</c:formatCode>
                <c:ptCount val="6"/>
                <c:pt idx="0">
                  <c:v>42306</c:v>
                </c:pt>
                <c:pt idx="1">
                  <c:v>42337</c:v>
                </c:pt>
                <c:pt idx="2">
                  <c:v>42367</c:v>
                </c:pt>
                <c:pt idx="3">
                  <c:v>42398</c:v>
                </c:pt>
                <c:pt idx="4">
                  <c:v>42429</c:v>
                </c:pt>
                <c:pt idx="5">
                  <c:v>42458</c:v>
                </c:pt>
              </c:numCache>
            </c:numRef>
          </c:cat>
          <c:val>
            <c:numRef>
              <c:f>March!$C$86:$H$86</c:f>
              <c:numCache>
                <c:formatCode>#,##0</c:formatCode>
                <c:ptCount val="6"/>
                <c:pt idx="0">
                  <c:v>8894</c:v>
                </c:pt>
                <c:pt idx="1">
                  <c:v>8699</c:v>
                </c:pt>
                <c:pt idx="2">
                  <c:v>8729</c:v>
                </c:pt>
                <c:pt idx="3">
                  <c:v>8764</c:v>
                </c:pt>
                <c:pt idx="4">
                  <c:v>8657</c:v>
                </c:pt>
                <c:pt idx="5">
                  <c:v>8480</c:v>
                </c:pt>
              </c:numCache>
            </c:numRef>
          </c:val>
        </c:ser>
        <c:ser>
          <c:idx val="3"/>
          <c:order val="3"/>
          <c:tx>
            <c:strRef>
              <c:f>March!$B$87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March!$C$83:$H$83</c:f>
              <c:numCache>
                <c:formatCode>[$-419]mmmm\ yyyy;@</c:formatCode>
                <c:ptCount val="6"/>
                <c:pt idx="0">
                  <c:v>42306</c:v>
                </c:pt>
                <c:pt idx="1">
                  <c:v>42337</c:v>
                </c:pt>
                <c:pt idx="2">
                  <c:v>42367</c:v>
                </c:pt>
                <c:pt idx="3">
                  <c:v>42398</c:v>
                </c:pt>
                <c:pt idx="4">
                  <c:v>42429</c:v>
                </c:pt>
                <c:pt idx="5">
                  <c:v>42458</c:v>
                </c:pt>
              </c:numCache>
            </c:numRef>
          </c:cat>
          <c:val>
            <c:numRef>
              <c:f>March!$C$87:$H$87</c:f>
              <c:numCache>
                <c:formatCode>#,##0</c:formatCode>
                <c:ptCount val="6"/>
                <c:pt idx="0">
                  <c:v>4266</c:v>
                </c:pt>
                <c:pt idx="1">
                  <c:v>4148</c:v>
                </c:pt>
                <c:pt idx="2">
                  <c:v>3836</c:v>
                </c:pt>
                <c:pt idx="3">
                  <c:v>3848</c:v>
                </c:pt>
                <c:pt idx="4">
                  <c:v>2930</c:v>
                </c:pt>
                <c:pt idx="5">
                  <c:v>2548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04756736"/>
        <c:axId val="22311424"/>
        <c:axId val="0"/>
      </c:bar3DChart>
      <c:dateAx>
        <c:axId val="10475673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23114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22311424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047567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April!$B$50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April!$C$50:$I$50</c:f>
              <c:numCache>
                <c:formatCode>General</c:formatCode>
                <c:ptCount val="7"/>
                <c:pt idx="2" formatCode="#,##0">
                  <c:v>772175</c:v>
                </c:pt>
                <c:pt idx="3" formatCode="#,##0">
                  <c:v>805549</c:v>
                </c:pt>
                <c:pt idx="4" formatCode="#,##0">
                  <c:v>881844</c:v>
                </c:pt>
                <c:pt idx="5" formatCode="#,##0">
                  <c:v>944559</c:v>
                </c:pt>
                <c:pt idx="6" formatCode="#,##0">
                  <c:v>1006751</c:v>
                </c:pt>
              </c:numCache>
            </c:numRef>
          </c:val>
        </c:ser>
        <c:ser>
          <c:idx val="1"/>
          <c:order val="1"/>
          <c:tx>
            <c:strRef>
              <c:f>April!$B$51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April!$C$51:$I$51</c:f>
              <c:numCache>
                <c:formatCode>General</c:formatCode>
                <c:ptCount val="7"/>
                <c:pt idx="2" formatCode="#,##0">
                  <c:v>16850</c:v>
                </c:pt>
                <c:pt idx="3" formatCode="#,##0">
                  <c:v>17821</c:v>
                </c:pt>
                <c:pt idx="4" formatCode="#,##0">
                  <c:v>19539</c:v>
                </c:pt>
                <c:pt idx="5" formatCode="#,##0">
                  <c:v>20178</c:v>
                </c:pt>
                <c:pt idx="6" formatCode="#,##0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April!$B$52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April!$C$52:$I$52</c:f>
              <c:numCache>
                <c:formatCode>General</c:formatCode>
                <c:ptCount val="7"/>
                <c:pt idx="2" formatCode="#,##0">
                  <c:v>5058</c:v>
                </c:pt>
                <c:pt idx="3" formatCode="#,##0">
                  <c:v>5876</c:v>
                </c:pt>
                <c:pt idx="4" formatCode="#,##0">
                  <c:v>6957</c:v>
                </c:pt>
                <c:pt idx="5" formatCode="#,##0">
                  <c:v>7486</c:v>
                </c:pt>
                <c:pt idx="6" formatCode="#,##0">
                  <c:v>8729</c:v>
                </c:pt>
              </c:numCache>
            </c:numRef>
          </c:val>
        </c:ser>
        <c:ser>
          <c:idx val="3"/>
          <c:order val="3"/>
          <c:tx>
            <c:strRef>
              <c:f>April!$B$53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April!$C$53:$I$53</c:f>
              <c:numCache>
                <c:formatCode>General</c:formatCode>
                <c:ptCount val="7"/>
                <c:pt idx="2" formatCode="#,##0">
                  <c:v>5242</c:v>
                </c:pt>
                <c:pt idx="3" formatCode="#,##0">
                  <c:v>5261</c:v>
                </c:pt>
                <c:pt idx="4" formatCode="#,##0">
                  <c:v>5182</c:v>
                </c:pt>
                <c:pt idx="5" formatCode="#,##0">
                  <c:v>5142</c:v>
                </c:pt>
                <c:pt idx="6" formatCode="#,##0">
                  <c:v>3836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048512"/>
        <c:axId val="19159808"/>
        <c:axId val="0"/>
      </c:bar3DChart>
      <c:dateAx>
        <c:axId val="1804851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159808"/>
        <c:crosses val="autoZero"/>
        <c:auto val="1"/>
        <c:lblOffset val="100"/>
        <c:baseTimeUnit val="years"/>
        <c:majorUnit val="1"/>
        <c:minorUnit val="1"/>
      </c:dateAx>
      <c:valAx>
        <c:axId val="19159808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0485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April!$B$84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April!$C$83:$H$83</c:f>
              <c:numCache>
                <c:formatCode>[$-419]mmmm\ yyyy;@</c:formatCode>
                <c:ptCount val="6"/>
                <c:pt idx="0">
                  <c:v>42337</c:v>
                </c:pt>
                <c:pt idx="1">
                  <c:v>42367</c:v>
                </c:pt>
                <c:pt idx="2">
                  <c:v>42398</c:v>
                </c:pt>
                <c:pt idx="3">
                  <c:v>42429</c:v>
                </c:pt>
                <c:pt idx="4">
                  <c:v>42459</c:v>
                </c:pt>
                <c:pt idx="5">
                  <c:v>42490</c:v>
                </c:pt>
              </c:numCache>
            </c:numRef>
          </c:cat>
          <c:val>
            <c:numRef>
              <c:f>April!$C$84:$H$84</c:f>
              <c:numCache>
                <c:formatCode>#,##0</c:formatCode>
                <c:ptCount val="6"/>
                <c:pt idx="0">
                  <c:v>1001556</c:v>
                </c:pt>
                <c:pt idx="1">
                  <c:v>1006751</c:v>
                </c:pt>
                <c:pt idx="2">
                  <c:v>1012875</c:v>
                </c:pt>
                <c:pt idx="3">
                  <c:v>1006765</c:v>
                </c:pt>
                <c:pt idx="4">
                  <c:v>1008379</c:v>
                </c:pt>
                <c:pt idx="5">
                  <c:v>1014752</c:v>
                </c:pt>
              </c:numCache>
            </c:numRef>
          </c:val>
        </c:ser>
        <c:ser>
          <c:idx val="1"/>
          <c:order val="1"/>
          <c:tx>
            <c:strRef>
              <c:f>April!$B$85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April!$C$83:$H$83</c:f>
              <c:numCache>
                <c:formatCode>[$-419]mmmm\ yyyy;@</c:formatCode>
                <c:ptCount val="6"/>
                <c:pt idx="0">
                  <c:v>42337</c:v>
                </c:pt>
                <c:pt idx="1">
                  <c:v>42367</c:v>
                </c:pt>
                <c:pt idx="2">
                  <c:v>42398</c:v>
                </c:pt>
                <c:pt idx="3">
                  <c:v>42429</c:v>
                </c:pt>
                <c:pt idx="4">
                  <c:v>42459</c:v>
                </c:pt>
                <c:pt idx="5">
                  <c:v>42490</c:v>
                </c:pt>
              </c:numCache>
            </c:numRef>
          </c:cat>
          <c:val>
            <c:numRef>
              <c:f>April!$C$85:$H$85</c:f>
              <c:numCache>
                <c:formatCode>#,##0</c:formatCode>
                <c:ptCount val="6"/>
                <c:pt idx="0">
                  <c:v>21007</c:v>
                </c:pt>
                <c:pt idx="1">
                  <c:v>20753</c:v>
                </c:pt>
                <c:pt idx="2">
                  <c:v>20804</c:v>
                </c:pt>
                <c:pt idx="3">
                  <c:v>18908</c:v>
                </c:pt>
                <c:pt idx="4">
                  <c:v>19035</c:v>
                </c:pt>
                <c:pt idx="5">
                  <c:v>19023</c:v>
                </c:pt>
              </c:numCache>
            </c:numRef>
          </c:val>
        </c:ser>
        <c:ser>
          <c:idx val="2"/>
          <c:order val="2"/>
          <c:tx>
            <c:strRef>
              <c:f>April!$B$86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April!$C$83:$H$83</c:f>
              <c:numCache>
                <c:formatCode>[$-419]mmmm\ yyyy;@</c:formatCode>
                <c:ptCount val="6"/>
                <c:pt idx="0">
                  <c:v>42337</c:v>
                </c:pt>
                <c:pt idx="1">
                  <c:v>42367</c:v>
                </c:pt>
                <c:pt idx="2">
                  <c:v>42398</c:v>
                </c:pt>
                <c:pt idx="3">
                  <c:v>42429</c:v>
                </c:pt>
                <c:pt idx="4">
                  <c:v>42459</c:v>
                </c:pt>
                <c:pt idx="5">
                  <c:v>42490</c:v>
                </c:pt>
              </c:numCache>
            </c:numRef>
          </c:cat>
          <c:val>
            <c:numRef>
              <c:f>April!$C$86:$H$86</c:f>
              <c:numCache>
                <c:formatCode>#,##0</c:formatCode>
                <c:ptCount val="6"/>
                <c:pt idx="0">
                  <c:v>8699</c:v>
                </c:pt>
                <c:pt idx="1">
                  <c:v>8729</c:v>
                </c:pt>
                <c:pt idx="2">
                  <c:v>8764</c:v>
                </c:pt>
                <c:pt idx="3">
                  <c:v>8657</c:v>
                </c:pt>
                <c:pt idx="4">
                  <c:v>8480</c:v>
                </c:pt>
                <c:pt idx="5">
                  <c:v>8800</c:v>
                </c:pt>
              </c:numCache>
            </c:numRef>
          </c:val>
        </c:ser>
        <c:ser>
          <c:idx val="3"/>
          <c:order val="3"/>
          <c:tx>
            <c:strRef>
              <c:f>April!$B$87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April!$C$83:$H$83</c:f>
              <c:numCache>
                <c:formatCode>[$-419]mmmm\ yyyy;@</c:formatCode>
                <c:ptCount val="6"/>
                <c:pt idx="0">
                  <c:v>42337</c:v>
                </c:pt>
                <c:pt idx="1">
                  <c:v>42367</c:v>
                </c:pt>
                <c:pt idx="2">
                  <c:v>42398</c:v>
                </c:pt>
                <c:pt idx="3">
                  <c:v>42429</c:v>
                </c:pt>
                <c:pt idx="4">
                  <c:v>42459</c:v>
                </c:pt>
                <c:pt idx="5">
                  <c:v>42490</c:v>
                </c:pt>
              </c:numCache>
            </c:numRef>
          </c:cat>
          <c:val>
            <c:numRef>
              <c:f>April!$C$87:$H$87</c:f>
              <c:numCache>
                <c:formatCode>#,##0</c:formatCode>
                <c:ptCount val="6"/>
                <c:pt idx="0">
                  <c:v>4148</c:v>
                </c:pt>
                <c:pt idx="1">
                  <c:v>3836</c:v>
                </c:pt>
                <c:pt idx="2">
                  <c:v>3848</c:v>
                </c:pt>
                <c:pt idx="3">
                  <c:v>2930</c:v>
                </c:pt>
                <c:pt idx="4">
                  <c:v>2548</c:v>
                </c:pt>
                <c:pt idx="5">
                  <c:v>1422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045952"/>
        <c:axId val="62480384"/>
        <c:axId val="0"/>
      </c:bar3DChart>
      <c:dateAx>
        <c:axId val="18045952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6248038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62480384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0459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May!$B$50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May!$C$50:$I$50</c:f>
              <c:numCache>
                <c:formatCode>General</c:formatCode>
                <c:ptCount val="7"/>
                <c:pt idx="2" formatCode="#,##0">
                  <c:v>772175</c:v>
                </c:pt>
                <c:pt idx="3" formatCode="#,##0">
                  <c:v>805549</c:v>
                </c:pt>
                <c:pt idx="4" formatCode="#,##0">
                  <c:v>881844</c:v>
                </c:pt>
                <c:pt idx="5" formatCode="#,##0">
                  <c:v>944559</c:v>
                </c:pt>
                <c:pt idx="6" formatCode="#,##0">
                  <c:v>1006751</c:v>
                </c:pt>
              </c:numCache>
            </c:numRef>
          </c:val>
        </c:ser>
        <c:ser>
          <c:idx val="1"/>
          <c:order val="1"/>
          <c:tx>
            <c:strRef>
              <c:f>May!$B$51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May!$C$51:$I$51</c:f>
              <c:numCache>
                <c:formatCode>General</c:formatCode>
                <c:ptCount val="7"/>
                <c:pt idx="2" formatCode="#,##0">
                  <c:v>16850</c:v>
                </c:pt>
                <c:pt idx="3" formatCode="#,##0">
                  <c:v>17821</c:v>
                </c:pt>
                <c:pt idx="4" formatCode="#,##0">
                  <c:v>19539</c:v>
                </c:pt>
                <c:pt idx="5" formatCode="#,##0">
                  <c:v>20178</c:v>
                </c:pt>
                <c:pt idx="6" formatCode="#,##0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May!$B$52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May!$C$52:$I$52</c:f>
              <c:numCache>
                <c:formatCode>General</c:formatCode>
                <c:ptCount val="7"/>
                <c:pt idx="2" formatCode="#,##0">
                  <c:v>5058</c:v>
                </c:pt>
                <c:pt idx="3" formatCode="#,##0">
                  <c:v>5876</c:v>
                </c:pt>
                <c:pt idx="4" formatCode="#,##0">
                  <c:v>6957</c:v>
                </c:pt>
                <c:pt idx="5" formatCode="#,##0">
                  <c:v>7486</c:v>
                </c:pt>
                <c:pt idx="6" formatCode="#,##0">
                  <c:v>8729</c:v>
                </c:pt>
              </c:numCache>
            </c:numRef>
          </c:val>
        </c:ser>
        <c:ser>
          <c:idx val="3"/>
          <c:order val="3"/>
          <c:tx>
            <c:strRef>
              <c:f>May!$B$53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May!$C$53:$I$53</c:f>
              <c:numCache>
                <c:formatCode>General</c:formatCode>
                <c:ptCount val="7"/>
                <c:pt idx="2" formatCode="#,##0">
                  <c:v>5242</c:v>
                </c:pt>
                <c:pt idx="3" formatCode="#,##0">
                  <c:v>5261</c:v>
                </c:pt>
                <c:pt idx="4" formatCode="#,##0">
                  <c:v>5182</c:v>
                </c:pt>
                <c:pt idx="5" formatCode="#,##0">
                  <c:v>5142</c:v>
                </c:pt>
                <c:pt idx="6" formatCode="#,##0">
                  <c:v>3836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148864"/>
        <c:axId val="62483264"/>
        <c:axId val="0"/>
      </c:bar3DChart>
      <c:dateAx>
        <c:axId val="1814886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62483264"/>
        <c:crosses val="autoZero"/>
        <c:auto val="1"/>
        <c:lblOffset val="100"/>
        <c:baseTimeUnit val="years"/>
        <c:majorUnit val="1"/>
        <c:minorUnit val="1"/>
      </c:dateAx>
      <c:valAx>
        <c:axId val="62483264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14886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May!$B$84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May!$C$83:$H$83</c:f>
              <c:numCache>
                <c:formatCode>[$-419]mmmm\ yyyy;@</c:formatCode>
                <c:ptCount val="6"/>
                <c:pt idx="0">
                  <c:v>42367</c:v>
                </c:pt>
                <c:pt idx="1">
                  <c:v>42398</c:v>
                </c:pt>
                <c:pt idx="2">
                  <c:v>42429</c:v>
                </c:pt>
                <c:pt idx="3">
                  <c:v>42459</c:v>
                </c:pt>
                <c:pt idx="4">
                  <c:v>42490</c:v>
                </c:pt>
                <c:pt idx="5">
                  <c:v>42520</c:v>
                </c:pt>
              </c:numCache>
            </c:numRef>
          </c:cat>
          <c:val>
            <c:numRef>
              <c:f>May!$C$84:$H$84</c:f>
              <c:numCache>
                <c:formatCode>#,##0</c:formatCode>
                <c:ptCount val="6"/>
                <c:pt idx="0">
                  <c:v>1006751</c:v>
                </c:pt>
                <c:pt idx="1">
                  <c:v>1012875</c:v>
                </c:pt>
                <c:pt idx="2">
                  <c:v>1006765</c:v>
                </c:pt>
                <c:pt idx="3">
                  <c:v>1008379</c:v>
                </c:pt>
                <c:pt idx="4">
                  <c:v>1014752</c:v>
                </c:pt>
                <c:pt idx="5">
                  <c:v>1018892</c:v>
                </c:pt>
              </c:numCache>
            </c:numRef>
          </c:val>
        </c:ser>
        <c:ser>
          <c:idx val="1"/>
          <c:order val="1"/>
          <c:tx>
            <c:strRef>
              <c:f>May!$B$85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May!$C$83:$H$83</c:f>
              <c:numCache>
                <c:formatCode>[$-419]mmmm\ yyyy;@</c:formatCode>
                <c:ptCount val="6"/>
                <c:pt idx="0">
                  <c:v>42367</c:v>
                </c:pt>
                <c:pt idx="1">
                  <c:v>42398</c:v>
                </c:pt>
                <c:pt idx="2">
                  <c:v>42429</c:v>
                </c:pt>
                <c:pt idx="3">
                  <c:v>42459</c:v>
                </c:pt>
                <c:pt idx="4">
                  <c:v>42490</c:v>
                </c:pt>
                <c:pt idx="5">
                  <c:v>42520</c:v>
                </c:pt>
              </c:numCache>
            </c:numRef>
          </c:cat>
          <c:val>
            <c:numRef>
              <c:f>May!$C$85:$H$85</c:f>
              <c:numCache>
                <c:formatCode>#,##0</c:formatCode>
                <c:ptCount val="6"/>
                <c:pt idx="0">
                  <c:v>20753</c:v>
                </c:pt>
                <c:pt idx="1">
                  <c:v>20804</c:v>
                </c:pt>
                <c:pt idx="2">
                  <c:v>18908</c:v>
                </c:pt>
                <c:pt idx="3">
                  <c:v>19035</c:v>
                </c:pt>
                <c:pt idx="4">
                  <c:v>19023</c:v>
                </c:pt>
                <c:pt idx="5">
                  <c:v>19023</c:v>
                </c:pt>
              </c:numCache>
            </c:numRef>
          </c:val>
        </c:ser>
        <c:ser>
          <c:idx val="2"/>
          <c:order val="2"/>
          <c:tx>
            <c:strRef>
              <c:f>May!$B$86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May!$C$83:$H$83</c:f>
              <c:numCache>
                <c:formatCode>[$-419]mmmm\ yyyy;@</c:formatCode>
                <c:ptCount val="6"/>
                <c:pt idx="0">
                  <c:v>42367</c:v>
                </c:pt>
                <c:pt idx="1">
                  <c:v>42398</c:v>
                </c:pt>
                <c:pt idx="2">
                  <c:v>42429</c:v>
                </c:pt>
                <c:pt idx="3">
                  <c:v>42459</c:v>
                </c:pt>
                <c:pt idx="4">
                  <c:v>42490</c:v>
                </c:pt>
                <c:pt idx="5">
                  <c:v>42520</c:v>
                </c:pt>
              </c:numCache>
            </c:numRef>
          </c:cat>
          <c:val>
            <c:numRef>
              <c:f>May!$C$86:$H$86</c:f>
              <c:numCache>
                <c:formatCode>#,##0</c:formatCode>
                <c:ptCount val="6"/>
                <c:pt idx="0">
                  <c:v>8729</c:v>
                </c:pt>
                <c:pt idx="1">
                  <c:v>8764</c:v>
                </c:pt>
                <c:pt idx="2">
                  <c:v>8657</c:v>
                </c:pt>
                <c:pt idx="3">
                  <c:v>8480</c:v>
                </c:pt>
                <c:pt idx="4">
                  <c:v>8800</c:v>
                </c:pt>
                <c:pt idx="5">
                  <c:v>8928</c:v>
                </c:pt>
              </c:numCache>
            </c:numRef>
          </c:val>
        </c:ser>
        <c:ser>
          <c:idx val="3"/>
          <c:order val="3"/>
          <c:tx>
            <c:strRef>
              <c:f>May!$B$87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May!$C$83:$H$83</c:f>
              <c:numCache>
                <c:formatCode>[$-419]mmmm\ yyyy;@</c:formatCode>
                <c:ptCount val="6"/>
                <c:pt idx="0">
                  <c:v>42367</c:v>
                </c:pt>
                <c:pt idx="1">
                  <c:v>42398</c:v>
                </c:pt>
                <c:pt idx="2">
                  <c:v>42429</c:v>
                </c:pt>
                <c:pt idx="3">
                  <c:v>42459</c:v>
                </c:pt>
                <c:pt idx="4">
                  <c:v>42490</c:v>
                </c:pt>
                <c:pt idx="5">
                  <c:v>42520</c:v>
                </c:pt>
              </c:numCache>
            </c:numRef>
          </c:cat>
          <c:val>
            <c:numRef>
              <c:f>May!$C$87:$H$87</c:f>
              <c:numCache>
                <c:formatCode>#,##0</c:formatCode>
                <c:ptCount val="6"/>
                <c:pt idx="0">
                  <c:v>3836</c:v>
                </c:pt>
                <c:pt idx="1">
                  <c:v>3848</c:v>
                </c:pt>
                <c:pt idx="2">
                  <c:v>2930</c:v>
                </c:pt>
                <c:pt idx="3">
                  <c:v>2548</c:v>
                </c:pt>
                <c:pt idx="4">
                  <c:v>1422</c:v>
                </c:pt>
                <c:pt idx="5">
                  <c:v>1400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150912"/>
        <c:axId val="62485568"/>
        <c:axId val="0"/>
      </c:bar3DChart>
      <c:dateAx>
        <c:axId val="18150912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6248556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62485568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15091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June!$B$50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June!$C$50:$I$50</c:f>
              <c:numCache>
                <c:formatCode>General</c:formatCode>
                <c:ptCount val="7"/>
                <c:pt idx="2" formatCode="#,##0">
                  <c:v>772175</c:v>
                </c:pt>
                <c:pt idx="3" formatCode="#,##0">
                  <c:v>805549</c:v>
                </c:pt>
                <c:pt idx="4" formatCode="#,##0">
                  <c:v>881844</c:v>
                </c:pt>
                <c:pt idx="5" formatCode="#,##0">
                  <c:v>944559</c:v>
                </c:pt>
                <c:pt idx="6" formatCode="#,##0">
                  <c:v>1006751</c:v>
                </c:pt>
              </c:numCache>
            </c:numRef>
          </c:val>
        </c:ser>
        <c:ser>
          <c:idx val="1"/>
          <c:order val="1"/>
          <c:tx>
            <c:strRef>
              <c:f>June!$B$51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June!$C$51:$I$51</c:f>
              <c:numCache>
                <c:formatCode>General</c:formatCode>
                <c:ptCount val="7"/>
                <c:pt idx="2" formatCode="#,##0">
                  <c:v>16850</c:v>
                </c:pt>
                <c:pt idx="3" formatCode="#,##0">
                  <c:v>17821</c:v>
                </c:pt>
                <c:pt idx="4" formatCode="#,##0">
                  <c:v>19539</c:v>
                </c:pt>
                <c:pt idx="5" formatCode="#,##0">
                  <c:v>20178</c:v>
                </c:pt>
                <c:pt idx="6" formatCode="#,##0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June!$B$52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June!$C$52:$I$52</c:f>
              <c:numCache>
                <c:formatCode>General</c:formatCode>
                <c:ptCount val="7"/>
                <c:pt idx="2" formatCode="#,##0">
                  <c:v>5058</c:v>
                </c:pt>
                <c:pt idx="3" formatCode="#,##0">
                  <c:v>5876</c:v>
                </c:pt>
                <c:pt idx="4" formatCode="#,##0">
                  <c:v>6957</c:v>
                </c:pt>
                <c:pt idx="5" formatCode="#,##0">
                  <c:v>7486</c:v>
                </c:pt>
                <c:pt idx="6" formatCode="#,##0">
                  <c:v>8729</c:v>
                </c:pt>
              </c:numCache>
            </c:numRef>
          </c:val>
        </c:ser>
        <c:ser>
          <c:idx val="3"/>
          <c:order val="3"/>
          <c:tx>
            <c:strRef>
              <c:f>June!$B$53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June!$C$53:$I$53</c:f>
              <c:numCache>
                <c:formatCode>General</c:formatCode>
                <c:ptCount val="7"/>
                <c:pt idx="2" formatCode="#,##0">
                  <c:v>5242</c:v>
                </c:pt>
                <c:pt idx="3" formatCode="#,##0">
                  <c:v>5261</c:v>
                </c:pt>
                <c:pt idx="4" formatCode="#,##0">
                  <c:v>5182</c:v>
                </c:pt>
                <c:pt idx="5" formatCode="#,##0">
                  <c:v>5142</c:v>
                </c:pt>
                <c:pt idx="6" formatCode="#,##0">
                  <c:v>3836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244096"/>
        <c:axId val="62487872"/>
        <c:axId val="0"/>
      </c:bar3DChart>
      <c:dateAx>
        <c:axId val="1824409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62487872"/>
        <c:crosses val="autoZero"/>
        <c:auto val="1"/>
        <c:lblOffset val="100"/>
        <c:baseTimeUnit val="years"/>
        <c:majorUnit val="1"/>
        <c:minorUnit val="1"/>
      </c:dateAx>
      <c:valAx>
        <c:axId val="62487872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24409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June!$B$84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June!$C$83:$H$83</c:f>
              <c:numCache>
                <c:formatCode>[$-419]mmmm\ yyyy;@</c:formatCode>
                <c:ptCount val="6"/>
                <c:pt idx="0">
                  <c:v>42398</c:v>
                </c:pt>
                <c:pt idx="1">
                  <c:v>42429</c:v>
                </c:pt>
                <c:pt idx="2">
                  <c:v>42459</c:v>
                </c:pt>
                <c:pt idx="3">
                  <c:v>42490</c:v>
                </c:pt>
                <c:pt idx="4">
                  <c:v>42520</c:v>
                </c:pt>
                <c:pt idx="5">
                  <c:v>42551</c:v>
                </c:pt>
              </c:numCache>
            </c:numRef>
          </c:cat>
          <c:val>
            <c:numRef>
              <c:f>June!$C$84:$H$84</c:f>
              <c:numCache>
                <c:formatCode>#,##0</c:formatCode>
                <c:ptCount val="6"/>
                <c:pt idx="0">
                  <c:v>1012875</c:v>
                </c:pt>
                <c:pt idx="1">
                  <c:v>1006765</c:v>
                </c:pt>
                <c:pt idx="2">
                  <c:v>1008379</c:v>
                </c:pt>
                <c:pt idx="3">
                  <c:v>1014752</c:v>
                </c:pt>
                <c:pt idx="4">
                  <c:v>1018892</c:v>
                </c:pt>
                <c:pt idx="5">
                  <c:v>1028991</c:v>
                </c:pt>
              </c:numCache>
            </c:numRef>
          </c:val>
        </c:ser>
        <c:ser>
          <c:idx val="1"/>
          <c:order val="1"/>
          <c:tx>
            <c:strRef>
              <c:f>June!$B$85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June!$C$83:$H$83</c:f>
              <c:numCache>
                <c:formatCode>[$-419]mmmm\ yyyy;@</c:formatCode>
                <c:ptCount val="6"/>
                <c:pt idx="0">
                  <c:v>42398</c:v>
                </c:pt>
                <c:pt idx="1">
                  <c:v>42429</c:v>
                </c:pt>
                <c:pt idx="2">
                  <c:v>42459</c:v>
                </c:pt>
                <c:pt idx="3">
                  <c:v>42490</c:v>
                </c:pt>
                <c:pt idx="4">
                  <c:v>42520</c:v>
                </c:pt>
                <c:pt idx="5">
                  <c:v>42551</c:v>
                </c:pt>
              </c:numCache>
            </c:numRef>
          </c:cat>
          <c:val>
            <c:numRef>
              <c:f>June!$C$85:$H$85</c:f>
              <c:numCache>
                <c:formatCode>#,##0</c:formatCode>
                <c:ptCount val="6"/>
                <c:pt idx="0">
                  <c:v>20804</c:v>
                </c:pt>
                <c:pt idx="1">
                  <c:v>18908</c:v>
                </c:pt>
                <c:pt idx="2">
                  <c:v>19035</c:v>
                </c:pt>
                <c:pt idx="3">
                  <c:v>19023</c:v>
                </c:pt>
                <c:pt idx="4">
                  <c:v>19023</c:v>
                </c:pt>
                <c:pt idx="5">
                  <c:v>19118</c:v>
                </c:pt>
              </c:numCache>
            </c:numRef>
          </c:val>
        </c:ser>
        <c:ser>
          <c:idx val="2"/>
          <c:order val="2"/>
          <c:tx>
            <c:strRef>
              <c:f>June!$B$86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June!$C$83:$H$83</c:f>
              <c:numCache>
                <c:formatCode>[$-419]mmmm\ yyyy;@</c:formatCode>
                <c:ptCount val="6"/>
                <c:pt idx="0">
                  <c:v>42398</c:v>
                </c:pt>
                <c:pt idx="1">
                  <c:v>42429</c:v>
                </c:pt>
                <c:pt idx="2">
                  <c:v>42459</c:v>
                </c:pt>
                <c:pt idx="3">
                  <c:v>42490</c:v>
                </c:pt>
                <c:pt idx="4">
                  <c:v>42520</c:v>
                </c:pt>
                <c:pt idx="5">
                  <c:v>42551</c:v>
                </c:pt>
              </c:numCache>
            </c:numRef>
          </c:cat>
          <c:val>
            <c:numRef>
              <c:f>June!$C$86:$H$86</c:f>
              <c:numCache>
                <c:formatCode>#,##0</c:formatCode>
                <c:ptCount val="6"/>
                <c:pt idx="0">
                  <c:v>8764</c:v>
                </c:pt>
                <c:pt idx="1">
                  <c:v>8657</c:v>
                </c:pt>
                <c:pt idx="2">
                  <c:v>8480</c:v>
                </c:pt>
                <c:pt idx="3">
                  <c:v>8800</c:v>
                </c:pt>
                <c:pt idx="4">
                  <c:v>8928</c:v>
                </c:pt>
                <c:pt idx="5">
                  <c:v>9251</c:v>
                </c:pt>
              </c:numCache>
            </c:numRef>
          </c:val>
        </c:ser>
        <c:ser>
          <c:idx val="3"/>
          <c:order val="3"/>
          <c:tx>
            <c:strRef>
              <c:f>June!$B$87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June!$C$83:$H$83</c:f>
              <c:numCache>
                <c:formatCode>[$-419]mmmm\ yyyy;@</c:formatCode>
                <c:ptCount val="6"/>
                <c:pt idx="0">
                  <c:v>42398</c:v>
                </c:pt>
                <c:pt idx="1">
                  <c:v>42429</c:v>
                </c:pt>
                <c:pt idx="2">
                  <c:v>42459</c:v>
                </c:pt>
                <c:pt idx="3">
                  <c:v>42490</c:v>
                </c:pt>
                <c:pt idx="4">
                  <c:v>42520</c:v>
                </c:pt>
                <c:pt idx="5">
                  <c:v>42551</c:v>
                </c:pt>
              </c:numCache>
            </c:numRef>
          </c:cat>
          <c:val>
            <c:numRef>
              <c:f>June!$C$87:$H$87</c:f>
              <c:numCache>
                <c:formatCode>#,##0</c:formatCode>
                <c:ptCount val="6"/>
                <c:pt idx="0">
                  <c:v>3848</c:v>
                </c:pt>
                <c:pt idx="1">
                  <c:v>2930</c:v>
                </c:pt>
                <c:pt idx="2">
                  <c:v>2548</c:v>
                </c:pt>
                <c:pt idx="3">
                  <c:v>1422</c:v>
                </c:pt>
                <c:pt idx="4">
                  <c:v>1400</c:v>
                </c:pt>
                <c:pt idx="5">
                  <c:v>1412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251776"/>
        <c:axId val="102311616"/>
        <c:axId val="0"/>
      </c:bar3DChart>
      <c:dateAx>
        <c:axId val="1825177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0231161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2311616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2517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July!$B$50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July!$C$50:$I$50</c:f>
              <c:numCache>
                <c:formatCode>General</c:formatCode>
                <c:ptCount val="7"/>
                <c:pt idx="2" formatCode="#,##0">
                  <c:v>772175</c:v>
                </c:pt>
                <c:pt idx="3" formatCode="#,##0">
                  <c:v>805549</c:v>
                </c:pt>
                <c:pt idx="4" formatCode="#,##0">
                  <c:v>881844</c:v>
                </c:pt>
                <c:pt idx="5" formatCode="#,##0">
                  <c:v>944559</c:v>
                </c:pt>
                <c:pt idx="6" formatCode="#,##0">
                  <c:v>1006751</c:v>
                </c:pt>
              </c:numCache>
            </c:numRef>
          </c:val>
        </c:ser>
        <c:ser>
          <c:idx val="1"/>
          <c:order val="1"/>
          <c:tx>
            <c:strRef>
              <c:f>July!$B$51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July!$C$51:$I$51</c:f>
              <c:numCache>
                <c:formatCode>General</c:formatCode>
                <c:ptCount val="7"/>
                <c:pt idx="2" formatCode="#,##0">
                  <c:v>16850</c:v>
                </c:pt>
                <c:pt idx="3" formatCode="#,##0">
                  <c:v>17821</c:v>
                </c:pt>
                <c:pt idx="4" formatCode="#,##0">
                  <c:v>19539</c:v>
                </c:pt>
                <c:pt idx="5" formatCode="#,##0">
                  <c:v>20178</c:v>
                </c:pt>
                <c:pt idx="6" formatCode="#,##0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July!$B$52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July!$C$52:$I$52</c:f>
              <c:numCache>
                <c:formatCode>General</c:formatCode>
                <c:ptCount val="7"/>
                <c:pt idx="2" formatCode="#,##0">
                  <c:v>5058</c:v>
                </c:pt>
                <c:pt idx="3" formatCode="#,##0">
                  <c:v>5876</c:v>
                </c:pt>
                <c:pt idx="4" formatCode="#,##0">
                  <c:v>6957</c:v>
                </c:pt>
                <c:pt idx="5" formatCode="#,##0">
                  <c:v>7486</c:v>
                </c:pt>
                <c:pt idx="6" formatCode="#,##0">
                  <c:v>8729</c:v>
                </c:pt>
              </c:numCache>
            </c:numRef>
          </c:val>
        </c:ser>
        <c:ser>
          <c:idx val="3"/>
          <c:order val="3"/>
          <c:tx>
            <c:strRef>
              <c:f>July!$B$53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July!$C$53:$I$53</c:f>
              <c:numCache>
                <c:formatCode>General</c:formatCode>
                <c:ptCount val="7"/>
                <c:pt idx="2" formatCode="#,##0">
                  <c:v>5242</c:v>
                </c:pt>
                <c:pt idx="3" formatCode="#,##0">
                  <c:v>5261</c:v>
                </c:pt>
                <c:pt idx="4" formatCode="#,##0">
                  <c:v>5182</c:v>
                </c:pt>
                <c:pt idx="5" formatCode="#,##0">
                  <c:v>5142</c:v>
                </c:pt>
                <c:pt idx="6" formatCode="#,##0">
                  <c:v>3836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375168"/>
        <c:axId val="102313920"/>
        <c:axId val="0"/>
      </c:bar3DChart>
      <c:dateAx>
        <c:axId val="1837516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02313920"/>
        <c:crosses val="autoZero"/>
        <c:auto val="1"/>
        <c:lblOffset val="100"/>
        <c:baseTimeUnit val="years"/>
        <c:majorUnit val="1"/>
        <c:minorUnit val="1"/>
      </c:dateAx>
      <c:valAx>
        <c:axId val="102313920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37516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July!$B$84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July!$C$83:$H$83</c:f>
              <c:numCache>
                <c:formatCode>[$-419]mmmm\ yyyy;@</c:formatCode>
                <c:ptCount val="6"/>
                <c:pt idx="0">
                  <c:v>42429</c:v>
                </c:pt>
                <c:pt idx="1">
                  <c:v>42459</c:v>
                </c:pt>
                <c:pt idx="2">
                  <c:v>42490</c:v>
                </c:pt>
                <c:pt idx="3">
                  <c:v>42520</c:v>
                </c:pt>
                <c:pt idx="4">
                  <c:v>42551</c:v>
                </c:pt>
                <c:pt idx="5">
                  <c:v>42581</c:v>
                </c:pt>
              </c:numCache>
            </c:numRef>
          </c:cat>
          <c:val>
            <c:numRef>
              <c:f>July!$C$84:$H$84</c:f>
              <c:numCache>
                <c:formatCode>#,##0</c:formatCode>
                <c:ptCount val="6"/>
                <c:pt idx="0">
                  <c:v>1006765</c:v>
                </c:pt>
                <c:pt idx="1">
                  <c:v>1008379</c:v>
                </c:pt>
                <c:pt idx="2">
                  <c:v>1014752</c:v>
                </c:pt>
                <c:pt idx="3">
                  <c:v>1018892</c:v>
                </c:pt>
                <c:pt idx="4">
                  <c:v>1028991</c:v>
                </c:pt>
                <c:pt idx="5">
                  <c:v>1033667</c:v>
                </c:pt>
              </c:numCache>
            </c:numRef>
          </c:val>
        </c:ser>
        <c:ser>
          <c:idx val="1"/>
          <c:order val="1"/>
          <c:tx>
            <c:strRef>
              <c:f>July!$B$85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July!$C$83:$H$83</c:f>
              <c:numCache>
                <c:formatCode>[$-419]mmmm\ yyyy;@</c:formatCode>
                <c:ptCount val="6"/>
                <c:pt idx="0">
                  <c:v>42429</c:v>
                </c:pt>
                <c:pt idx="1">
                  <c:v>42459</c:v>
                </c:pt>
                <c:pt idx="2">
                  <c:v>42490</c:v>
                </c:pt>
                <c:pt idx="3">
                  <c:v>42520</c:v>
                </c:pt>
                <c:pt idx="4">
                  <c:v>42551</c:v>
                </c:pt>
                <c:pt idx="5">
                  <c:v>42581</c:v>
                </c:pt>
              </c:numCache>
            </c:numRef>
          </c:cat>
          <c:val>
            <c:numRef>
              <c:f>July!$C$85:$H$85</c:f>
              <c:numCache>
                <c:formatCode>#,##0</c:formatCode>
                <c:ptCount val="6"/>
                <c:pt idx="0">
                  <c:v>18908</c:v>
                </c:pt>
                <c:pt idx="1">
                  <c:v>19035</c:v>
                </c:pt>
                <c:pt idx="2">
                  <c:v>19023</c:v>
                </c:pt>
                <c:pt idx="3">
                  <c:v>19023</c:v>
                </c:pt>
                <c:pt idx="4">
                  <c:v>19118</c:v>
                </c:pt>
                <c:pt idx="5">
                  <c:v>19019</c:v>
                </c:pt>
              </c:numCache>
            </c:numRef>
          </c:val>
        </c:ser>
        <c:ser>
          <c:idx val="2"/>
          <c:order val="2"/>
          <c:tx>
            <c:strRef>
              <c:f>July!$B$86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July!$C$83:$H$83</c:f>
              <c:numCache>
                <c:formatCode>[$-419]mmmm\ yyyy;@</c:formatCode>
                <c:ptCount val="6"/>
                <c:pt idx="0">
                  <c:v>42429</c:v>
                </c:pt>
                <c:pt idx="1">
                  <c:v>42459</c:v>
                </c:pt>
                <c:pt idx="2">
                  <c:v>42490</c:v>
                </c:pt>
                <c:pt idx="3">
                  <c:v>42520</c:v>
                </c:pt>
                <c:pt idx="4">
                  <c:v>42551</c:v>
                </c:pt>
                <c:pt idx="5">
                  <c:v>42581</c:v>
                </c:pt>
              </c:numCache>
            </c:numRef>
          </c:cat>
          <c:val>
            <c:numRef>
              <c:f>July!$C$86:$H$86</c:f>
              <c:numCache>
                <c:formatCode>#,##0</c:formatCode>
                <c:ptCount val="6"/>
                <c:pt idx="0">
                  <c:v>8657</c:v>
                </c:pt>
                <c:pt idx="1">
                  <c:v>8480</c:v>
                </c:pt>
                <c:pt idx="2">
                  <c:v>8800</c:v>
                </c:pt>
                <c:pt idx="3">
                  <c:v>8928</c:v>
                </c:pt>
                <c:pt idx="4">
                  <c:v>9251</c:v>
                </c:pt>
                <c:pt idx="5">
                  <c:v>8797</c:v>
                </c:pt>
              </c:numCache>
            </c:numRef>
          </c:val>
        </c:ser>
        <c:ser>
          <c:idx val="3"/>
          <c:order val="3"/>
          <c:tx>
            <c:strRef>
              <c:f>July!$B$87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July!$C$83:$H$83</c:f>
              <c:numCache>
                <c:formatCode>[$-419]mmmm\ yyyy;@</c:formatCode>
                <c:ptCount val="6"/>
                <c:pt idx="0">
                  <c:v>42429</c:v>
                </c:pt>
                <c:pt idx="1">
                  <c:v>42459</c:v>
                </c:pt>
                <c:pt idx="2">
                  <c:v>42490</c:v>
                </c:pt>
                <c:pt idx="3">
                  <c:v>42520</c:v>
                </c:pt>
                <c:pt idx="4">
                  <c:v>42551</c:v>
                </c:pt>
                <c:pt idx="5">
                  <c:v>42581</c:v>
                </c:pt>
              </c:numCache>
            </c:numRef>
          </c:cat>
          <c:val>
            <c:numRef>
              <c:f>July!$C$87:$H$87</c:f>
              <c:numCache>
                <c:formatCode>#,##0</c:formatCode>
                <c:ptCount val="6"/>
                <c:pt idx="0">
                  <c:v>2930</c:v>
                </c:pt>
                <c:pt idx="1">
                  <c:v>2548</c:v>
                </c:pt>
                <c:pt idx="2">
                  <c:v>1422</c:v>
                </c:pt>
                <c:pt idx="3">
                  <c:v>1400</c:v>
                </c:pt>
                <c:pt idx="4">
                  <c:v>1412</c:v>
                </c:pt>
                <c:pt idx="5">
                  <c:v>1620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377216"/>
        <c:axId val="104794368"/>
        <c:axId val="0"/>
      </c:bar3DChart>
      <c:dateAx>
        <c:axId val="1837721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0479436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4794368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37721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August!$B$50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August!$C$50:$I$50</c:f>
              <c:numCache>
                <c:formatCode>General</c:formatCode>
                <c:ptCount val="7"/>
                <c:pt idx="2" formatCode="#,##0">
                  <c:v>772175</c:v>
                </c:pt>
                <c:pt idx="3" formatCode="#,##0">
                  <c:v>805549</c:v>
                </c:pt>
                <c:pt idx="4" formatCode="#,##0">
                  <c:v>881844</c:v>
                </c:pt>
                <c:pt idx="5" formatCode="#,##0">
                  <c:v>944559</c:v>
                </c:pt>
                <c:pt idx="6" formatCode="#,##0">
                  <c:v>1006751</c:v>
                </c:pt>
              </c:numCache>
            </c:numRef>
          </c:val>
        </c:ser>
        <c:ser>
          <c:idx val="1"/>
          <c:order val="1"/>
          <c:tx>
            <c:strRef>
              <c:f>August!$B$51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August!$C$51:$I$51</c:f>
              <c:numCache>
                <c:formatCode>General</c:formatCode>
                <c:ptCount val="7"/>
                <c:pt idx="2" formatCode="#,##0">
                  <c:v>16850</c:v>
                </c:pt>
                <c:pt idx="3" formatCode="#,##0">
                  <c:v>17821</c:v>
                </c:pt>
                <c:pt idx="4" formatCode="#,##0">
                  <c:v>19539</c:v>
                </c:pt>
                <c:pt idx="5" formatCode="#,##0">
                  <c:v>20178</c:v>
                </c:pt>
                <c:pt idx="6" formatCode="#,##0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August!$B$52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August!$C$52:$I$52</c:f>
              <c:numCache>
                <c:formatCode>General</c:formatCode>
                <c:ptCount val="7"/>
                <c:pt idx="2" formatCode="#,##0">
                  <c:v>5058</c:v>
                </c:pt>
                <c:pt idx="3" formatCode="#,##0">
                  <c:v>5876</c:v>
                </c:pt>
                <c:pt idx="4" formatCode="#,##0">
                  <c:v>6957</c:v>
                </c:pt>
                <c:pt idx="5" formatCode="#,##0">
                  <c:v>7486</c:v>
                </c:pt>
                <c:pt idx="6" formatCode="#,##0">
                  <c:v>8729</c:v>
                </c:pt>
              </c:numCache>
            </c:numRef>
          </c:val>
        </c:ser>
        <c:ser>
          <c:idx val="3"/>
          <c:order val="3"/>
          <c:tx>
            <c:strRef>
              <c:f>August!$B$53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August!$C$53:$I$53</c:f>
              <c:numCache>
                <c:formatCode>General</c:formatCode>
                <c:ptCount val="7"/>
                <c:pt idx="2" formatCode="#,##0">
                  <c:v>5242</c:v>
                </c:pt>
                <c:pt idx="3" formatCode="#,##0">
                  <c:v>5261</c:v>
                </c:pt>
                <c:pt idx="4" formatCode="#,##0">
                  <c:v>5182</c:v>
                </c:pt>
                <c:pt idx="5" formatCode="#,##0">
                  <c:v>5142</c:v>
                </c:pt>
                <c:pt idx="6" formatCode="#,##0">
                  <c:v>3836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686976"/>
        <c:axId val="104797248"/>
        <c:axId val="0"/>
      </c:bar3DChart>
      <c:dateAx>
        <c:axId val="186869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04797248"/>
        <c:crosses val="autoZero"/>
        <c:auto val="1"/>
        <c:lblOffset val="100"/>
        <c:baseTimeUnit val="years"/>
        <c:majorUnit val="1"/>
        <c:minorUnit val="1"/>
      </c:dateAx>
      <c:valAx>
        <c:axId val="104797248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6869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August!$B$84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August!$C$83:$H$83</c:f>
              <c:numCache>
                <c:formatCode>[$-419]mmmm\ yyyy;@</c:formatCode>
                <c:ptCount val="6"/>
                <c:pt idx="0">
                  <c:v>42459</c:v>
                </c:pt>
                <c:pt idx="1">
                  <c:v>42490</c:v>
                </c:pt>
                <c:pt idx="2">
                  <c:v>42520</c:v>
                </c:pt>
                <c:pt idx="3">
                  <c:v>42551</c:v>
                </c:pt>
                <c:pt idx="4">
                  <c:v>42582</c:v>
                </c:pt>
                <c:pt idx="5">
                  <c:v>42613</c:v>
                </c:pt>
              </c:numCache>
            </c:numRef>
          </c:cat>
          <c:val>
            <c:numRef>
              <c:f>August!$C$84:$H$84</c:f>
              <c:numCache>
                <c:formatCode>#,##0</c:formatCode>
                <c:ptCount val="6"/>
                <c:pt idx="0">
                  <c:v>1008379</c:v>
                </c:pt>
                <c:pt idx="1">
                  <c:v>1014752</c:v>
                </c:pt>
                <c:pt idx="2">
                  <c:v>1018892</c:v>
                </c:pt>
                <c:pt idx="3">
                  <c:v>1028991</c:v>
                </c:pt>
                <c:pt idx="4">
                  <c:v>1033667</c:v>
                </c:pt>
                <c:pt idx="5">
                  <c:v>1040684</c:v>
                </c:pt>
              </c:numCache>
            </c:numRef>
          </c:val>
        </c:ser>
        <c:ser>
          <c:idx val="1"/>
          <c:order val="1"/>
          <c:tx>
            <c:strRef>
              <c:f>August!$B$85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August!$C$83:$H$83</c:f>
              <c:numCache>
                <c:formatCode>[$-419]mmmm\ yyyy;@</c:formatCode>
                <c:ptCount val="6"/>
                <c:pt idx="0">
                  <c:v>42459</c:v>
                </c:pt>
                <c:pt idx="1">
                  <c:v>42490</c:v>
                </c:pt>
                <c:pt idx="2">
                  <c:v>42520</c:v>
                </c:pt>
                <c:pt idx="3">
                  <c:v>42551</c:v>
                </c:pt>
                <c:pt idx="4">
                  <c:v>42582</c:v>
                </c:pt>
                <c:pt idx="5">
                  <c:v>42613</c:v>
                </c:pt>
              </c:numCache>
            </c:numRef>
          </c:cat>
          <c:val>
            <c:numRef>
              <c:f>August!$C$85:$H$85</c:f>
              <c:numCache>
                <c:formatCode>#,##0</c:formatCode>
                <c:ptCount val="6"/>
                <c:pt idx="0">
                  <c:v>19035</c:v>
                </c:pt>
                <c:pt idx="1">
                  <c:v>19023</c:v>
                </c:pt>
                <c:pt idx="2">
                  <c:v>19023</c:v>
                </c:pt>
                <c:pt idx="3">
                  <c:v>19118</c:v>
                </c:pt>
                <c:pt idx="4">
                  <c:v>19019</c:v>
                </c:pt>
                <c:pt idx="5">
                  <c:v>19083</c:v>
                </c:pt>
              </c:numCache>
            </c:numRef>
          </c:val>
        </c:ser>
        <c:ser>
          <c:idx val="2"/>
          <c:order val="2"/>
          <c:tx>
            <c:strRef>
              <c:f>August!$B$86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August!$C$83:$H$83</c:f>
              <c:numCache>
                <c:formatCode>[$-419]mmmm\ yyyy;@</c:formatCode>
                <c:ptCount val="6"/>
                <c:pt idx="0">
                  <c:v>42459</c:v>
                </c:pt>
                <c:pt idx="1">
                  <c:v>42490</c:v>
                </c:pt>
                <c:pt idx="2">
                  <c:v>42520</c:v>
                </c:pt>
                <c:pt idx="3">
                  <c:v>42551</c:v>
                </c:pt>
                <c:pt idx="4">
                  <c:v>42582</c:v>
                </c:pt>
                <c:pt idx="5">
                  <c:v>42613</c:v>
                </c:pt>
              </c:numCache>
            </c:numRef>
          </c:cat>
          <c:val>
            <c:numRef>
              <c:f>August!$C$86:$H$86</c:f>
              <c:numCache>
                <c:formatCode>#,##0</c:formatCode>
                <c:ptCount val="6"/>
                <c:pt idx="0">
                  <c:v>8480</c:v>
                </c:pt>
                <c:pt idx="1">
                  <c:v>8800</c:v>
                </c:pt>
                <c:pt idx="2">
                  <c:v>8928</c:v>
                </c:pt>
                <c:pt idx="3">
                  <c:v>9251</c:v>
                </c:pt>
                <c:pt idx="4">
                  <c:v>8797</c:v>
                </c:pt>
                <c:pt idx="5">
                  <c:v>8850</c:v>
                </c:pt>
              </c:numCache>
            </c:numRef>
          </c:val>
        </c:ser>
        <c:ser>
          <c:idx val="3"/>
          <c:order val="3"/>
          <c:tx>
            <c:strRef>
              <c:f>August!$B$87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August!$C$83:$H$83</c:f>
              <c:numCache>
                <c:formatCode>[$-419]mmmm\ yyyy;@</c:formatCode>
                <c:ptCount val="6"/>
                <c:pt idx="0">
                  <c:v>42459</c:v>
                </c:pt>
                <c:pt idx="1">
                  <c:v>42490</c:v>
                </c:pt>
                <c:pt idx="2">
                  <c:v>42520</c:v>
                </c:pt>
                <c:pt idx="3">
                  <c:v>42551</c:v>
                </c:pt>
                <c:pt idx="4">
                  <c:v>42582</c:v>
                </c:pt>
                <c:pt idx="5">
                  <c:v>42613</c:v>
                </c:pt>
              </c:numCache>
            </c:numRef>
          </c:cat>
          <c:val>
            <c:numRef>
              <c:f>August!$C$87:$H$87</c:f>
              <c:numCache>
                <c:formatCode>#,##0</c:formatCode>
                <c:ptCount val="6"/>
                <c:pt idx="0">
                  <c:v>2548</c:v>
                </c:pt>
                <c:pt idx="1">
                  <c:v>1422</c:v>
                </c:pt>
                <c:pt idx="2">
                  <c:v>1400</c:v>
                </c:pt>
                <c:pt idx="3">
                  <c:v>1412</c:v>
                </c:pt>
                <c:pt idx="4">
                  <c:v>1620</c:v>
                </c:pt>
                <c:pt idx="5">
                  <c:v>2017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689536"/>
        <c:axId val="104799552"/>
        <c:axId val="0"/>
      </c:bar3DChart>
      <c:dateAx>
        <c:axId val="1868953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0479955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4799552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6895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September!$B$50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September!$C$50:$I$50</c:f>
              <c:numCache>
                <c:formatCode>General</c:formatCode>
                <c:ptCount val="7"/>
                <c:pt idx="2" formatCode="#,##0">
                  <c:v>772175</c:v>
                </c:pt>
                <c:pt idx="3" formatCode="#,##0">
                  <c:v>805549</c:v>
                </c:pt>
                <c:pt idx="4" formatCode="#,##0">
                  <c:v>881844</c:v>
                </c:pt>
                <c:pt idx="5" formatCode="#,##0">
                  <c:v>944559</c:v>
                </c:pt>
                <c:pt idx="6" formatCode="#,##0">
                  <c:v>1006751</c:v>
                </c:pt>
              </c:numCache>
            </c:numRef>
          </c:val>
        </c:ser>
        <c:ser>
          <c:idx val="1"/>
          <c:order val="1"/>
          <c:tx>
            <c:strRef>
              <c:f>September!$B$51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September!$C$51:$I$51</c:f>
              <c:numCache>
                <c:formatCode>General</c:formatCode>
                <c:ptCount val="7"/>
                <c:pt idx="2" formatCode="#,##0">
                  <c:v>16850</c:v>
                </c:pt>
                <c:pt idx="3" formatCode="#,##0">
                  <c:v>17821</c:v>
                </c:pt>
                <c:pt idx="4" formatCode="#,##0">
                  <c:v>19539</c:v>
                </c:pt>
                <c:pt idx="5" formatCode="#,##0">
                  <c:v>20178</c:v>
                </c:pt>
                <c:pt idx="6" formatCode="#,##0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September!$B$52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September!$C$52:$I$52</c:f>
              <c:numCache>
                <c:formatCode>General</c:formatCode>
                <c:ptCount val="7"/>
                <c:pt idx="2" formatCode="#,##0">
                  <c:v>5058</c:v>
                </c:pt>
                <c:pt idx="3" formatCode="#,##0">
                  <c:v>5876</c:v>
                </c:pt>
                <c:pt idx="4" formatCode="#,##0">
                  <c:v>6957</c:v>
                </c:pt>
                <c:pt idx="5" formatCode="#,##0">
                  <c:v>7486</c:v>
                </c:pt>
                <c:pt idx="6" formatCode="#,##0">
                  <c:v>8729</c:v>
                </c:pt>
              </c:numCache>
            </c:numRef>
          </c:val>
        </c:ser>
        <c:ser>
          <c:idx val="3"/>
          <c:order val="3"/>
          <c:tx>
            <c:strRef>
              <c:f>September!$B$53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September!$C$53:$I$53</c:f>
              <c:numCache>
                <c:formatCode>General</c:formatCode>
                <c:ptCount val="7"/>
                <c:pt idx="2" formatCode="#,##0">
                  <c:v>5242</c:v>
                </c:pt>
                <c:pt idx="3" formatCode="#,##0">
                  <c:v>5261</c:v>
                </c:pt>
                <c:pt idx="4" formatCode="#,##0">
                  <c:v>5182</c:v>
                </c:pt>
                <c:pt idx="5" formatCode="#,##0">
                  <c:v>5142</c:v>
                </c:pt>
                <c:pt idx="6" formatCode="#,##0">
                  <c:v>3836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817024"/>
        <c:axId val="108939520"/>
        <c:axId val="0"/>
      </c:bar3DChart>
      <c:dateAx>
        <c:axId val="1881702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08939520"/>
        <c:crosses val="autoZero"/>
        <c:auto val="1"/>
        <c:lblOffset val="100"/>
        <c:baseTimeUnit val="years"/>
        <c:majorUnit val="1"/>
        <c:minorUnit val="1"/>
      </c:dateAx>
      <c:valAx>
        <c:axId val="108939520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81702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September!$B$84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September!$C$83:$H$83</c:f>
              <c:numCache>
                <c:formatCode>[$-419]mmmm\ yyyy;@</c:formatCode>
                <c:ptCount val="6"/>
                <c:pt idx="0">
                  <c:v>42490</c:v>
                </c:pt>
                <c:pt idx="1">
                  <c:v>42520</c:v>
                </c:pt>
                <c:pt idx="2">
                  <c:v>42551</c:v>
                </c:pt>
                <c:pt idx="3">
                  <c:v>42581</c:v>
                </c:pt>
                <c:pt idx="4">
                  <c:v>42612</c:v>
                </c:pt>
                <c:pt idx="5">
                  <c:v>42643</c:v>
                </c:pt>
              </c:numCache>
            </c:numRef>
          </c:cat>
          <c:val>
            <c:numRef>
              <c:f>September!$C$84:$H$84</c:f>
              <c:numCache>
                <c:formatCode>#,##0</c:formatCode>
                <c:ptCount val="6"/>
                <c:pt idx="0">
                  <c:v>1014752</c:v>
                </c:pt>
                <c:pt idx="1">
                  <c:v>1018892</c:v>
                </c:pt>
                <c:pt idx="2">
                  <c:v>1028991</c:v>
                </c:pt>
                <c:pt idx="3">
                  <c:v>1033667</c:v>
                </c:pt>
                <c:pt idx="4">
                  <c:v>1040684</c:v>
                </c:pt>
                <c:pt idx="5">
                  <c:v>1049230</c:v>
                </c:pt>
              </c:numCache>
            </c:numRef>
          </c:val>
        </c:ser>
        <c:ser>
          <c:idx val="1"/>
          <c:order val="1"/>
          <c:tx>
            <c:strRef>
              <c:f>September!$B$85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September!$C$83:$H$83</c:f>
              <c:numCache>
                <c:formatCode>[$-419]mmmm\ yyyy;@</c:formatCode>
                <c:ptCount val="6"/>
                <c:pt idx="0">
                  <c:v>42490</c:v>
                </c:pt>
                <c:pt idx="1">
                  <c:v>42520</c:v>
                </c:pt>
                <c:pt idx="2">
                  <c:v>42551</c:v>
                </c:pt>
                <c:pt idx="3">
                  <c:v>42581</c:v>
                </c:pt>
                <c:pt idx="4">
                  <c:v>42612</c:v>
                </c:pt>
                <c:pt idx="5">
                  <c:v>42643</c:v>
                </c:pt>
              </c:numCache>
            </c:numRef>
          </c:cat>
          <c:val>
            <c:numRef>
              <c:f>September!$C$85:$H$85</c:f>
              <c:numCache>
                <c:formatCode>#,##0</c:formatCode>
                <c:ptCount val="6"/>
                <c:pt idx="0">
                  <c:v>19023</c:v>
                </c:pt>
                <c:pt idx="1">
                  <c:v>19023</c:v>
                </c:pt>
                <c:pt idx="2">
                  <c:v>19118</c:v>
                </c:pt>
                <c:pt idx="3">
                  <c:v>19019</c:v>
                </c:pt>
                <c:pt idx="4">
                  <c:v>19083</c:v>
                </c:pt>
                <c:pt idx="5">
                  <c:v>19110</c:v>
                </c:pt>
              </c:numCache>
            </c:numRef>
          </c:val>
        </c:ser>
        <c:ser>
          <c:idx val="2"/>
          <c:order val="2"/>
          <c:tx>
            <c:strRef>
              <c:f>September!$B$86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September!$C$83:$H$83</c:f>
              <c:numCache>
                <c:formatCode>[$-419]mmmm\ yyyy;@</c:formatCode>
                <c:ptCount val="6"/>
                <c:pt idx="0">
                  <c:v>42490</c:v>
                </c:pt>
                <c:pt idx="1">
                  <c:v>42520</c:v>
                </c:pt>
                <c:pt idx="2">
                  <c:v>42551</c:v>
                </c:pt>
                <c:pt idx="3">
                  <c:v>42581</c:v>
                </c:pt>
                <c:pt idx="4">
                  <c:v>42612</c:v>
                </c:pt>
                <c:pt idx="5">
                  <c:v>42643</c:v>
                </c:pt>
              </c:numCache>
            </c:numRef>
          </c:cat>
          <c:val>
            <c:numRef>
              <c:f>September!$C$86:$H$86</c:f>
              <c:numCache>
                <c:formatCode>#,##0</c:formatCode>
                <c:ptCount val="6"/>
                <c:pt idx="0">
                  <c:v>8800</c:v>
                </c:pt>
                <c:pt idx="1">
                  <c:v>8928</c:v>
                </c:pt>
                <c:pt idx="2">
                  <c:v>9251</c:v>
                </c:pt>
                <c:pt idx="3">
                  <c:v>8797</c:v>
                </c:pt>
                <c:pt idx="4">
                  <c:v>8850</c:v>
                </c:pt>
                <c:pt idx="5">
                  <c:v>8966</c:v>
                </c:pt>
              </c:numCache>
            </c:numRef>
          </c:val>
        </c:ser>
        <c:ser>
          <c:idx val="3"/>
          <c:order val="3"/>
          <c:tx>
            <c:strRef>
              <c:f>September!$B$87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September!$C$83:$H$83</c:f>
              <c:numCache>
                <c:formatCode>[$-419]mmmm\ yyyy;@</c:formatCode>
                <c:ptCount val="6"/>
                <c:pt idx="0">
                  <c:v>42490</c:v>
                </c:pt>
                <c:pt idx="1">
                  <c:v>42520</c:v>
                </c:pt>
                <c:pt idx="2">
                  <c:v>42551</c:v>
                </c:pt>
                <c:pt idx="3">
                  <c:v>42581</c:v>
                </c:pt>
                <c:pt idx="4">
                  <c:v>42612</c:v>
                </c:pt>
                <c:pt idx="5">
                  <c:v>42643</c:v>
                </c:pt>
              </c:numCache>
            </c:numRef>
          </c:cat>
          <c:val>
            <c:numRef>
              <c:f>September!$C$87:$H$87</c:f>
              <c:numCache>
                <c:formatCode>#,##0</c:formatCode>
                <c:ptCount val="6"/>
                <c:pt idx="0">
                  <c:v>1422</c:v>
                </c:pt>
                <c:pt idx="1">
                  <c:v>1400</c:v>
                </c:pt>
                <c:pt idx="2">
                  <c:v>1412</c:v>
                </c:pt>
                <c:pt idx="3">
                  <c:v>1620</c:v>
                </c:pt>
                <c:pt idx="4">
                  <c:v>2017</c:v>
                </c:pt>
                <c:pt idx="5">
                  <c:v>2602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820608"/>
        <c:axId val="108941824"/>
        <c:axId val="0"/>
      </c:bar3DChart>
      <c:dateAx>
        <c:axId val="18820608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089418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8941824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82060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October!$B$50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October!$C$50:$I$50</c:f>
              <c:numCache>
                <c:formatCode>General</c:formatCode>
                <c:ptCount val="7"/>
                <c:pt idx="2" formatCode="#,##0">
                  <c:v>772175</c:v>
                </c:pt>
                <c:pt idx="3" formatCode="#,##0">
                  <c:v>805549</c:v>
                </c:pt>
                <c:pt idx="4" formatCode="#,##0">
                  <c:v>881844</c:v>
                </c:pt>
                <c:pt idx="5" formatCode="#,##0">
                  <c:v>944559</c:v>
                </c:pt>
                <c:pt idx="6" formatCode="#,##0">
                  <c:v>1006751</c:v>
                </c:pt>
              </c:numCache>
            </c:numRef>
          </c:val>
        </c:ser>
        <c:ser>
          <c:idx val="1"/>
          <c:order val="1"/>
          <c:tx>
            <c:strRef>
              <c:f>October!$B$51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October!$C$51:$I$51</c:f>
              <c:numCache>
                <c:formatCode>General</c:formatCode>
                <c:ptCount val="7"/>
                <c:pt idx="2" formatCode="#,##0">
                  <c:v>16850</c:v>
                </c:pt>
                <c:pt idx="3" formatCode="#,##0">
                  <c:v>17821</c:v>
                </c:pt>
                <c:pt idx="4" formatCode="#,##0">
                  <c:v>19539</c:v>
                </c:pt>
                <c:pt idx="5" formatCode="#,##0">
                  <c:v>20178</c:v>
                </c:pt>
                <c:pt idx="6" formatCode="#,##0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October!$B$52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October!$C$52:$I$52</c:f>
              <c:numCache>
                <c:formatCode>General</c:formatCode>
                <c:ptCount val="7"/>
                <c:pt idx="2" formatCode="#,##0">
                  <c:v>5058</c:v>
                </c:pt>
                <c:pt idx="3" formatCode="#,##0">
                  <c:v>5876</c:v>
                </c:pt>
                <c:pt idx="4" formatCode="#,##0">
                  <c:v>6957</c:v>
                </c:pt>
                <c:pt idx="5" formatCode="#,##0">
                  <c:v>7486</c:v>
                </c:pt>
                <c:pt idx="6" formatCode="#,##0">
                  <c:v>8729</c:v>
                </c:pt>
              </c:numCache>
            </c:numRef>
          </c:val>
        </c:ser>
        <c:ser>
          <c:idx val="3"/>
          <c:order val="3"/>
          <c:tx>
            <c:strRef>
              <c:f>October!$B$53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October!$C$53:$I$53</c:f>
              <c:numCache>
                <c:formatCode>General</c:formatCode>
                <c:ptCount val="7"/>
                <c:pt idx="2" formatCode="#,##0">
                  <c:v>5242</c:v>
                </c:pt>
                <c:pt idx="3" formatCode="#,##0">
                  <c:v>5261</c:v>
                </c:pt>
                <c:pt idx="4" formatCode="#,##0">
                  <c:v>5182</c:v>
                </c:pt>
                <c:pt idx="5" formatCode="#,##0">
                  <c:v>5142</c:v>
                </c:pt>
                <c:pt idx="6" formatCode="#,##0">
                  <c:v>3836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954240"/>
        <c:axId val="108944128"/>
        <c:axId val="0"/>
      </c:bar3DChart>
      <c:dateAx>
        <c:axId val="189542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08944128"/>
        <c:crosses val="autoZero"/>
        <c:auto val="1"/>
        <c:lblOffset val="100"/>
        <c:baseTimeUnit val="years"/>
        <c:majorUnit val="1"/>
        <c:minorUnit val="1"/>
      </c:dateAx>
      <c:valAx>
        <c:axId val="108944128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95424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October!$B$84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October!$C$83:$H$83</c:f>
              <c:numCache>
                <c:formatCode>[$-419]mmmm\ yyyy;@</c:formatCode>
                <c:ptCount val="6"/>
                <c:pt idx="0">
                  <c:v>42520</c:v>
                </c:pt>
                <c:pt idx="1">
                  <c:v>42551</c:v>
                </c:pt>
                <c:pt idx="2">
                  <c:v>42581</c:v>
                </c:pt>
                <c:pt idx="3">
                  <c:v>42612</c:v>
                </c:pt>
                <c:pt idx="4">
                  <c:v>42643</c:v>
                </c:pt>
                <c:pt idx="5">
                  <c:v>42673</c:v>
                </c:pt>
              </c:numCache>
            </c:numRef>
          </c:cat>
          <c:val>
            <c:numRef>
              <c:f>October!$C$84:$H$84</c:f>
              <c:numCache>
                <c:formatCode>#,##0</c:formatCode>
                <c:ptCount val="6"/>
                <c:pt idx="0">
                  <c:v>1018892</c:v>
                </c:pt>
                <c:pt idx="1">
                  <c:v>1028991</c:v>
                </c:pt>
                <c:pt idx="2">
                  <c:v>1033667</c:v>
                </c:pt>
                <c:pt idx="3">
                  <c:v>1040684</c:v>
                </c:pt>
                <c:pt idx="4">
                  <c:v>1049230</c:v>
                </c:pt>
                <c:pt idx="5">
                  <c:v>1061843</c:v>
                </c:pt>
              </c:numCache>
            </c:numRef>
          </c:val>
        </c:ser>
        <c:ser>
          <c:idx val="1"/>
          <c:order val="1"/>
          <c:tx>
            <c:strRef>
              <c:f>October!$B$85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October!$C$83:$H$83</c:f>
              <c:numCache>
                <c:formatCode>[$-419]mmmm\ yyyy;@</c:formatCode>
                <c:ptCount val="6"/>
                <c:pt idx="0">
                  <c:v>42520</c:v>
                </c:pt>
                <c:pt idx="1">
                  <c:v>42551</c:v>
                </c:pt>
                <c:pt idx="2">
                  <c:v>42581</c:v>
                </c:pt>
                <c:pt idx="3">
                  <c:v>42612</c:v>
                </c:pt>
                <c:pt idx="4">
                  <c:v>42643</c:v>
                </c:pt>
                <c:pt idx="5">
                  <c:v>42673</c:v>
                </c:pt>
              </c:numCache>
            </c:numRef>
          </c:cat>
          <c:val>
            <c:numRef>
              <c:f>October!$C$85:$H$85</c:f>
              <c:numCache>
                <c:formatCode>#,##0</c:formatCode>
                <c:ptCount val="6"/>
                <c:pt idx="0">
                  <c:v>19023</c:v>
                </c:pt>
                <c:pt idx="1">
                  <c:v>19118</c:v>
                </c:pt>
                <c:pt idx="2">
                  <c:v>19019</c:v>
                </c:pt>
                <c:pt idx="3">
                  <c:v>19083</c:v>
                </c:pt>
                <c:pt idx="4">
                  <c:v>19110</c:v>
                </c:pt>
                <c:pt idx="5">
                  <c:v>18990</c:v>
                </c:pt>
              </c:numCache>
            </c:numRef>
          </c:val>
        </c:ser>
        <c:ser>
          <c:idx val="2"/>
          <c:order val="2"/>
          <c:tx>
            <c:strRef>
              <c:f>October!$B$86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October!$C$83:$H$83</c:f>
              <c:numCache>
                <c:formatCode>[$-419]mmmm\ yyyy;@</c:formatCode>
                <c:ptCount val="6"/>
                <c:pt idx="0">
                  <c:v>42520</c:v>
                </c:pt>
                <c:pt idx="1">
                  <c:v>42551</c:v>
                </c:pt>
                <c:pt idx="2">
                  <c:v>42581</c:v>
                </c:pt>
                <c:pt idx="3">
                  <c:v>42612</c:v>
                </c:pt>
                <c:pt idx="4">
                  <c:v>42643</c:v>
                </c:pt>
                <c:pt idx="5">
                  <c:v>42673</c:v>
                </c:pt>
              </c:numCache>
            </c:numRef>
          </c:cat>
          <c:val>
            <c:numRef>
              <c:f>October!$C$86:$H$86</c:f>
              <c:numCache>
                <c:formatCode>#,##0</c:formatCode>
                <c:ptCount val="6"/>
                <c:pt idx="0">
                  <c:v>8928</c:v>
                </c:pt>
                <c:pt idx="1">
                  <c:v>9251</c:v>
                </c:pt>
                <c:pt idx="2">
                  <c:v>8797</c:v>
                </c:pt>
                <c:pt idx="3">
                  <c:v>8850</c:v>
                </c:pt>
                <c:pt idx="4">
                  <c:v>8966</c:v>
                </c:pt>
                <c:pt idx="5">
                  <c:v>9026</c:v>
                </c:pt>
              </c:numCache>
            </c:numRef>
          </c:val>
        </c:ser>
        <c:ser>
          <c:idx val="3"/>
          <c:order val="3"/>
          <c:tx>
            <c:strRef>
              <c:f>October!$B$87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October!$C$83:$H$83</c:f>
              <c:numCache>
                <c:formatCode>[$-419]mmmm\ yyyy;@</c:formatCode>
                <c:ptCount val="6"/>
                <c:pt idx="0">
                  <c:v>42520</c:v>
                </c:pt>
                <c:pt idx="1">
                  <c:v>42551</c:v>
                </c:pt>
                <c:pt idx="2">
                  <c:v>42581</c:v>
                </c:pt>
                <c:pt idx="3">
                  <c:v>42612</c:v>
                </c:pt>
                <c:pt idx="4">
                  <c:v>42643</c:v>
                </c:pt>
                <c:pt idx="5">
                  <c:v>42673</c:v>
                </c:pt>
              </c:numCache>
            </c:numRef>
          </c:cat>
          <c:val>
            <c:numRef>
              <c:f>October!$C$87:$H$87</c:f>
              <c:numCache>
                <c:formatCode>#,##0</c:formatCode>
                <c:ptCount val="6"/>
                <c:pt idx="0">
                  <c:v>1400</c:v>
                </c:pt>
                <c:pt idx="1">
                  <c:v>1412</c:v>
                </c:pt>
                <c:pt idx="2">
                  <c:v>1620</c:v>
                </c:pt>
                <c:pt idx="3">
                  <c:v>2017</c:v>
                </c:pt>
                <c:pt idx="4">
                  <c:v>2602</c:v>
                </c:pt>
                <c:pt idx="5">
                  <c:v>7021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8958336"/>
        <c:axId val="109701376"/>
        <c:axId val="0"/>
      </c:bar3DChart>
      <c:dateAx>
        <c:axId val="18958336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0970137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9701376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895833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November!$B$50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November!$C$50:$I$50</c:f>
              <c:numCache>
                <c:formatCode>General</c:formatCode>
                <c:ptCount val="7"/>
                <c:pt idx="2" formatCode="#,##0">
                  <c:v>772175</c:v>
                </c:pt>
                <c:pt idx="3" formatCode="#,##0">
                  <c:v>805549</c:v>
                </c:pt>
                <c:pt idx="4" formatCode="#,##0">
                  <c:v>881844</c:v>
                </c:pt>
                <c:pt idx="5" formatCode="#,##0">
                  <c:v>944559</c:v>
                </c:pt>
                <c:pt idx="6" formatCode="#,##0">
                  <c:v>1006751</c:v>
                </c:pt>
              </c:numCache>
            </c:numRef>
          </c:val>
        </c:ser>
        <c:ser>
          <c:idx val="1"/>
          <c:order val="1"/>
          <c:tx>
            <c:strRef>
              <c:f>November!$B$51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November!$C$51:$I$51</c:f>
              <c:numCache>
                <c:formatCode>General</c:formatCode>
                <c:ptCount val="7"/>
                <c:pt idx="2" formatCode="#,##0">
                  <c:v>16850</c:v>
                </c:pt>
                <c:pt idx="3" formatCode="#,##0">
                  <c:v>17821</c:v>
                </c:pt>
                <c:pt idx="4" formatCode="#,##0">
                  <c:v>19539</c:v>
                </c:pt>
                <c:pt idx="5" formatCode="#,##0">
                  <c:v>20178</c:v>
                </c:pt>
                <c:pt idx="6" formatCode="#,##0">
                  <c:v>20753</c:v>
                </c:pt>
              </c:numCache>
            </c:numRef>
          </c:val>
        </c:ser>
        <c:ser>
          <c:idx val="2"/>
          <c:order val="2"/>
          <c:tx>
            <c:strRef>
              <c:f>November!$B$52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November!$C$52:$I$52</c:f>
              <c:numCache>
                <c:formatCode>General</c:formatCode>
                <c:ptCount val="7"/>
                <c:pt idx="2" formatCode="#,##0">
                  <c:v>5058</c:v>
                </c:pt>
                <c:pt idx="3" formatCode="#,##0">
                  <c:v>5876</c:v>
                </c:pt>
                <c:pt idx="4" formatCode="#,##0">
                  <c:v>6957</c:v>
                </c:pt>
                <c:pt idx="5" formatCode="#,##0">
                  <c:v>7486</c:v>
                </c:pt>
                <c:pt idx="6" formatCode="#,##0">
                  <c:v>8729</c:v>
                </c:pt>
              </c:numCache>
            </c:numRef>
          </c:val>
        </c:ser>
        <c:ser>
          <c:idx val="3"/>
          <c:order val="3"/>
          <c:tx>
            <c:strRef>
              <c:f>November!$B$53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November!$C$49:$I$49</c:f>
              <c:numCache>
                <c:formatCode>General</c:formatCode>
                <c:ptCount val="7"/>
                <c:pt idx="2" formatCode="[$-419]mmmm\ yyyy;@">
                  <c:v>40908</c:v>
                </c:pt>
                <c:pt idx="3" formatCode="[$-419]mmmm\ yyyy;@">
                  <c:v>41274</c:v>
                </c:pt>
                <c:pt idx="4" formatCode="[$-419]mmmm\ yyyy;@">
                  <c:v>41639</c:v>
                </c:pt>
                <c:pt idx="5" formatCode="[$-419]mmmm\ yyyy;@">
                  <c:v>42004</c:v>
                </c:pt>
                <c:pt idx="6" formatCode="[$-419]mmmm\ yyyy;@">
                  <c:v>42369</c:v>
                </c:pt>
              </c:numCache>
            </c:numRef>
          </c:cat>
          <c:val>
            <c:numRef>
              <c:f>November!$C$53:$I$53</c:f>
              <c:numCache>
                <c:formatCode>General</c:formatCode>
                <c:ptCount val="7"/>
                <c:pt idx="2" formatCode="#,##0">
                  <c:v>5242</c:v>
                </c:pt>
                <c:pt idx="3" formatCode="#,##0">
                  <c:v>5261</c:v>
                </c:pt>
                <c:pt idx="4" formatCode="#,##0">
                  <c:v>5182</c:v>
                </c:pt>
                <c:pt idx="5" formatCode="#,##0">
                  <c:v>5142</c:v>
                </c:pt>
                <c:pt idx="6" formatCode="#,##0">
                  <c:v>3836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368960"/>
        <c:axId val="109703680"/>
        <c:axId val="0"/>
      </c:bar3DChart>
      <c:dateAx>
        <c:axId val="193689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09703680"/>
        <c:crosses val="autoZero"/>
        <c:auto val="1"/>
        <c:lblOffset val="100"/>
        <c:baseTimeUnit val="years"/>
        <c:majorUnit val="1"/>
        <c:minorUnit val="1"/>
      </c:dateAx>
      <c:valAx>
        <c:axId val="109703680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3689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November!$B$84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November!$C$83:$H$83</c:f>
              <c:numCache>
                <c:formatCode>[$-419]mmmm\ yyyy;@</c:formatCode>
                <c:ptCount val="6"/>
                <c:pt idx="0">
                  <c:v>42551</c:v>
                </c:pt>
                <c:pt idx="1">
                  <c:v>42581</c:v>
                </c:pt>
                <c:pt idx="2">
                  <c:v>42612</c:v>
                </c:pt>
                <c:pt idx="3">
                  <c:v>42643</c:v>
                </c:pt>
                <c:pt idx="4">
                  <c:v>42673</c:v>
                </c:pt>
                <c:pt idx="5">
                  <c:v>42704</c:v>
                </c:pt>
              </c:numCache>
            </c:numRef>
          </c:cat>
          <c:val>
            <c:numRef>
              <c:f>November!$C$84:$H$84</c:f>
              <c:numCache>
                <c:formatCode>#,##0</c:formatCode>
                <c:ptCount val="6"/>
                <c:pt idx="0">
                  <c:v>1028991</c:v>
                </c:pt>
                <c:pt idx="1">
                  <c:v>1033667</c:v>
                </c:pt>
                <c:pt idx="2">
                  <c:v>1040684</c:v>
                </c:pt>
                <c:pt idx="3">
                  <c:v>1049230</c:v>
                </c:pt>
                <c:pt idx="4">
                  <c:v>1061843</c:v>
                </c:pt>
                <c:pt idx="5">
                  <c:v>1080706</c:v>
                </c:pt>
              </c:numCache>
            </c:numRef>
          </c:val>
        </c:ser>
        <c:ser>
          <c:idx val="1"/>
          <c:order val="1"/>
          <c:tx>
            <c:strRef>
              <c:f>November!$B$85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November!$C$83:$H$83</c:f>
              <c:numCache>
                <c:formatCode>[$-419]mmmm\ yyyy;@</c:formatCode>
                <c:ptCount val="6"/>
                <c:pt idx="0">
                  <c:v>42551</c:v>
                </c:pt>
                <c:pt idx="1">
                  <c:v>42581</c:v>
                </c:pt>
                <c:pt idx="2">
                  <c:v>42612</c:v>
                </c:pt>
                <c:pt idx="3">
                  <c:v>42643</c:v>
                </c:pt>
                <c:pt idx="4">
                  <c:v>42673</c:v>
                </c:pt>
                <c:pt idx="5">
                  <c:v>42704</c:v>
                </c:pt>
              </c:numCache>
            </c:numRef>
          </c:cat>
          <c:val>
            <c:numRef>
              <c:f>November!$C$85:$H$85</c:f>
              <c:numCache>
                <c:formatCode>#,##0</c:formatCode>
                <c:ptCount val="6"/>
                <c:pt idx="0">
                  <c:v>19118</c:v>
                </c:pt>
                <c:pt idx="1">
                  <c:v>19019</c:v>
                </c:pt>
                <c:pt idx="2">
                  <c:v>19083</c:v>
                </c:pt>
                <c:pt idx="3">
                  <c:v>19110</c:v>
                </c:pt>
                <c:pt idx="4">
                  <c:v>18990</c:v>
                </c:pt>
                <c:pt idx="5">
                  <c:v>19037</c:v>
                </c:pt>
              </c:numCache>
            </c:numRef>
          </c:val>
        </c:ser>
        <c:ser>
          <c:idx val="2"/>
          <c:order val="2"/>
          <c:tx>
            <c:strRef>
              <c:f>November!$B$86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November!$C$83:$H$83</c:f>
              <c:numCache>
                <c:formatCode>[$-419]mmmm\ yyyy;@</c:formatCode>
                <c:ptCount val="6"/>
                <c:pt idx="0">
                  <c:v>42551</c:v>
                </c:pt>
                <c:pt idx="1">
                  <c:v>42581</c:v>
                </c:pt>
                <c:pt idx="2">
                  <c:v>42612</c:v>
                </c:pt>
                <c:pt idx="3">
                  <c:v>42643</c:v>
                </c:pt>
                <c:pt idx="4">
                  <c:v>42673</c:v>
                </c:pt>
                <c:pt idx="5">
                  <c:v>42704</c:v>
                </c:pt>
              </c:numCache>
            </c:numRef>
          </c:cat>
          <c:val>
            <c:numRef>
              <c:f>November!$C$86:$H$86</c:f>
              <c:numCache>
                <c:formatCode>#,##0</c:formatCode>
                <c:ptCount val="6"/>
                <c:pt idx="0">
                  <c:v>9251</c:v>
                </c:pt>
                <c:pt idx="1">
                  <c:v>8797</c:v>
                </c:pt>
                <c:pt idx="2">
                  <c:v>8850</c:v>
                </c:pt>
                <c:pt idx="3">
                  <c:v>8966</c:v>
                </c:pt>
                <c:pt idx="4">
                  <c:v>9026</c:v>
                </c:pt>
                <c:pt idx="5">
                  <c:v>9070</c:v>
                </c:pt>
              </c:numCache>
            </c:numRef>
          </c:val>
        </c:ser>
        <c:ser>
          <c:idx val="3"/>
          <c:order val="3"/>
          <c:tx>
            <c:strRef>
              <c:f>November!$B$87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November!$C$83:$H$83</c:f>
              <c:numCache>
                <c:formatCode>[$-419]mmmm\ yyyy;@</c:formatCode>
                <c:ptCount val="6"/>
                <c:pt idx="0">
                  <c:v>42551</c:v>
                </c:pt>
                <c:pt idx="1">
                  <c:v>42581</c:v>
                </c:pt>
                <c:pt idx="2">
                  <c:v>42612</c:v>
                </c:pt>
                <c:pt idx="3">
                  <c:v>42643</c:v>
                </c:pt>
                <c:pt idx="4">
                  <c:v>42673</c:v>
                </c:pt>
                <c:pt idx="5">
                  <c:v>42704</c:v>
                </c:pt>
              </c:numCache>
            </c:numRef>
          </c:cat>
          <c:val>
            <c:numRef>
              <c:f>November!$C$87:$H$87</c:f>
              <c:numCache>
                <c:formatCode>#,##0</c:formatCode>
                <c:ptCount val="6"/>
                <c:pt idx="0">
                  <c:v>1412</c:v>
                </c:pt>
                <c:pt idx="1">
                  <c:v>1620</c:v>
                </c:pt>
                <c:pt idx="2">
                  <c:v>2017</c:v>
                </c:pt>
                <c:pt idx="3">
                  <c:v>2602</c:v>
                </c:pt>
                <c:pt idx="4">
                  <c:v>7021</c:v>
                </c:pt>
                <c:pt idx="5">
                  <c:v>10116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19373568"/>
        <c:axId val="109705984"/>
        <c:axId val="0"/>
      </c:bar3DChart>
      <c:dateAx>
        <c:axId val="19373568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0970598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09705984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937356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2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6.6901408450704219E-2"/>
          <c:y val="2.6104468860733678E-2"/>
          <c:w val="0.92517605633802968"/>
          <c:h val="0.8815278330663142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December!$B$50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December!$C$50:$I$50</c:f>
              <c:numCache>
                <c:formatCode>General</c:formatCode>
                <c:ptCount val="7"/>
                <c:pt idx="2" formatCode="#,##0">
                  <c:v>805549</c:v>
                </c:pt>
                <c:pt idx="3" formatCode="#,##0">
                  <c:v>881844</c:v>
                </c:pt>
                <c:pt idx="4" formatCode="#,##0">
                  <c:v>944559</c:v>
                </c:pt>
                <c:pt idx="5" formatCode="#,##0">
                  <c:v>1006751</c:v>
                </c:pt>
                <c:pt idx="6" formatCode="#,##0">
                  <c:v>1102966</c:v>
                </c:pt>
              </c:numCache>
            </c:numRef>
          </c:val>
        </c:ser>
        <c:ser>
          <c:idx val="1"/>
          <c:order val="1"/>
          <c:tx>
            <c:strRef>
              <c:f>December!$B$51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December!$C$51:$I$51</c:f>
              <c:numCache>
                <c:formatCode>General</c:formatCode>
                <c:ptCount val="7"/>
                <c:pt idx="2" formatCode="#,##0">
                  <c:v>17821</c:v>
                </c:pt>
                <c:pt idx="3" formatCode="#,##0">
                  <c:v>19539</c:v>
                </c:pt>
                <c:pt idx="4" formatCode="#,##0">
                  <c:v>20178</c:v>
                </c:pt>
                <c:pt idx="5" formatCode="#,##0">
                  <c:v>20753</c:v>
                </c:pt>
                <c:pt idx="6" formatCode="#,##0">
                  <c:v>18622</c:v>
                </c:pt>
              </c:numCache>
            </c:numRef>
          </c:val>
        </c:ser>
        <c:ser>
          <c:idx val="2"/>
          <c:order val="2"/>
          <c:tx>
            <c:strRef>
              <c:f>December!$B$52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December!$C$52:$I$52</c:f>
              <c:numCache>
                <c:formatCode>General</c:formatCode>
                <c:ptCount val="7"/>
                <c:pt idx="2" formatCode="#,##0">
                  <c:v>5876</c:v>
                </c:pt>
                <c:pt idx="3" formatCode="#,##0">
                  <c:v>6957</c:v>
                </c:pt>
                <c:pt idx="4" formatCode="#,##0">
                  <c:v>7486</c:v>
                </c:pt>
                <c:pt idx="5" formatCode="#,##0">
                  <c:v>8729</c:v>
                </c:pt>
                <c:pt idx="6" formatCode="#,##0">
                  <c:v>9215</c:v>
                </c:pt>
              </c:numCache>
            </c:numRef>
          </c:val>
        </c:ser>
        <c:ser>
          <c:idx val="3"/>
          <c:order val="3"/>
          <c:tx>
            <c:strRef>
              <c:f>December!$B$53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December!$C$49:$I$49</c:f>
              <c:numCache>
                <c:formatCode>General</c:formatCode>
                <c:ptCount val="7"/>
                <c:pt idx="2" formatCode="[$-419]mmmm\ yyyy;@">
                  <c:v>41274</c:v>
                </c:pt>
                <c:pt idx="3" formatCode="[$-419]mmmm\ yyyy;@">
                  <c:v>41639</c:v>
                </c:pt>
                <c:pt idx="4" formatCode="[$-419]mmmm\ yyyy;@">
                  <c:v>42004</c:v>
                </c:pt>
                <c:pt idx="5" formatCode="[$-419]mmmm\ yyyy;@">
                  <c:v>42369</c:v>
                </c:pt>
                <c:pt idx="6" formatCode="[$-419]mmmm\ yyyy;@">
                  <c:v>42735</c:v>
                </c:pt>
              </c:numCache>
            </c:numRef>
          </c:cat>
          <c:val>
            <c:numRef>
              <c:f>December!$C$53:$I$53</c:f>
              <c:numCache>
                <c:formatCode>General</c:formatCode>
                <c:ptCount val="7"/>
                <c:pt idx="2" formatCode="#,##0">
                  <c:v>5261</c:v>
                </c:pt>
                <c:pt idx="3" formatCode="#,##0">
                  <c:v>5182</c:v>
                </c:pt>
                <c:pt idx="4" formatCode="#,##0">
                  <c:v>5142</c:v>
                </c:pt>
                <c:pt idx="5" formatCode="#,##0">
                  <c:v>3836</c:v>
                </c:pt>
                <c:pt idx="6" formatCode="#,##0">
                  <c:v>10694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1158400"/>
        <c:axId val="112731264"/>
        <c:axId val="0"/>
      </c:bar3DChart>
      <c:dateAx>
        <c:axId val="2115840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12731264"/>
        <c:crosses val="autoZero"/>
        <c:auto val="1"/>
        <c:lblOffset val="100"/>
        <c:baseTimeUnit val="years"/>
        <c:majorUnit val="1"/>
        <c:minorUnit val="1"/>
      </c:dateAx>
      <c:valAx>
        <c:axId val="112731264"/>
        <c:scaling>
          <c:orientation val="minMax"/>
          <c:max val="1100000"/>
          <c:min val="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115840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hPercent val="46"/>
      <c:rotY val="20"/>
      <c:depthPercent val="50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866197183098746E-2"/>
          <c:y val="2.6465052783344229E-2"/>
          <c:w val="0.90404929577464788"/>
          <c:h val="0.8846889073289329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December!$B$84</c:f>
              <c:strCache>
                <c:ptCount val="1"/>
                <c:pt idx="0">
                  <c:v>Физические лица</c:v>
                </c:pt>
              </c:strCache>
            </c:strRef>
          </c:tx>
          <c:spPr>
            <a:solidFill>
              <a:srgbClr val="E3E3E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December!$C$83:$H$83</c:f>
              <c:numCache>
                <c:formatCode>[$-419]mmmm\ yyyy;@</c:formatCode>
                <c:ptCount val="6"/>
                <c:pt idx="0">
                  <c:v>42581</c:v>
                </c:pt>
                <c:pt idx="1">
                  <c:v>42612</c:v>
                </c:pt>
                <c:pt idx="2">
                  <c:v>42643</c:v>
                </c:pt>
                <c:pt idx="3">
                  <c:v>42673</c:v>
                </c:pt>
                <c:pt idx="4">
                  <c:v>42704</c:v>
                </c:pt>
                <c:pt idx="5">
                  <c:v>42734</c:v>
                </c:pt>
              </c:numCache>
            </c:numRef>
          </c:cat>
          <c:val>
            <c:numRef>
              <c:f>December!$C$84:$H$84</c:f>
              <c:numCache>
                <c:formatCode>#,##0</c:formatCode>
                <c:ptCount val="6"/>
                <c:pt idx="0">
                  <c:v>1033667</c:v>
                </c:pt>
                <c:pt idx="1">
                  <c:v>1040684</c:v>
                </c:pt>
                <c:pt idx="2">
                  <c:v>1049230</c:v>
                </c:pt>
                <c:pt idx="3">
                  <c:v>1061843</c:v>
                </c:pt>
                <c:pt idx="4">
                  <c:v>1080706</c:v>
                </c:pt>
                <c:pt idx="5">
                  <c:v>1102966</c:v>
                </c:pt>
              </c:numCache>
            </c:numRef>
          </c:val>
        </c:ser>
        <c:ser>
          <c:idx val="1"/>
          <c:order val="1"/>
          <c:tx>
            <c:strRef>
              <c:f>December!$B$85</c:f>
              <c:strCache>
                <c:ptCount val="1"/>
                <c:pt idx="0">
                  <c:v>Юридические лица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December!$C$83:$H$83</c:f>
              <c:numCache>
                <c:formatCode>[$-419]mmmm\ yyyy;@</c:formatCode>
                <c:ptCount val="6"/>
                <c:pt idx="0">
                  <c:v>42581</c:v>
                </c:pt>
                <c:pt idx="1">
                  <c:v>42612</c:v>
                </c:pt>
                <c:pt idx="2">
                  <c:v>42643</c:v>
                </c:pt>
                <c:pt idx="3">
                  <c:v>42673</c:v>
                </c:pt>
                <c:pt idx="4">
                  <c:v>42704</c:v>
                </c:pt>
                <c:pt idx="5">
                  <c:v>42734</c:v>
                </c:pt>
              </c:numCache>
            </c:numRef>
          </c:cat>
          <c:val>
            <c:numRef>
              <c:f>December!$C$85:$H$85</c:f>
              <c:numCache>
                <c:formatCode>#,##0</c:formatCode>
                <c:ptCount val="6"/>
                <c:pt idx="0">
                  <c:v>19019</c:v>
                </c:pt>
                <c:pt idx="1">
                  <c:v>19083</c:v>
                </c:pt>
                <c:pt idx="2">
                  <c:v>19110</c:v>
                </c:pt>
                <c:pt idx="3">
                  <c:v>18990</c:v>
                </c:pt>
                <c:pt idx="4">
                  <c:v>19037</c:v>
                </c:pt>
                <c:pt idx="5">
                  <c:v>18622</c:v>
                </c:pt>
              </c:numCache>
            </c:numRef>
          </c:val>
        </c:ser>
        <c:ser>
          <c:idx val="2"/>
          <c:order val="2"/>
          <c:tx>
            <c:strRef>
              <c:f>December!$B$86</c:f>
              <c:strCache>
                <c:ptCount val="1"/>
                <c:pt idx="0">
                  <c:v>Иностранные лица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December!$C$83:$H$83</c:f>
              <c:numCache>
                <c:formatCode>[$-419]mmmm\ yyyy;@</c:formatCode>
                <c:ptCount val="6"/>
                <c:pt idx="0">
                  <c:v>42581</c:v>
                </c:pt>
                <c:pt idx="1">
                  <c:v>42612</c:v>
                </c:pt>
                <c:pt idx="2">
                  <c:v>42643</c:v>
                </c:pt>
                <c:pt idx="3">
                  <c:v>42673</c:v>
                </c:pt>
                <c:pt idx="4">
                  <c:v>42704</c:v>
                </c:pt>
                <c:pt idx="5">
                  <c:v>42734</c:v>
                </c:pt>
              </c:numCache>
            </c:numRef>
          </c:cat>
          <c:val>
            <c:numRef>
              <c:f>December!$C$86:$H$86</c:f>
              <c:numCache>
                <c:formatCode>#,##0</c:formatCode>
                <c:ptCount val="6"/>
                <c:pt idx="0">
                  <c:v>8797</c:v>
                </c:pt>
                <c:pt idx="1">
                  <c:v>8850</c:v>
                </c:pt>
                <c:pt idx="2">
                  <c:v>8966</c:v>
                </c:pt>
                <c:pt idx="3">
                  <c:v>9026</c:v>
                </c:pt>
                <c:pt idx="4">
                  <c:v>9070</c:v>
                </c:pt>
                <c:pt idx="5">
                  <c:v>9215</c:v>
                </c:pt>
              </c:numCache>
            </c:numRef>
          </c:val>
        </c:ser>
        <c:ser>
          <c:idx val="3"/>
          <c:order val="3"/>
          <c:tx>
            <c:strRef>
              <c:f>December!$B$87</c:f>
              <c:strCache>
                <c:ptCount val="1"/>
                <c:pt idx="0">
                  <c:v>Клиенты, передавшие свои средства в ДУ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December!$C$83:$H$83</c:f>
              <c:numCache>
                <c:formatCode>[$-419]mmmm\ yyyy;@</c:formatCode>
                <c:ptCount val="6"/>
                <c:pt idx="0">
                  <c:v>42581</c:v>
                </c:pt>
                <c:pt idx="1">
                  <c:v>42612</c:v>
                </c:pt>
                <c:pt idx="2">
                  <c:v>42643</c:v>
                </c:pt>
                <c:pt idx="3">
                  <c:v>42673</c:v>
                </c:pt>
                <c:pt idx="4">
                  <c:v>42704</c:v>
                </c:pt>
                <c:pt idx="5">
                  <c:v>42734</c:v>
                </c:pt>
              </c:numCache>
            </c:numRef>
          </c:cat>
          <c:val>
            <c:numRef>
              <c:f>December!$C$87:$H$87</c:f>
              <c:numCache>
                <c:formatCode>#,##0</c:formatCode>
                <c:ptCount val="6"/>
                <c:pt idx="0">
                  <c:v>1620</c:v>
                </c:pt>
                <c:pt idx="1">
                  <c:v>2017</c:v>
                </c:pt>
                <c:pt idx="2">
                  <c:v>2602</c:v>
                </c:pt>
                <c:pt idx="3">
                  <c:v>7021</c:v>
                </c:pt>
                <c:pt idx="4">
                  <c:v>10116</c:v>
                </c:pt>
                <c:pt idx="5">
                  <c:v>10694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21165568"/>
        <c:axId val="112733568"/>
        <c:axId val="0"/>
      </c:bar3DChart>
      <c:dateAx>
        <c:axId val="21165568"/>
        <c:scaling>
          <c:orientation val="minMax"/>
        </c:scaling>
        <c:delete val="0"/>
        <c:axPos val="b"/>
        <c:numFmt formatCode="[$-419]mmm\ yyyy;@" sourceLinked="0"/>
        <c:majorTickMark val="out"/>
        <c:minorTickMark val="none"/>
        <c:tickLblPos val="low"/>
        <c:spPr>
          <a:ln w="9525">
            <a:noFill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11273356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12733568"/>
        <c:scaling>
          <c:orientation val="minMax"/>
          <c:max val="1100000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entury Gothic"/>
                <a:ea typeface="Century Gothic"/>
                <a:cs typeface="Century Gothic"/>
              </a:defRPr>
            </a:pPr>
            <a:endParaRPr lang="ru-RU"/>
          </a:p>
        </c:txPr>
        <c:crossAx val="2116556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ru-RU"/>
    </a:p>
  </c:txPr>
  <c:printSettings>
    <c:headerFooter alignWithMargins="0"/>
    <c:pageMargins b="1" l="0.75000000000000144" r="0.75000000000000144" t="1" header="0.5" footer="0.5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49505" name="Object 1" hidden="1">
              <a:extLst>
                <a:ext uri="{63B3BB69-23CF-44E3-9099-C40C66FF867C}">
                  <a14:compatExt spid="_x0000_s14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50529" name="Object 1" hidden="1">
              <a:extLst>
                <a:ext uri="{63B3BB69-23CF-44E3-9099-C40C66FF867C}">
                  <a14:compatExt spid="_x0000_s15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51553" name="Object 1" hidden="1">
              <a:extLst>
                <a:ext uri="{63B3BB69-23CF-44E3-9099-C40C66FF867C}">
                  <a14:compatExt spid="_x0000_s151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52577" name="Object 1" hidden="1">
              <a:extLst>
                <a:ext uri="{63B3BB69-23CF-44E3-9099-C40C66FF867C}">
                  <a14:compatExt spid="_x0000_s15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53601" name="Object 1" hidden="1">
              <a:extLst>
                <a:ext uri="{63B3BB69-23CF-44E3-9099-C40C66FF867C}">
                  <a14:compatExt spid="_x0000_s153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54625" name="Object 1" hidden="1">
              <a:extLst>
                <a:ext uri="{63B3BB69-23CF-44E3-9099-C40C66FF867C}">
                  <a14:compatExt spid="_x0000_s154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55649" name="Object 1" hidden="1">
              <a:extLst>
                <a:ext uri="{63B3BB69-23CF-44E3-9099-C40C66FF867C}">
                  <a14:compatExt spid="_x0000_s155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56673" name="Object 1" hidden="1">
              <a:extLst>
                <a:ext uri="{63B3BB69-23CF-44E3-9099-C40C66FF867C}">
                  <a14:compatExt spid="_x0000_s156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57697" name="Object 1" hidden="1">
              <a:extLst>
                <a:ext uri="{63B3BB69-23CF-44E3-9099-C40C66FF867C}">
                  <a14:compatExt spid="_x0000_s157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58721" name="Object 1" hidden="1">
              <a:extLst>
                <a:ext uri="{63B3BB69-23CF-44E3-9099-C40C66FF867C}">
                  <a14:compatExt spid="_x0000_s158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59745" name="Object 1" hidden="1">
              <a:extLst>
                <a:ext uri="{63B3BB69-23CF-44E3-9099-C40C66FF867C}">
                  <a14:compatExt spid="_x0000_s159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54</xdr:row>
      <xdr:rowOff>123825</xdr:rowOff>
    </xdr:from>
    <xdr:to>
      <xdr:col>9</xdr:col>
      <xdr:colOff>19049</xdr:colOff>
      <xdr:row>80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89</xdr:row>
      <xdr:rowOff>161925</xdr:rowOff>
    </xdr:from>
    <xdr:to>
      <xdr:col>7</xdr:col>
      <xdr:colOff>1228725</xdr:colOff>
      <xdr:row>119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72</xdr:row>
          <xdr:rowOff>123825</xdr:rowOff>
        </xdr:from>
        <xdr:to>
          <xdr:col>1</xdr:col>
          <xdr:colOff>257175</xdr:colOff>
          <xdr:row>74</xdr:row>
          <xdr:rowOff>0</xdr:rowOff>
        </xdr:to>
        <xdr:sp macro="" textlink="">
          <xdr:nvSpPr>
            <xdr:cNvPr id="160769" name="Object 1" hidden="1">
              <a:extLst>
                <a:ext uri="{63B3BB69-23CF-44E3-9099-C40C66FF867C}">
                  <a14:compatExt spid="_x0000_s160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Documents%20and%20Settings\malina\&#1056;&#1072;&#1073;&#1086;&#1095;&#1080;&#1081;%20&#1089;&#1090;&#1086;&#1083;\&#1082;&#1083;&#1080;&#1077;&#1085;&#1090;&#1099;\&#1047;&#1072;&#1088;&#1077;&#1075;&#1080;&#1089;&#1090;&#1088;&#1080;&#1088;&#1086;&#1074;&#1072;&#1085;&#1085;&#1099;&#1077;201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Январь2012!R1C2:R10C9" advise="1"/>
        </mc:Choice>
        <mc:Fallback>
          <oleItem name="!Январь2012!R1C2:R10C9" advise="1"/>
        </mc:Fallback>
      </mc:AlternateContent>
    </oleItems>
  </oleLin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7">
    <pageSetUpPr fitToPage="1"/>
  </sheetPr>
  <dimension ref="B2:N180"/>
  <sheetViews>
    <sheetView topLeftCell="A19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55" t="s">
        <v>14</v>
      </c>
      <c r="C2" s="155"/>
      <c r="D2" s="155"/>
      <c r="E2" s="155"/>
      <c r="F2" s="155"/>
      <c r="G2" s="155"/>
      <c r="H2" s="155"/>
    </row>
    <row r="3" spans="2:14" s="1" customFormat="1" ht="21" thickBot="1">
      <c r="B3" s="156">
        <v>42400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19</v>
      </c>
      <c r="C6" s="62">
        <f>B3</f>
        <v>42400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34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57" t="s">
        <v>17</v>
      </c>
      <c r="C11" s="157"/>
      <c r="D11" s="158"/>
      <c r="E11" s="67">
        <f>EDATE(B3,-1)</f>
        <v>42369</v>
      </c>
      <c r="F11" s="67">
        <f>B3</f>
        <v>42400</v>
      </c>
      <c r="G11" s="44" t="s">
        <v>9</v>
      </c>
      <c r="H11" s="44" t="s">
        <v>10</v>
      </c>
      <c r="J11" s="71"/>
    </row>
    <row r="12" spans="2:14" s="70" customFormat="1" ht="17.25">
      <c r="B12" s="153" t="s">
        <v>0</v>
      </c>
      <c r="C12" s="153"/>
      <c r="D12" s="154"/>
      <c r="E12" s="78">
        <v>1296101</v>
      </c>
      <c r="F12" s="78">
        <v>1307886</v>
      </c>
      <c r="G12" s="11">
        <f>F12-E12</f>
        <v>11785</v>
      </c>
      <c r="H12" s="58">
        <f t="shared" ref="H12:H18" si="0">F12/E12-1</f>
        <v>9.0926555877974824E-3</v>
      </c>
      <c r="I12" s="79"/>
      <c r="J12" s="80"/>
    </row>
    <row r="13" spans="2:14" s="70" customFormat="1" ht="17.25">
      <c r="B13" s="147" t="s">
        <v>1</v>
      </c>
      <c r="C13" s="147"/>
      <c r="D13" s="148"/>
      <c r="E13" s="78">
        <v>34512</v>
      </c>
      <c r="F13" s="78">
        <v>34500</v>
      </c>
      <c r="G13" s="11">
        <f t="shared" ref="G13:G18" si="1">F13-E13</f>
        <v>-12</v>
      </c>
      <c r="H13" s="58">
        <f t="shared" si="0"/>
        <v>-3.4770514603621461E-4</v>
      </c>
      <c r="I13" s="79"/>
      <c r="J13" s="80"/>
    </row>
    <row r="14" spans="2:14" s="70" customFormat="1" ht="17.25">
      <c r="B14" s="147" t="s">
        <v>48</v>
      </c>
      <c r="C14" s="147"/>
      <c r="D14" s="148"/>
      <c r="E14" s="78">
        <v>13405</v>
      </c>
      <c r="F14" s="78">
        <v>13437</v>
      </c>
      <c r="G14" s="11">
        <f t="shared" si="1"/>
        <v>32</v>
      </c>
      <c r="H14" s="58">
        <f t="shared" si="0"/>
        <v>2.3871689668033547E-3</v>
      </c>
      <c r="I14" s="79"/>
      <c r="J14" s="80"/>
    </row>
    <row r="15" spans="2:14" s="70" customFormat="1" ht="17.25">
      <c r="B15" s="149" t="s">
        <v>49</v>
      </c>
      <c r="C15" s="149"/>
      <c r="D15" s="150"/>
      <c r="E15" s="78">
        <v>4571</v>
      </c>
      <c r="F15" s="78">
        <v>4650</v>
      </c>
      <c r="G15" s="11">
        <f t="shared" si="1"/>
        <v>79</v>
      </c>
      <c r="H15" s="58">
        <f t="shared" si="0"/>
        <v>1.7282870269087702E-2</v>
      </c>
      <c r="I15" s="79"/>
      <c r="J15" s="80"/>
    </row>
    <row r="16" spans="2:14" s="70" customFormat="1" ht="17.25">
      <c r="B16" s="151" t="s">
        <v>50</v>
      </c>
      <c r="C16" s="151"/>
      <c r="D16" s="152"/>
      <c r="E16" s="78">
        <v>8834</v>
      </c>
      <c r="F16" s="78">
        <v>8787</v>
      </c>
      <c r="G16" s="11">
        <f t="shared" si="1"/>
        <v>-47</v>
      </c>
      <c r="H16" s="58">
        <f t="shared" si="0"/>
        <v>-5.320353180891968E-3</v>
      </c>
      <c r="I16" s="79"/>
      <c r="J16" s="80"/>
    </row>
    <row r="17" spans="2:10" s="70" customFormat="1" ht="18" customHeight="1" thickBot="1">
      <c r="B17" s="145" t="s">
        <v>2</v>
      </c>
      <c r="C17" s="145"/>
      <c r="D17" s="146"/>
      <c r="E17" s="78">
        <v>16540</v>
      </c>
      <c r="F17" s="78">
        <v>15249</v>
      </c>
      <c r="G17" s="11">
        <f t="shared" si="1"/>
        <v>-1291</v>
      </c>
      <c r="H17" s="58">
        <f t="shared" si="0"/>
        <v>-7.8053204353083383E-2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v>1360558</v>
      </c>
      <c r="F18" s="66">
        <v>1371072</v>
      </c>
      <c r="G18" s="66">
        <f t="shared" si="1"/>
        <v>10514</v>
      </c>
      <c r="H18" s="63">
        <f t="shared" si="0"/>
        <v>7.7277117182803501E-3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35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57" t="s">
        <v>17</v>
      </c>
      <c r="C22" s="157"/>
      <c r="D22" s="158"/>
      <c r="E22" s="67">
        <f>E11</f>
        <v>42369</v>
      </c>
      <c r="F22" s="67">
        <f>F11</f>
        <v>42400</v>
      </c>
      <c r="G22" s="44" t="s">
        <v>9</v>
      </c>
      <c r="H22" s="44" t="s">
        <v>10</v>
      </c>
      <c r="J22" s="71"/>
    </row>
    <row r="23" spans="2:10" s="70" customFormat="1" ht="17.25">
      <c r="B23" s="153" t="s">
        <v>0</v>
      </c>
      <c r="C23" s="153"/>
      <c r="D23" s="154"/>
      <c r="E23" s="78">
        <v>1006751</v>
      </c>
      <c r="F23" s="78">
        <v>1012875</v>
      </c>
      <c r="G23" s="11">
        <f>F23-E23</f>
        <v>6124</v>
      </c>
      <c r="H23" s="58">
        <f>F23/E23-1</f>
        <v>6.0829341118111557E-3</v>
      </c>
      <c r="I23" s="80"/>
    </row>
    <row r="24" spans="2:10" s="70" customFormat="1" ht="17.25">
      <c r="B24" s="147" t="s">
        <v>1</v>
      </c>
      <c r="C24" s="147"/>
      <c r="D24" s="148"/>
      <c r="E24" s="78">
        <v>20753</v>
      </c>
      <c r="F24" s="78">
        <v>20804</v>
      </c>
      <c r="G24" s="11">
        <f t="shared" ref="G24:G29" si="2">F24-E24</f>
        <v>51</v>
      </c>
      <c r="H24" s="58">
        <f t="shared" ref="H24:H29" si="3">F24/E24-1</f>
        <v>2.4574760275621887E-3</v>
      </c>
      <c r="I24" s="80"/>
    </row>
    <row r="25" spans="2:10" s="70" customFormat="1" ht="17.25">
      <c r="B25" s="147" t="s">
        <v>48</v>
      </c>
      <c r="C25" s="147"/>
      <c r="D25" s="148"/>
      <c r="E25" s="78">
        <v>8729</v>
      </c>
      <c r="F25" s="78">
        <v>8764</v>
      </c>
      <c r="G25" s="11">
        <f t="shared" si="2"/>
        <v>35</v>
      </c>
      <c r="H25" s="58">
        <f t="shared" si="3"/>
        <v>4.0096230954289602E-3</v>
      </c>
      <c r="I25" s="80"/>
    </row>
    <row r="26" spans="2:10" s="70" customFormat="1" ht="17.25">
      <c r="B26" s="149" t="s">
        <v>49</v>
      </c>
      <c r="C26" s="149"/>
      <c r="D26" s="150"/>
      <c r="E26" s="78">
        <v>4315</v>
      </c>
      <c r="F26" s="78">
        <v>4377</v>
      </c>
      <c r="G26" s="11">
        <f t="shared" si="2"/>
        <v>62</v>
      </c>
      <c r="H26" s="58">
        <f t="shared" si="3"/>
        <v>1.4368482039397446E-2</v>
      </c>
      <c r="I26" s="80"/>
    </row>
    <row r="27" spans="2:10" s="70" customFormat="1" ht="17.25">
      <c r="B27" s="151" t="s">
        <v>50</v>
      </c>
      <c r="C27" s="151"/>
      <c r="D27" s="152"/>
      <c r="E27" s="78">
        <v>4414</v>
      </c>
      <c r="F27" s="78">
        <v>4387</v>
      </c>
      <c r="G27" s="11">
        <f t="shared" si="2"/>
        <v>-27</v>
      </c>
      <c r="H27" s="58">
        <f t="shared" si="3"/>
        <v>-6.1169007702763789E-3</v>
      </c>
      <c r="I27" s="80"/>
    </row>
    <row r="28" spans="2:10" s="70" customFormat="1" ht="18" customHeight="1" thickBot="1">
      <c r="B28" s="145" t="s">
        <v>2</v>
      </c>
      <c r="C28" s="145"/>
      <c r="D28" s="146"/>
      <c r="E28" s="78">
        <v>3836</v>
      </c>
      <c r="F28" s="78">
        <v>3848</v>
      </c>
      <c r="G28" s="11">
        <f t="shared" si="2"/>
        <v>12</v>
      </c>
      <c r="H28" s="58">
        <f t="shared" si="3"/>
        <v>3.1282586027112647E-3</v>
      </c>
      <c r="I28" s="80"/>
    </row>
    <row r="29" spans="2:10" s="64" customFormat="1" ht="18" thickBot="1">
      <c r="B29" s="59" t="s">
        <v>3</v>
      </c>
      <c r="C29" s="59"/>
      <c r="D29" s="60"/>
      <c r="E29" s="66">
        <v>1040069</v>
      </c>
      <c r="F29" s="66">
        <v>1046291</v>
      </c>
      <c r="G29" s="66">
        <f t="shared" si="2"/>
        <v>6222</v>
      </c>
      <c r="H29" s="63">
        <f t="shared" si="3"/>
        <v>5.9822954054009614E-3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15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4" t="s">
        <v>17</v>
      </c>
      <c r="C33" s="124"/>
      <c r="D33" s="125"/>
      <c r="E33" s="67">
        <f>E11</f>
        <v>42369</v>
      </c>
      <c r="F33" s="67">
        <f>F11</f>
        <v>42400</v>
      </c>
      <c r="G33" s="16" t="s">
        <v>9</v>
      </c>
      <c r="H33" s="16" t="s">
        <v>10</v>
      </c>
    </row>
    <row r="34" spans="2:9" ht="17.25">
      <c r="B34" s="153" t="s">
        <v>0</v>
      </c>
      <c r="C34" s="153"/>
      <c r="D34" s="154"/>
      <c r="E34" s="72">
        <v>74911</v>
      </c>
      <c r="F34" s="72">
        <v>71231</v>
      </c>
      <c r="G34" s="11">
        <f t="shared" ref="G34:G40" si="4">F34-E34</f>
        <v>-3680</v>
      </c>
      <c r="H34" s="58">
        <f t="shared" ref="H34:H40" si="5">F34/E34-1</f>
        <v>-4.9124961621123786E-2</v>
      </c>
      <c r="I34" s="57"/>
    </row>
    <row r="35" spans="2:9" ht="17.25">
      <c r="B35" s="147" t="s">
        <v>1</v>
      </c>
      <c r="C35" s="147"/>
      <c r="D35" s="148"/>
      <c r="E35" s="72">
        <v>1188</v>
      </c>
      <c r="F35" s="72">
        <v>927</v>
      </c>
      <c r="G35" s="11">
        <f t="shared" si="4"/>
        <v>-261</v>
      </c>
      <c r="H35" s="58">
        <f t="shared" si="5"/>
        <v>-0.21969696969696972</v>
      </c>
      <c r="I35" s="57"/>
    </row>
    <row r="36" spans="2:9" ht="17.25">
      <c r="B36" s="147" t="s">
        <v>48</v>
      </c>
      <c r="C36" s="147"/>
      <c r="D36" s="148"/>
      <c r="E36" s="72">
        <v>659</v>
      </c>
      <c r="F36" s="72">
        <v>567</v>
      </c>
      <c r="G36" s="11">
        <f t="shared" si="4"/>
        <v>-92</v>
      </c>
      <c r="H36" s="58">
        <f t="shared" si="5"/>
        <v>-0.13960546282245823</v>
      </c>
      <c r="I36" s="57"/>
    </row>
    <row r="37" spans="2:9" ht="17.25">
      <c r="B37" s="149" t="s">
        <v>49</v>
      </c>
      <c r="C37" s="149"/>
      <c r="D37" s="150"/>
      <c r="E37" s="72">
        <v>305</v>
      </c>
      <c r="F37" s="72">
        <v>264</v>
      </c>
      <c r="G37" s="11">
        <f t="shared" si="4"/>
        <v>-41</v>
      </c>
      <c r="H37" s="58">
        <f t="shared" si="5"/>
        <v>-0.13442622950819672</v>
      </c>
      <c r="I37" s="57"/>
    </row>
    <row r="38" spans="2:9" ht="17.25">
      <c r="B38" s="151" t="s">
        <v>50</v>
      </c>
      <c r="C38" s="151"/>
      <c r="D38" s="152"/>
      <c r="E38" s="72">
        <v>354</v>
      </c>
      <c r="F38" s="72">
        <v>303</v>
      </c>
      <c r="G38" s="11">
        <f t="shared" si="4"/>
        <v>-51</v>
      </c>
      <c r="H38" s="58">
        <f t="shared" si="5"/>
        <v>-0.14406779661016944</v>
      </c>
      <c r="I38" s="57"/>
    </row>
    <row r="39" spans="2:9" ht="18" customHeight="1" thickBot="1">
      <c r="B39" s="145" t="s">
        <v>2</v>
      </c>
      <c r="C39" s="145"/>
      <c r="D39" s="146"/>
      <c r="E39" s="72">
        <v>474</v>
      </c>
      <c r="F39" s="72">
        <v>497</v>
      </c>
      <c r="G39" s="11">
        <f t="shared" si="4"/>
        <v>23</v>
      </c>
      <c r="H39" s="58">
        <f t="shared" si="5"/>
        <v>4.8523206751054815E-2</v>
      </c>
      <c r="I39" s="57"/>
    </row>
    <row r="40" spans="2:9" s="64" customFormat="1" ht="18" thickBot="1">
      <c r="B40" s="59" t="s">
        <v>3</v>
      </c>
      <c r="C40" s="59"/>
      <c r="D40" s="60"/>
      <c r="E40" s="66">
        <v>77232</v>
      </c>
      <c r="F40" s="66">
        <v>73222</v>
      </c>
      <c r="G40" s="66">
        <f t="shared" si="4"/>
        <v>-4010</v>
      </c>
      <c r="H40" s="63">
        <f t="shared" si="5"/>
        <v>-5.1921483322974971E-2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16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36</v>
      </c>
      <c r="C48" s="23"/>
      <c r="D48" s="23"/>
      <c r="E48" s="23"/>
      <c r="F48" s="23"/>
      <c r="G48" s="23"/>
      <c r="H48" s="128" t="s">
        <v>12</v>
      </c>
      <c r="I48" s="128"/>
    </row>
    <row r="49" spans="2:9" ht="15.75" thickBot="1">
      <c r="B49" s="124" t="s">
        <v>17</v>
      </c>
      <c r="C49" s="124"/>
      <c r="D49" s="125"/>
      <c r="E49" s="67">
        <v>40908</v>
      </c>
      <c r="F49" s="67">
        <v>41274</v>
      </c>
      <c r="G49" s="67">
        <v>41639</v>
      </c>
      <c r="H49" s="67">
        <v>42004</v>
      </c>
      <c r="I49" s="67">
        <v>42369</v>
      </c>
    </row>
    <row r="50" spans="2:9" ht="17.25">
      <c r="B50" s="129" t="s">
        <v>0</v>
      </c>
      <c r="C50" s="129"/>
      <c r="D50" s="130"/>
      <c r="E50" s="74">
        <v>772175</v>
      </c>
      <c r="F50" s="74">
        <v>805549</v>
      </c>
      <c r="G50" s="74">
        <v>881844</v>
      </c>
      <c r="H50" s="74">
        <v>944559</v>
      </c>
      <c r="I50" s="74">
        <v>1006751</v>
      </c>
    </row>
    <row r="51" spans="2:9" ht="17.25">
      <c r="B51" s="131" t="s">
        <v>1</v>
      </c>
      <c r="C51" s="131"/>
      <c r="D51" s="132"/>
      <c r="E51" s="75">
        <v>16850</v>
      </c>
      <c r="F51" s="75">
        <v>17821</v>
      </c>
      <c r="G51" s="75">
        <v>19539</v>
      </c>
      <c r="H51" s="75">
        <v>20178</v>
      </c>
      <c r="I51" s="75">
        <v>20753</v>
      </c>
    </row>
    <row r="52" spans="2:9" ht="17.25">
      <c r="B52" s="133" t="s">
        <v>48</v>
      </c>
      <c r="C52" s="133"/>
      <c r="D52" s="134"/>
      <c r="E52" s="77">
        <v>5058</v>
      </c>
      <c r="F52" s="77">
        <v>5876</v>
      </c>
      <c r="G52" s="77">
        <v>6957</v>
      </c>
      <c r="H52" s="77">
        <v>7486</v>
      </c>
      <c r="I52" s="77">
        <v>8729</v>
      </c>
    </row>
    <row r="53" spans="2:9" ht="18" thickBot="1">
      <c r="B53" s="135" t="s">
        <v>2</v>
      </c>
      <c r="C53" s="135"/>
      <c r="D53" s="136"/>
      <c r="E53" s="73">
        <v>5242</v>
      </c>
      <c r="F53" s="73">
        <v>5261</v>
      </c>
      <c r="G53" s="73">
        <v>5182</v>
      </c>
      <c r="H53" s="73">
        <v>5142</v>
      </c>
      <c r="I53" s="73">
        <v>3836</v>
      </c>
    </row>
    <row r="54" spans="2:9" s="65" customFormat="1" ht="18" thickBot="1">
      <c r="B54" s="137" t="s">
        <v>3</v>
      </c>
      <c r="C54" s="137"/>
      <c r="D54" s="138"/>
      <c r="E54" s="76">
        <v>799325</v>
      </c>
      <c r="F54" s="76">
        <v>834507</v>
      </c>
      <c r="G54" s="76">
        <v>913522</v>
      </c>
      <c r="H54" s="76">
        <v>977365</v>
      </c>
      <c r="I54" s="76">
        <v>1040069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37</v>
      </c>
      <c r="C82" s="23"/>
      <c r="D82" s="23"/>
      <c r="E82" s="23"/>
      <c r="F82" s="23"/>
      <c r="G82" s="23"/>
      <c r="H82" s="87" t="s">
        <v>11</v>
      </c>
      <c r="I82"/>
      <c r="J82"/>
      <c r="K82"/>
    </row>
    <row r="83" spans="2:11" ht="15.75" thickBot="1">
      <c r="B83" s="31" t="s">
        <v>17</v>
      </c>
      <c r="C83" s="67">
        <f>EDATE(D83,-1)</f>
        <v>42246</v>
      </c>
      <c r="D83" s="67">
        <f>EDATE(E83,-1)</f>
        <v>42277</v>
      </c>
      <c r="E83" s="67">
        <f>EDATE(F83,-1)</f>
        <v>42307</v>
      </c>
      <c r="F83" s="67">
        <f>EDATE(G83,-1)</f>
        <v>42338</v>
      </c>
      <c r="G83" s="67">
        <f>EDATE(H83,-1)</f>
        <v>42369</v>
      </c>
      <c r="H83" s="67">
        <f>EDATE(E11,1)</f>
        <v>42400</v>
      </c>
      <c r="I83"/>
      <c r="J83"/>
    </row>
    <row r="84" spans="2:11" ht="16.5" customHeight="1">
      <c r="B84" s="24" t="s">
        <v>0</v>
      </c>
      <c r="C84" s="74">
        <v>991257</v>
      </c>
      <c r="D84" s="74">
        <v>993268</v>
      </c>
      <c r="E84" s="74">
        <v>996118</v>
      </c>
      <c r="F84" s="74">
        <v>1001556</v>
      </c>
      <c r="G84" s="74">
        <v>1006751</v>
      </c>
      <c r="H84" s="74">
        <v>1012875</v>
      </c>
    </row>
    <row r="85" spans="2:11" ht="16.5" customHeight="1">
      <c r="B85" s="25" t="s">
        <v>1</v>
      </c>
      <c r="C85" s="75">
        <v>20981</v>
      </c>
      <c r="D85" s="75">
        <v>21072</v>
      </c>
      <c r="E85" s="75">
        <v>20973</v>
      </c>
      <c r="F85" s="75">
        <v>21007</v>
      </c>
      <c r="G85" s="75">
        <v>20753</v>
      </c>
      <c r="H85" s="75">
        <v>20804</v>
      </c>
    </row>
    <row r="86" spans="2:11" ht="16.5" customHeight="1">
      <c r="B86" s="26" t="s">
        <v>48</v>
      </c>
      <c r="C86" s="77">
        <v>8602</v>
      </c>
      <c r="D86" s="77">
        <v>8775</v>
      </c>
      <c r="E86" s="77">
        <v>8894</v>
      </c>
      <c r="F86" s="77">
        <v>8699</v>
      </c>
      <c r="G86" s="77">
        <v>8729</v>
      </c>
      <c r="H86" s="77">
        <v>8764</v>
      </c>
    </row>
    <row r="87" spans="2:11" ht="16.5" customHeight="1" thickBot="1">
      <c r="B87" s="27" t="s">
        <v>2</v>
      </c>
      <c r="C87" s="73">
        <v>4694</v>
      </c>
      <c r="D87" s="73">
        <v>4323</v>
      </c>
      <c r="E87" s="73">
        <v>4266</v>
      </c>
      <c r="F87" s="73">
        <v>4148</v>
      </c>
      <c r="G87" s="73">
        <v>3836</v>
      </c>
      <c r="H87" s="73">
        <v>3848</v>
      </c>
    </row>
    <row r="88" spans="2:11" s="65" customFormat="1" ht="18" thickBot="1">
      <c r="B88" s="86" t="s">
        <v>3</v>
      </c>
      <c r="C88" s="76">
        <v>1025534</v>
      </c>
      <c r="D88" s="76">
        <v>1027438</v>
      </c>
      <c r="E88" s="76">
        <v>1030251</v>
      </c>
      <c r="F88" s="76">
        <v>1035410</v>
      </c>
      <c r="G88" s="76">
        <v>1040069</v>
      </c>
      <c r="H88" s="76">
        <v>1046291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22</v>
      </c>
      <c r="C124" s="83">
        <f>B3</f>
        <v>42400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5" t="s">
        <v>23</v>
      </c>
      <c r="C128" s="139"/>
      <c r="D128" s="139"/>
      <c r="E128" s="139"/>
      <c r="F128" s="139"/>
      <c r="G128" s="140" t="s">
        <v>4</v>
      </c>
      <c r="H128" s="141"/>
    </row>
    <row r="129" spans="2:10" ht="18" customHeight="1" thickBot="1">
      <c r="B129" s="115" t="s">
        <v>21</v>
      </c>
      <c r="C129" s="142"/>
      <c r="D129" s="142"/>
      <c r="E129" s="142"/>
      <c r="F129" s="142"/>
      <c r="G129" s="143">
        <v>378</v>
      </c>
      <c r="H129" s="144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20</v>
      </c>
      <c r="C133" s="32"/>
      <c r="D133" s="32"/>
      <c r="E133" s="33"/>
      <c r="F133" s="85">
        <f>C6</f>
        <v>42400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24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25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26" t="s">
        <v>18</v>
      </c>
      <c r="C138" s="126"/>
      <c r="D138" s="126"/>
      <c r="E138" s="126"/>
      <c r="F138" s="127"/>
      <c r="G138" s="118" t="s">
        <v>5</v>
      </c>
      <c r="H138" s="119"/>
      <c r="I138"/>
    </row>
    <row r="139" spans="2:10" ht="17.25" customHeight="1">
      <c r="B139" s="120" t="s">
        <v>40</v>
      </c>
      <c r="C139" s="120" t="s">
        <v>40</v>
      </c>
      <c r="D139" s="120" t="s">
        <v>40</v>
      </c>
      <c r="E139" s="120" t="s">
        <v>40</v>
      </c>
      <c r="F139" s="121" t="s">
        <v>40</v>
      </c>
      <c r="G139" s="122">
        <v>229110</v>
      </c>
      <c r="H139" s="123">
        <v>229110</v>
      </c>
      <c r="I139" s="46"/>
      <c r="J139" s="49"/>
    </row>
    <row r="140" spans="2:10" ht="13.5" customHeight="1">
      <c r="B140" s="110" t="s">
        <v>28</v>
      </c>
      <c r="C140" s="110" t="s">
        <v>28</v>
      </c>
      <c r="D140" s="110" t="s">
        <v>28</v>
      </c>
      <c r="E140" s="110" t="s">
        <v>28</v>
      </c>
      <c r="F140" s="111" t="s">
        <v>28</v>
      </c>
      <c r="G140" s="112">
        <v>181253</v>
      </c>
      <c r="H140" s="113">
        <v>181253</v>
      </c>
      <c r="I140" s="46"/>
      <c r="J140" s="49"/>
    </row>
    <row r="141" spans="2:10" ht="17.25" customHeight="1">
      <c r="B141" s="110" t="s">
        <v>29</v>
      </c>
      <c r="C141" s="110" t="s">
        <v>29</v>
      </c>
      <c r="D141" s="110" t="s">
        <v>29</v>
      </c>
      <c r="E141" s="110" t="s">
        <v>29</v>
      </c>
      <c r="F141" s="111" t="s">
        <v>29</v>
      </c>
      <c r="G141" s="112">
        <v>142758</v>
      </c>
      <c r="H141" s="113">
        <v>142758</v>
      </c>
      <c r="I141" s="46"/>
      <c r="J141" s="49"/>
    </row>
    <row r="142" spans="2:10" ht="17.25" customHeight="1">
      <c r="B142" s="110" t="s">
        <v>41</v>
      </c>
      <c r="C142" s="110" t="s">
        <v>41</v>
      </c>
      <c r="D142" s="110" t="s">
        <v>41</v>
      </c>
      <c r="E142" s="110" t="s">
        <v>41</v>
      </c>
      <c r="F142" s="111" t="s">
        <v>41</v>
      </c>
      <c r="G142" s="112">
        <v>141515</v>
      </c>
      <c r="H142" s="113">
        <v>141515</v>
      </c>
      <c r="I142" s="46"/>
      <c r="J142" s="49"/>
    </row>
    <row r="143" spans="2:10" ht="17.25" customHeight="1">
      <c r="B143" s="110" t="s">
        <v>39</v>
      </c>
      <c r="C143" s="110" t="s">
        <v>39</v>
      </c>
      <c r="D143" s="110" t="s">
        <v>39</v>
      </c>
      <c r="E143" s="110" t="s">
        <v>39</v>
      </c>
      <c r="F143" s="111" t="s">
        <v>39</v>
      </c>
      <c r="G143" s="112">
        <v>72558</v>
      </c>
      <c r="H143" s="113">
        <v>72558</v>
      </c>
      <c r="I143" s="46"/>
      <c r="J143" s="49"/>
    </row>
    <row r="144" spans="2:10" ht="13.5" customHeight="1">
      <c r="B144" s="110" t="s">
        <v>42</v>
      </c>
      <c r="C144" s="110" t="s">
        <v>42</v>
      </c>
      <c r="D144" s="110" t="s">
        <v>42</v>
      </c>
      <c r="E144" s="110" t="s">
        <v>42</v>
      </c>
      <c r="F144" s="111" t="s">
        <v>42</v>
      </c>
      <c r="G144" s="112">
        <v>60891</v>
      </c>
      <c r="H144" s="113">
        <v>60891</v>
      </c>
      <c r="I144" s="50"/>
      <c r="J144" s="49"/>
    </row>
    <row r="145" spans="2:13" ht="17.25" customHeight="1">
      <c r="B145" s="110" t="s">
        <v>30</v>
      </c>
      <c r="C145" s="110" t="s">
        <v>30</v>
      </c>
      <c r="D145" s="110" t="s">
        <v>30</v>
      </c>
      <c r="E145" s="110" t="s">
        <v>30</v>
      </c>
      <c r="F145" s="111" t="s">
        <v>30</v>
      </c>
      <c r="G145" s="112">
        <v>48052</v>
      </c>
      <c r="H145" s="113">
        <v>48052</v>
      </c>
      <c r="I145" s="46"/>
      <c r="J145" s="49"/>
    </row>
    <row r="146" spans="2:13" ht="17.25" customHeight="1">
      <c r="B146" s="110" t="s">
        <v>45</v>
      </c>
      <c r="C146" s="110" t="s">
        <v>45</v>
      </c>
      <c r="D146" s="110" t="s">
        <v>45</v>
      </c>
      <c r="E146" s="110" t="s">
        <v>45</v>
      </c>
      <c r="F146" s="111" t="s">
        <v>45</v>
      </c>
      <c r="G146" s="112">
        <v>32150</v>
      </c>
      <c r="H146" s="113">
        <v>32150</v>
      </c>
      <c r="I146" s="46"/>
      <c r="J146" s="49"/>
    </row>
    <row r="147" spans="2:13" ht="17.25" customHeight="1">
      <c r="B147" s="110" t="s">
        <v>31</v>
      </c>
      <c r="C147" s="110" t="s">
        <v>31</v>
      </c>
      <c r="D147" s="110" t="s">
        <v>31</v>
      </c>
      <c r="E147" s="110" t="s">
        <v>31</v>
      </c>
      <c r="F147" s="111" t="s">
        <v>31</v>
      </c>
      <c r="G147" s="112">
        <v>20933</v>
      </c>
      <c r="H147" s="113">
        <v>20933</v>
      </c>
      <c r="I147" s="46"/>
      <c r="J147" s="49"/>
      <c r="L147"/>
    </row>
    <row r="148" spans="2:13" ht="18" customHeight="1" thickBot="1">
      <c r="B148" s="114" t="s">
        <v>32</v>
      </c>
      <c r="C148" s="114" t="s">
        <v>32</v>
      </c>
      <c r="D148" s="114" t="s">
        <v>32</v>
      </c>
      <c r="E148" s="114" t="s">
        <v>32</v>
      </c>
      <c r="F148" s="115" t="s">
        <v>32</v>
      </c>
      <c r="G148" s="116">
        <v>19850</v>
      </c>
      <c r="H148" s="117">
        <v>19850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26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4" t="s">
        <v>18</v>
      </c>
      <c r="C153" s="124"/>
      <c r="D153" s="124"/>
      <c r="E153" s="124"/>
      <c r="F153" s="125"/>
      <c r="G153" s="119" t="s">
        <v>5</v>
      </c>
      <c r="H153" s="119"/>
      <c r="I153" s="51"/>
      <c r="J153" s="51"/>
      <c r="K153"/>
      <c r="L153"/>
      <c r="M153"/>
    </row>
    <row r="154" spans="2:13" ht="17.25" customHeight="1">
      <c r="B154" s="120" t="s">
        <v>28</v>
      </c>
      <c r="C154" s="120" t="s">
        <v>28</v>
      </c>
      <c r="D154" s="120" t="s">
        <v>28</v>
      </c>
      <c r="E154" s="120" t="s">
        <v>28</v>
      </c>
      <c r="F154" s="121" t="s">
        <v>28</v>
      </c>
      <c r="G154" s="122">
        <v>12692</v>
      </c>
      <c r="H154" s="123">
        <v>12692</v>
      </c>
      <c r="I154" s="52"/>
      <c r="J154" s="49"/>
      <c r="K154" s="48"/>
      <c r="L154"/>
      <c r="M154"/>
    </row>
    <row r="155" spans="2:13" ht="17.25" customHeight="1">
      <c r="B155" s="110" t="s">
        <v>41</v>
      </c>
      <c r="C155" s="110" t="s">
        <v>41</v>
      </c>
      <c r="D155" s="110" t="s">
        <v>41</v>
      </c>
      <c r="E155" s="110" t="s">
        <v>41</v>
      </c>
      <c r="F155" s="111" t="s">
        <v>41</v>
      </c>
      <c r="G155" s="112">
        <v>10935</v>
      </c>
      <c r="H155" s="113">
        <v>10935</v>
      </c>
      <c r="I155" s="52"/>
      <c r="J155" s="49"/>
      <c r="K155" s="48"/>
      <c r="L155"/>
      <c r="M155"/>
    </row>
    <row r="156" spans="2:13" ht="17.25" customHeight="1">
      <c r="B156" s="110" t="s">
        <v>29</v>
      </c>
      <c r="C156" s="110" t="s">
        <v>29</v>
      </c>
      <c r="D156" s="110" t="s">
        <v>29</v>
      </c>
      <c r="E156" s="110" t="s">
        <v>29</v>
      </c>
      <c r="F156" s="111" t="s">
        <v>29</v>
      </c>
      <c r="G156" s="112">
        <v>10811</v>
      </c>
      <c r="H156" s="113">
        <v>10811</v>
      </c>
      <c r="I156" s="52"/>
      <c r="J156" s="49"/>
      <c r="K156" s="48"/>
      <c r="L156"/>
      <c r="M156"/>
    </row>
    <row r="157" spans="2:13" ht="17.25">
      <c r="B157" s="110" t="s">
        <v>40</v>
      </c>
      <c r="C157" s="110" t="s">
        <v>40</v>
      </c>
      <c r="D157" s="110" t="s">
        <v>40</v>
      </c>
      <c r="E157" s="110" t="s">
        <v>40</v>
      </c>
      <c r="F157" s="111" t="s">
        <v>40</v>
      </c>
      <c r="G157" s="112">
        <v>10728</v>
      </c>
      <c r="H157" s="113">
        <v>10728</v>
      </c>
      <c r="I157" s="52"/>
      <c r="J157" s="49"/>
      <c r="K157" s="48"/>
      <c r="L157"/>
      <c r="M157"/>
    </row>
    <row r="158" spans="2:13" ht="17.25" customHeight="1">
      <c r="B158" s="110" t="s">
        <v>39</v>
      </c>
      <c r="C158" s="110" t="s">
        <v>39</v>
      </c>
      <c r="D158" s="110" t="s">
        <v>39</v>
      </c>
      <c r="E158" s="110" t="s">
        <v>39</v>
      </c>
      <c r="F158" s="111" t="s">
        <v>39</v>
      </c>
      <c r="G158" s="112">
        <v>7577</v>
      </c>
      <c r="H158" s="113">
        <v>7577</v>
      </c>
      <c r="I158" s="52"/>
      <c r="J158" s="49"/>
      <c r="K158" s="48"/>
      <c r="L158"/>
      <c r="M158"/>
    </row>
    <row r="159" spans="2:13" ht="17.25" customHeight="1">
      <c r="B159" s="110" t="s">
        <v>42</v>
      </c>
      <c r="C159" s="110" t="s">
        <v>42</v>
      </c>
      <c r="D159" s="110" t="s">
        <v>42</v>
      </c>
      <c r="E159" s="110" t="s">
        <v>42</v>
      </c>
      <c r="F159" s="111" t="s">
        <v>42</v>
      </c>
      <c r="G159" s="112">
        <v>4107</v>
      </c>
      <c r="H159" s="113">
        <v>4107</v>
      </c>
      <c r="I159" s="53"/>
      <c r="J159" s="49"/>
      <c r="K159" s="48"/>
      <c r="L159"/>
      <c r="M159"/>
    </row>
    <row r="160" spans="2:13" ht="17.25" customHeight="1">
      <c r="B160" s="110" t="s">
        <v>30</v>
      </c>
      <c r="C160" s="110" t="s">
        <v>30</v>
      </c>
      <c r="D160" s="110" t="s">
        <v>30</v>
      </c>
      <c r="E160" s="110" t="s">
        <v>30</v>
      </c>
      <c r="F160" s="111" t="s">
        <v>30</v>
      </c>
      <c r="G160" s="112">
        <v>2929</v>
      </c>
      <c r="H160" s="113">
        <v>2929</v>
      </c>
      <c r="I160" s="52"/>
      <c r="J160" s="49"/>
      <c r="K160" s="48"/>
      <c r="L160"/>
      <c r="M160"/>
    </row>
    <row r="161" spans="2:13" ht="17.25" customHeight="1">
      <c r="B161" s="110" t="s">
        <v>43</v>
      </c>
      <c r="C161" s="110" t="s">
        <v>43</v>
      </c>
      <c r="D161" s="110" t="s">
        <v>43</v>
      </c>
      <c r="E161" s="110" t="s">
        <v>43</v>
      </c>
      <c r="F161" s="111" t="s">
        <v>43</v>
      </c>
      <c r="G161" s="112">
        <v>2168</v>
      </c>
      <c r="H161" s="113">
        <v>2168</v>
      </c>
      <c r="I161" s="52"/>
      <c r="J161" s="49"/>
      <c r="K161" s="48"/>
      <c r="L161"/>
      <c r="M161"/>
    </row>
    <row r="162" spans="2:13" ht="17.25" customHeight="1">
      <c r="B162" s="110" t="s">
        <v>44</v>
      </c>
      <c r="C162" s="110" t="s">
        <v>44</v>
      </c>
      <c r="D162" s="110" t="s">
        <v>44</v>
      </c>
      <c r="E162" s="110" t="s">
        <v>44</v>
      </c>
      <c r="F162" s="111" t="s">
        <v>44</v>
      </c>
      <c r="G162" s="112">
        <v>1406</v>
      </c>
      <c r="H162" s="113">
        <v>1406</v>
      </c>
      <c r="I162" s="52"/>
      <c r="J162" s="49"/>
      <c r="K162" s="48"/>
      <c r="L162"/>
      <c r="M162"/>
    </row>
    <row r="163" spans="2:13" ht="18" customHeight="1" thickBot="1">
      <c r="B163" s="114" t="s">
        <v>31</v>
      </c>
      <c r="C163" s="114" t="s">
        <v>31</v>
      </c>
      <c r="D163" s="114" t="s">
        <v>31</v>
      </c>
      <c r="E163" s="114" t="s">
        <v>31</v>
      </c>
      <c r="F163" s="115" t="s">
        <v>31</v>
      </c>
      <c r="G163" s="116">
        <v>1353</v>
      </c>
      <c r="H163" s="117">
        <v>1353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27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24" t="s">
        <v>18</v>
      </c>
      <c r="C168" s="124"/>
      <c r="D168" s="124"/>
      <c r="E168" s="124"/>
      <c r="F168" s="125"/>
      <c r="G168" s="118" t="s">
        <v>8</v>
      </c>
      <c r="H168" s="119"/>
      <c r="I168" s="2"/>
      <c r="J168" s="2"/>
    </row>
    <row r="169" spans="2:13" ht="17.25" customHeight="1">
      <c r="B169" s="120" t="s">
        <v>38</v>
      </c>
      <c r="C169" s="120" t="s">
        <v>38</v>
      </c>
      <c r="D169" s="120" t="s">
        <v>38</v>
      </c>
      <c r="E169" s="120" t="s">
        <v>38</v>
      </c>
      <c r="F169" s="121" t="s">
        <v>38</v>
      </c>
      <c r="G169" s="122">
        <v>1128359355170.1799</v>
      </c>
      <c r="H169" s="123">
        <v>1128359355170.1799</v>
      </c>
      <c r="I169" s="54"/>
      <c r="J169" s="55"/>
    </row>
    <row r="170" spans="2:13" ht="17.25" customHeight="1">
      <c r="B170" s="110" t="s">
        <v>29</v>
      </c>
      <c r="C170" s="110" t="s">
        <v>29</v>
      </c>
      <c r="D170" s="110" t="s">
        <v>29</v>
      </c>
      <c r="E170" s="110" t="s">
        <v>29</v>
      </c>
      <c r="F170" s="111" t="s">
        <v>29</v>
      </c>
      <c r="G170" s="112">
        <v>910468475967.67102</v>
      </c>
      <c r="H170" s="113">
        <v>910468475967.67102</v>
      </c>
      <c r="I170" s="54"/>
      <c r="J170" s="55"/>
    </row>
    <row r="171" spans="2:13" ht="17.25" customHeight="1">
      <c r="B171" s="110" t="s">
        <v>39</v>
      </c>
      <c r="C171" s="110" t="s">
        <v>39</v>
      </c>
      <c r="D171" s="110" t="s">
        <v>39</v>
      </c>
      <c r="E171" s="110" t="s">
        <v>39</v>
      </c>
      <c r="F171" s="111" t="s">
        <v>39</v>
      </c>
      <c r="G171" s="112">
        <v>775767879482.16797</v>
      </c>
      <c r="H171" s="113">
        <v>775767879482.16797</v>
      </c>
      <c r="I171" s="54"/>
      <c r="J171" s="55"/>
    </row>
    <row r="172" spans="2:13" ht="17.25" customHeight="1">
      <c r="B172" s="110" t="s">
        <v>28</v>
      </c>
      <c r="C172" s="110" t="s">
        <v>28</v>
      </c>
      <c r="D172" s="110" t="s">
        <v>28</v>
      </c>
      <c r="E172" s="110" t="s">
        <v>28</v>
      </c>
      <c r="F172" s="111" t="s">
        <v>28</v>
      </c>
      <c r="G172" s="112">
        <v>574813143193.49805</v>
      </c>
      <c r="H172" s="113">
        <v>574813143193.49805</v>
      </c>
      <c r="I172" s="54"/>
      <c r="J172" s="55"/>
    </row>
    <row r="173" spans="2:13" ht="17.25" customHeight="1">
      <c r="B173" s="110" t="s">
        <v>44</v>
      </c>
      <c r="C173" s="110" t="s">
        <v>44</v>
      </c>
      <c r="D173" s="110" t="s">
        <v>44</v>
      </c>
      <c r="E173" s="110" t="s">
        <v>44</v>
      </c>
      <c r="F173" s="111" t="s">
        <v>44</v>
      </c>
      <c r="G173" s="112">
        <v>265228754698.41901</v>
      </c>
      <c r="H173" s="113">
        <v>265228754698.41901</v>
      </c>
      <c r="I173" s="56"/>
      <c r="J173" s="49"/>
    </row>
    <row r="174" spans="2:13" ht="17.25" customHeight="1">
      <c r="B174" s="110" t="s">
        <v>41</v>
      </c>
      <c r="C174" s="110" t="s">
        <v>41</v>
      </c>
      <c r="D174" s="110" t="s">
        <v>41</v>
      </c>
      <c r="E174" s="110" t="s">
        <v>41</v>
      </c>
      <c r="F174" s="111" t="s">
        <v>41</v>
      </c>
      <c r="G174" s="112">
        <v>241753211629.29001</v>
      </c>
      <c r="H174" s="113">
        <v>241753211629.29001</v>
      </c>
      <c r="I174" s="54"/>
      <c r="J174" s="55"/>
    </row>
    <row r="175" spans="2:13" ht="17.25" customHeight="1">
      <c r="B175" s="110" t="s">
        <v>46</v>
      </c>
      <c r="C175" s="110" t="s">
        <v>46</v>
      </c>
      <c r="D175" s="110" t="s">
        <v>46</v>
      </c>
      <c r="E175" s="110" t="s">
        <v>46</v>
      </c>
      <c r="F175" s="111" t="s">
        <v>46</v>
      </c>
      <c r="G175" s="112">
        <v>233442393029.95001</v>
      </c>
      <c r="H175" s="113">
        <v>233442393029.95001</v>
      </c>
      <c r="I175" s="54"/>
      <c r="J175" s="55"/>
    </row>
    <row r="176" spans="2:13" ht="17.25" customHeight="1">
      <c r="B176" s="110" t="s">
        <v>33</v>
      </c>
      <c r="C176" s="110" t="s">
        <v>33</v>
      </c>
      <c r="D176" s="110" t="s">
        <v>33</v>
      </c>
      <c r="E176" s="110" t="s">
        <v>33</v>
      </c>
      <c r="F176" s="111" t="s">
        <v>33</v>
      </c>
      <c r="G176" s="112">
        <v>180567868549.31601</v>
      </c>
      <c r="H176" s="113">
        <v>180567868549.31601</v>
      </c>
      <c r="I176" s="54"/>
      <c r="J176" s="55"/>
    </row>
    <row r="177" spans="2:10" ht="17.25" customHeight="1">
      <c r="B177" s="110" t="s">
        <v>47</v>
      </c>
      <c r="C177" s="110" t="s">
        <v>47</v>
      </c>
      <c r="D177" s="110" t="s">
        <v>47</v>
      </c>
      <c r="E177" s="110" t="s">
        <v>47</v>
      </c>
      <c r="F177" s="111" t="s">
        <v>47</v>
      </c>
      <c r="G177" s="112">
        <v>152915653222.98999</v>
      </c>
      <c r="H177" s="113">
        <v>152915653222.98999</v>
      </c>
      <c r="I177" s="54"/>
      <c r="J177" s="55"/>
    </row>
    <row r="178" spans="2:10" ht="18" customHeight="1" thickBot="1">
      <c r="B178" s="114" t="s">
        <v>30</v>
      </c>
      <c r="C178" s="114" t="s">
        <v>30</v>
      </c>
      <c r="D178" s="114" t="s">
        <v>30</v>
      </c>
      <c r="E178" s="114" t="s">
        <v>30</v>
      </c>
      <c r="F178" s="115" t="s">
        <v>30</v>
      </c>
      <c r="G178" s="116">
        <v>149166642555.55701</v>
      </c>
      <c r="H178" s="117">
        <v>149166642555.55701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68:F168"/>
    <mergeCell ref="B172:F172"/>
    <mergeCell ref="G172:H172"/>
    <mergeCell ref="B173:F173"/>
    <mergeCell ref="G173:H173"/>
    <mergeCell ref="B174:F174"/>
    <mergeCell ref="G174:H174"/>
    <mergeCell ref="B178:F178"/>
    <mergeCell ref="G178:H178"/>
    <mergeCell ref="B175:F175"/>
    <mergeCell ref="G175:H175"/>
    <mergeCell ref="B176:F176"/>
    <mergeCell ref="G176:H176"/>
    <mergeCell ref="B177:F177"/>
    <mergeCell ref="G177:H177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49505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4950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8">
    <pageSetUpPr fitToPage="1"/>
  </sheetPr>
  <dimension ref="B2:N180"/>
  <sheetViews>
    <sheetView topLeftCell="A16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55" t="s">
        <v>14</v>
      </c>
      <c r="C2" s="155"/>
      <c r="D2" s="155"/>
      <c r="E2" s="155"/>
      <c r="F2" s="155"/>
      <c r="G2" s="155"/>
      <c r="H2" s="155"/>
    </row>
    <row r="3" spans="2:14" s="1" customFormat="1" ht="21" thickBot="1">
      <c r="B3" s="156">
        <v>42429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19</v>
      </c>
      <c r="C6" s="62">
        <f>B3</f>
        <v>42429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34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57" t="s">
        <v>17</v>
      </c>
      <c r="C11" s="157"/>
      <c r="D11" s="158"/>
      <c r="E11" s="67">
        <f>EDATE(B3,-1)</f>
        <v>42398</v>
      </c>
      <c r="F11" s="67">
        <f>B3</f>
        <v>42429</v>
      </c>
      <c r="G11" s="44" t="s">
        <v>9</v>
      </c>
      <c r="H11" s="44" t="s">
        <v>10</v>
      </c>
      <c r="J11" s="71"/>
    </row>
    <row r="12" spans="2:14" s="70" customFormat="1" ht="17.25">
      <c r="B12" s="153" t="s">
        <v>0</v>
      </c>
      <c r="C12" s="153"/>
      <c r="D12" s="154"/>
      <c r="E12" s="72">
        <f>January!F12</f>
        <v>1307886</v>
      </c>
      <c r="F12" s="78">
        <v>1299435</v>
      </c>
      <c r="G12" s="11">
        <f>F12-E12</f>
        <v>-8451</v>
      </c>
      <c r="H12" s="58">
        <f t="shared" ref="H12:H18" si="0">F12/E12-1</f>
        <v>-6.4615723388735669E-3</v>
      </c>
      <c r="I12" s="79"/>
      <c r="J12" s="80"/>
    </row>
    <row r="13" spans="2:14" s="70" customFormat="1" ht="17.25">
      <c r="B13" s="147" t="s">
        <v>1</v>
      </c>
      <c r="C13" s="147"/>
      <c r="D13" s="148"/>
      <c r="E13" s="72">
        <f>January!F13</f>
        <v>34500</v>
      </c>
      <c r="F13" s="78">
        <v>30184</v>
      </c>
      <c r="G13" s="11">
        <f t="shared" ref="G13:G18" si="1">F13-E13</f>
        <v>-4316</v>
      </c>
      <c r="H13" s="58">
        <f t="shared" si="0"/>
        <v>-0.12510144927536226</v>
      </c>
      <c r="I13" s="79"/>
      <c r="J13" s="80"/>
    </row>
    <row r="14" spans="2:14" s="70" customFormat="1" ht="17.25">
      <c r="B14" s="147" t="s">
        <v>48</v>
      </c>
      <c r="C14" s="147"/>
      <c r="D14" s="148"/>
      <c r="E14" s="72">
        <f>January!F14</f>
        <v>13437</v>
      </c>
      <c r="F14" s="78">
        <v>13261</v>
      </c>
      <c r="G14" s="11">
        <f t="shared" si="1"/>
        <v>-176</v>
      </c>
      <c r="H14" s="58">
        <f t="shared" si="0"/>
        <v>-1.3098161792066687E-2</v>
      </c>
      <c r="I14" s="79"/>
      <c r="J14" s="80"/>
    </row>
    <row r="15" spans="2:14" s="70" customFormat="1" ht="17.25">
      <c r="B15" s="149" t="s">
        <v>49</v>
      </c>
      <c r="C15" s="149"/>
      <c r="D15" s="150"/>
      <c r="E15" s="72">
        <f>January!F15</f>
        <v>4650</v>
      </c>
      <c r="F15" s="78">
        <v>5006</v>
      </c>
      <c r="G15" s="11">
        <f t="shared" si="1"/>
        <v>356</v>
      </c>
      <c r="H15" s="58">
        <f t="shared" si="0"/>
        <v>7.6559139784946328E-2</v>
      </c>
      <c r="I15" s="79"/>
      <c r="J15" s="80"/>
    </row>
    <row r="16" spans="2:14" s="70" customFormat="1" ht="17.25">
      <c r="B16" s="151" t="s">
        <v>50</v>
      </c>
      <c r="C16" s="151"/>
      <c r="D16" s="152"/>
      <c r="E16" s="72">
        <f>January!F16</f>
        <v>8787</v>
      </c>
      <c r="F16" s="78">
        <v>8255</v>
      </c>
      <c r="G16" s="11">
        <f t="shared" si="1"/>
        <v>-532</v>
      </c>
      <c r="H16" s="58">
        <f t="shared" si="0"/>
        <v>-6.0543985433026082E-2</v>
      </c>
      <c r="I16" s="79"/>
      <c r="J16" s="80"/>
    </row>
    <row r="17" spans="2:10" s="70" customFormat="1" ht="18" customHeight="1" thickBot="1">
      <c r="B17" s="145" t="s">
        <v>2</v>
      </c>
      <c r="C17" s="145"/>
      <c r="D17" s="146"/>
      <c r="E17" s="72">
        <f>January!F17</f>
        <v>15249</v>
      </c>
      <c r="F17" s="78">
        <v>14108</v>
      </c>
      <c r="G17" s="11">
        <f t="shared" si="1"/>
        <v>-1141</v>
      </c>
      <c r="H17" s="58">
        <f t="shared" si="0"/>
        <v>-7.4824578660895757E-2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f>January!F18</f>
        <v>1371072</v>
      </c>
      <c r="F18" s="66">
        <v>1356988</v>
      </c>
      <c r="G18" s="66">
        <f t="shared" si="1"/>
        <v>-14084</v>
      </c>
      <c r="H18" s="63">
        <f t="shared" si="0"/>
        <v>-1.0272254119404356E-2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35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57" t="s">
        <v>17</v>
      </c>
      <c r="C22" s="157"/>
      <c r="D22" s="158"/>
      <c r="E22" s="67">
        <f>E11</f>
        <v>42398</v>
      </c>
      <c r="F22" s="67">
        <f>F11</f>
        <v>42429</v>
      </c>
      <c r="G22" s="44" t="s">
        <v>9</v>
      </c>
      <c r="H22" s="44" t="s">
        <v>10</v>
      </c>
      <c r="J22" s="71"/>
    </row>
    <row r="23" spans="2:10" s="70" customFormat="1" ht="17.25">
      <c r="B23" s="153" t="s">
        <v>0</v>
      </c>
      <c r="C23" s="153"/>
      <c r="D23" s="154"/>
      <c r="E23" s="72">
        <f>January!F23</f>
        <v>1012875</v>
      </c>
      <c r="F23" s="78">
        <v>1006765</v>
      </c>
      <c r="G23" s="11">
        <f>F23-E23</f>
        <v>-6110</v>
      </c>
      <c r="H23" s="58">
        <f>F23/E23-1</f>
        <v>-6.0323337035665947E-3</v>
      </c>
      <c r="I23" s="80"/>
    </row>
    <row r="24" spans="2:10" s="70" customFormat="1" ht="17.25">
      <c r="B24" s="147" t="s">
        <v>1</v>
      </c>
      <c r="C24" s="147"/>
      <c r="D24" s="148"/>
      <c r="E24" s="72">
        <f>January!F24</f>
        <v>20804</v>
      </c>
      <c r="F24" s="78">
        <v>18908</v>
      </c>
      <c r="G24" s="11">
        <f t="shared" ref="G24:G29" si="2">F24-E24</f>
        <v>-1896</v>
      </c>
      <c r="H24" s="58">
        <f t="shared" ref="H24:H29" si="3">F24/E24-1</f>
        <v>-9.1136319938473376E-2</v>
      </c>
      <c r="I24" s="80"/>
    </row>
    <row r="25" spans="2:10" s="70" customFormat="1" ht="17.25">
      <c r="B25" s="147" t="s">
        <v>48</v>
      </c>
      <c r="C25" s="147"/>
      <c r="D25" s="148"/>
      <c r="E25" s="72">
        <f>January!F25</f>
        <v>8764</v>
      </c>
      <c r="F25" s="78">
        <v>8657</v>
      </c>
      <c r="G25" s="11">
        <f t="shared" si="2"/>
        <v>-107</v>
      </c>
      <c r="H25" s="58">
        <f t="shared" si="3"/>
        <v>-1.2209036969420328E-2</v>
      </c>
      <c r="I25" s="80"/>
    </row>
    <row r="26" spans="2:10" s="70" customFormat="1" ht="17.25">
      <c r="B26" s="149" t="s">
        <v>49</v>
      </c>
      <c r="C26" s="149"/>
      <c r="D26" s="150"/>
      <c r="E26" s="72">
        <f>January!F26</f>
        <v>4377</v>
      </c>
      <c r="F26" s="78">
        <v>4697</v>
      </c>
      <c r="G26" s="11">
        <f t="shared" si="2"/>
        <v>320</v>
      </c>
      <c r="H26" s="58">
        <f t="shared" si="3"/>
        <v>7.3109435686543378E-2</v>
      </c>
      <c r="I26" s="80"/>
    </row>
    <row r="27" spans="2:10" s="70" customFormat="1" ht="17.25">
      <c r="B27" s="151" t="s">
        <v>50</v>
      </c>
      <c r="C27" s="151"/>
      <c r="D27" s="152"/>
      <c r="E27" s="72">
        <f>January!F27</f>
        <v>4387</v>
      </c>
      <c r="F27" s="78">
        <v>3960</v>
      </c>
      <c r="G27" s="11">
        <f t="shared" si="2"/>
        <v>-427</v>
      </c>
      <c r="H27" s="58">
        <f t="shared" si="3"/>
        <v>-9.7333029405060389E-2</v>
      </c>
      <c r="I27" s="80"/>
    </row>
    <row r="28" spans="2:10" s="70" customFormat="1" ht="18" customHeight="1" thickBot="1">
      <c r="B28" s="145" t="s">
        <v>2</v>
      </c>
      <c r="C28" s="145"/>
      <c r="D28" s="146"/>
      <c r="E28" s="72">
        <f>January!F28</f>
        <v>3848</v>
      </c>
      <c r="F28" s="78">
        <v>2930</v>
      </c>
      <c r="G28" s="11">
        <f t="shared" si="2"/>
        <v>-918</v>
      </c>
      <c r="H28" s="58">
        <f t="shared" si="3"/>
        <v>-0.23856548856548854</v>
      </c>
      <c r="I28" s="80"/>
    </row>
    <row r="29" spans="2:10" s="64" customFormat="1" ht="18" thickBot="1">
      <c r="B29" s="59" t="s">
        <v>3</v>
      </c>
      <c r="C29" s="59"/>
      <c r="D29" s="60"/>
      <c r="E29" s="66">
        <f>January!F29</f>
        <v>1046291</v>
      </c>
      <c r="F29" s="66">
        <v>1037260</v>
      </c>
      <c r="G29" s="66">
        <f t="shared" si="2"/>
        <v>-9031</v>
      </c>
      <c r="H29" s="63">
        <f t="shared" si="3"/>
        <v>-8.6314419219891692E-3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15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4" t="s">
        <v>17</v>
      </c>
      <c r="C33" s="124"/>
      <c r="D33" s="125"/>
      <c r="E33" s="67">
        <f>E11</f>
        <v>42398</v>
      </c>
      <c r="F33" s="67">
        <f>F11</f>
        <v>42429</v>
      </c>
      <c r="G33" s="16" t="s">
        <v>9</v>
      </c>
      <c r="H33" s="16" t="s">
        <v>10</v>
      </c>
    </row>
    <row r="34" spans="2:9" ht="17.25">
      <c r="B34" s="153" t="s">
        <v>0</v>
      </c>
      <c r="C34" s="153"/>
      <c r="D34" s="154"/>
      <c r="E34" s="72">
        <f>January!F34</f>
        <v>71231</v>
      </c>
      <c r="F34" s="72">
        <v>73550</v>
      </c>
      <c r="G34" s="11">
        <f t="shared" ref="G34:G40" si="4">F34-E34</f>
        <v>2319</v>
      </c>
      <c r="H34" s="58">
        <f t="shared" ref="H34:H40" si="5">F34/E34-1</f>
        <v>3.2556050034395101E-2</v>
      </c>
      <c r="I34" s="57"/>
    </row>
    <row r="35" spans="2:9" ht="17.25">
      <c r="B35" s="147" t="s">
        <v>1</v>
      </c>
      <c r="C35" s="147"/>
      <c r="D35" s="148"/>
      <c r="E35" s="72">
        <f>January!F35</f>
        <v>927</v>
      </c>
      <c r="F35" s="72">
        <v>1044</v>
      </c>
      <c r="G35" s="11">
        <f t="shared" si="4"/>
        <v>117</v>
      </c>
      <c r="H35" s="58">
        <f t="shared" si="5"/>
        <v>0.12621359223300965</v>
      </c>
      <c r="I35" s="57"/>
    </row>
    <row r="36" spans="2:9" ht="17.25">
      <c r="B36" s="147" t="s">
        <v>48</v>
      </c>
      <c r="C36" s="147"/>
      <c r="D36" s="148"/>
      <c r="E36" s="72">
        <f>January!F36</f>
        <v>567</v>
      </c>
      <c r="F36" s="72">
        <v>642</v>
      </c>
      <c r="G36" s="11">
        <f t="shared" si="4"/>
        <v>75</v>
      </c>
      <c r="H36" s="58">
        <f t="shared" si="5"/>
        <v>0.13227513227513232</v>
      </c>
      <c r="I36" s="57"/>
    </row>
    <row r="37" spans="2:9" ht="17.25">
      <c r="B37" s="149" t="s">
        <v>49</v>
      </c>
      <c r="C37" s="149"/>
      <c r="D37" s="150"/>
      <c r="E37" s="72">
        <f>January!F37</f>
        <v>264</v>
      </c>
      <c r="F37" s="72">
        <v>318</v>
      </c>
      <c r="G37" s="11">
        <f t="shared" si="4"/>
        <v>54</v>
      </c>
      <c r="H37" s="58">
        <f t="shared" si="5"/>
        <v>0.20454545454545459</v>
      </c>
      <c r="I37" s="57"/>
    </row>
    <row r="38" spans="2:9" ht="17.25">
      <c r="B38" s="151" t="s">
        <v>50</v>
      </c>
      <c r="C38" s="151"/>
      <c r="D38" s="152"/>
      <c r="E38" s="72">
        <f>January!F38</f>
        <v>303</v>
      </c>
      <c r="F38" s="72">
        <v>324</v>
      </c>
      <c r="G38" s="11">
        <f t="shared" si="4"/>
        <v>21</v>
      </c>
      <c r="H38" s="58">
        <f t="shared" si="5"/>
        <v>6.9306930693069368E-2</v>
      </c>
      <c r="I38" s="57"/>
    </row>
    <row r="39" spans="2:9" ht="18" customHeight="1" thickBot="1">
      <c r="B39" s="145" t="s">
        <v>2</v>
      </c>
      <c r="C39" s="145"/>
      <c r="D39" s="146"/>
      <c r="E39" s="72">
        <f>January!F39</f>
        <v>497</v>
      </c>
      <c r="F39" s="72">
        <v>554</v>
      </c>
      <c r="G39" s="11">
        <f t="shared" si="4"/>
        <v>57</v>
      </c>
      <c r="H39" s="58">
        <f t="shared" si="5"/>
        <v>0.11468812877263579</v>
      </c>
      <c r="I39" s="57"/>
    </row>
    <row r="40" spans="2:9" s="64" customFormat="1" ht="18" thickBot="1">
      <c r="B40" s="59" t="s">
        <v>3</v>
      </c>
      <c r="C40" s="59"/>
      <c r="D40" s="60"/>
      <c r="E40" s="66">
        <f>January!F40</f>
        <v>73222</v>
      </c>
      <c r="F40" s="66">
        <v>75790</v>
      </c>
      <c r="G40" s="66">
        <f t="shared" si="4"/>
        <v>2568</v>
      </c>
      <c r="H40" s="63">
        <f t="shared" si="5"/>
        <v>3.5071426620414625E-2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16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36</v>
      </c>
      <c r="C48" s="23"/>
      <c r="D48" s="23"/>
      <c r="E48" s="23"/>
      <c r="F48" s="23"/>
      <c r="G48" s="23"/>
      <c r="H48" s="128" t="s">
        <v>12</v>
      </c>
      <c r="I48" s="128"/>
    </row>
    <row r="49" spans="2:9" ht="15.75" thickBot="1">
      <c r="B49" s="124" t="s">
        <v>17</v>
      </c>
      <c r="C49" s="124"/>
      <c r="D49" s="125"/>
      <c r="E49" s="67">
        <v>40908</v>
      </c>
      <c r="F49" s="67">
        <v>41274</v>
      </c>
      <c r="G49" s="67">
        <v>41639</v>
      </c>
      <c r="H49" s="67">
        <v>42004</v>
      </c>
      <c r="I49" s="67">
        <v>42369</v>
      </c>
    </row>
    <row r="50" spans="2:9" ht="17.25">
      <c r="B50" s="129" t="s">
        <v>0</v>
      </c>
      <c r="C50" s="129"/>
      <c r="D50" s="130"/>
      <c r="E50" s="74">
        <v>772175</v>
      </c>
      <c r="F50" s="74">
        <v>805549</v>
      </c>
      <c r="G50" s="74">
        <v>881844</v>
      </c>
      <c r="H50" s="74">
        <v>944559</v>
      </c>
      <c r="I50" s="74">
        <v>1006751</v>
      </c>
    </row>
    <row r="51" spans="2:9" ht="17.25">
      <c r="B51" s="131" t="s">
        <v>1</v>
      </c>
      <c r="C51" s="131"/>
      <c r="D51" s="132"/>
      <c r="E51" s="75">
        <v>16850</v>
      </c>
      <c r="F51" s="75">
        <v>17821</v>
      </c>
      <c r="G51" s="75">
        <v>19539</v>
      </c>
      <c r="H51" s="75">
        <v>20178</v>
      </c>
      <c r="I51" s="75">
        <v>20753</v>
      </c>
    </row>
    <row r="52" spans="2:9" ht="17.25">
      <c r="B52" s="133" t="s">
        <v>48</v>
      </c>
      <c r="C52" s="133"/>
      <c r="D52" s="134"/>
      <c r="E52" s="77">
        <v>5058</v>
      </c>
      <c r="F52" s="77">
        <v>5876</v>
      </c>
      <c r="G52" s="77">
        <v>6957</v>
      </c>
      <c r="H52" s="77">
        <v>7486</v>
      </c>
      <c r="I52" s="77">
        <v>8729</v>
      </c>
    </row>
    <row r="53" spans="2:9" ht="18" thickBot="1">
      <c r="B53" s="135" t="s">
        <v>2</v>
      </c>
      <c r="C53" s="135"/>
      <c r="D53" s="136"/>
      <c r="E53" s="73">
        <v>5242</v>
      </c>
      <c r="F53" s="73">
        <v>5261</v>
      </c>
      <c r="G53" s="73">
        <v>5182</v>
      </c>
      <c r="H53" s="73">
        <v>5142</v>
      </c>
      <c r="I53" s="73">
        <v>3836</v>
      </c>
    </row>
    <row r="54" spans="2:9" s="65" customFormat="1" ht="18" thickBot="1">
      <c r="B54" s="137" t="s">
        <v>3</v>
      </c>
      <c r="C54" s="137"/>
      <c r="D54" s="138"/>
      <c r="E54" s="76">
        <v>799325</v>
      </c>
      <c r="F54" s="76">
        <v>834507</v>
      </c>
      <c r="G54" s="76">
        <v>913522</v>
      </c>
      <c r="H54" s="76">
        <v>977365</v>
      </c>
      <c r="I54" s="76">
        <v>1040069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37</v>
      </c>
      <c r="C82" s="23"/>
      <c r="D82" s="23"/>
      <c r="E82" s="23"/>
      <c r="F82" s="23"/>
      <c r="G82" s="23"/>
      <c r="H82" s="88" t="s">
        <v>11</v>
      </c>
      <c r="I82"/>
      <c r="J82"/>
      <c r="K82"/>
    </row>
    <row r="83" spans="2:11" ht="15.75" thickBot="1">
      <c r="B83" s="31" t="s">
        <v>17</v>
      </c>
      <c r="C83" s="67">
        <f>EDATE(D83,-1)</f>
        <v>42276</v>
      </c>
      <c r="D83" s="67">
        <f>EDATE(E83,-1)</f>
        <v>42306</v>
      </c>
      <c r="E83" s="67">
        <f>EDATE(F83,-1)</f>
        <v>42337</v>
      </c>
      <c r="F83" s="67">
        <f>EDATE(G83,-1)</f>
        <v>42367</v>
      </c>
      <c r="G83" s="67">
        <f>EDATE(H83,-1)</f>
        <v>42398</v>
      </c>
      <c r="H83" s="67">
        <f>EDATE(E11,1)</f>
        <v>42429</v>
      </c>
      <c r="I83"/>
      <c r="J83"/>
    </row>
    <row r="84" spans="2:11" ht="16.5" customHeight="1">
      <c r="B84" s="24" t="s">
        <v>0</v>
      </c>
      <c r="C84" s="74">
        <v>993268</v>
      </c>
      <c r="D84" s="74">
        <v>996118</v>
      </c>
      <c r="E84" s="74">
        <v>1001556</v>
      </c>
      <c r="F84" s="74">
        <v>1006751</v>
      </c>
      <c r="G84" s="74">
        <v>1012875</v>
      </c>
      <c r="H84" s="74">
        <v>1006765</v>
      </c>
    </row>
    <row r="85" spans="2:11" ht="16.5" customHeight="1">
      <c r="B85" s="25" t="s">
        <v>1</v>
      </c>
      <c r="C85" s="75">
        <v>21072</v>
      </c>
      <c r="D85" s="75">
        <v>20973</v>
      </c>
      <c r="E85" s="75">
        <v>21007</v>
      </c>
      <c r="F85" s="75">
        <v>20753</v>
      </c>
      <c r="G85" s="75">
        <v>20804</v>
      </c>
      <c r="H85" s="75">
        <v>18908</v>
      </c>
    </row>
    <row r="86" spans="2:11" ht="16.5" customHeight="1">
      <c r="B86" s="26" t="s">
        <v>48</v>
      </c>
      <c r="C86" s="77">
        <v>8775</v>
      </c>
      <c r="D86" s="77">
        <v>8894</v>
      </c>
      <c r="E86" s="77">
        <v>8699</v>
      </c>
      <c r="F86" s="77">
        <v>8729</v>
      </c>
      <c r="G86" s="77">
        <v>8764</v>
      </c>
      <c r="H86" s="77">
        <v>8657</v>
      </c>
    </row>
    <row r="87" spans="2:11" ht="16.5" customHeight="1" thickBot="1">
      <c r="B87" s="27" t="s">
        <v>2</v>
      </c>
      <c r="C87" s="73">
        <v>4323</v>
      </c>
      <c r="D87" s="73">
        <v>4266</v>
      </c>
      <c r="E87" s="73">
        <v>4148</v>
      </c>
      <c r="F87" s="73">
        <v>3836</v>
      </c>
      <c r="G87" s="73">
        <v>3848</v>
      </c>
      <c r="H87" s="73">
        <v>2930</v>
      </c>
    </row>
    <row r="88" spans="2:11" s="65" customFormat="1" ht="18" thickBot="1">
      <c r="B88" s="89" t="s">
        <v>3</v>
      </c>
      <c r="C88" s="76">
        <v>1027438</v>
      </c>
      <c r="D88" s="76">
        <v>1030251</v>
      </c>
      <c r="E88" s="76">
        <v>1035410</v>
      </c>
      <c r="F88" s="76">
        <v>1040069</v>
      </c>
      <c r="G88" s="76">
        <v>1046291</v>
      </c>
      <c r="H88" s="76">
        <v>1037260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22</v>
      </c>
      <c r="C124" s="83">
        <f>B3</f>
        <v>42429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5" t="s">
        <v>23</v>
      </c>
      <c r="C128" s="139"/>
      <c r="D128" s="139"/>
      <c r="E128" s="139"/>
      <c r="F128" s="139"/>
      <c r="G128" s="140" t="s">
        <v>4</v>
      </c>
      <c r="H128" s="141"/>
    </row>
    <row r="129" spans="2:10" ht="18" customHeight="1" thickBot="1">
      <c r="B129" s="115" t="s">
        <v>21</v>
      </c>
      <c r="C129" s="142"/>
      <c r="D129" s="142"/>
      <c r="E129" s="142"/>
      <c r="F129" s="142"/>
      <c r="G129" s="143">
        <v>379</v>
      </c>
      <c r="H129" s="144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20</v>
      </c>
      <c r="C133" s="32"/>
      <c r="D133" s="32"/>
      <c r="E133" s="33"/>
      <c r="F133" s="85">
        <f>C6</f>
        <v>42429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24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25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26" t="s">
        <v>18</v>
      </c>
      <c r="C138" s="126"/>
      <c r="D138" s="126"/>
      <c r="E138" s="126"/>
      <c r="F138" s="127"/>
      <c r="G138" s="118" t="s">
        <v>5</v>
      </c>
      <c r="H138" s="119"/>
      <c r="I138"/>
    </row>
    <row r="139" spans="2:10" ht="17.25" customHeight="1">
      <c r="B139" s="120" t="s">
        <v>40</v>
      </c>
      <c r="C139" s="120" t="s">
        <v>40</v>
      </c>
      <c r="D139" s="120" t="s">
        <v>40</v>
      </c>
      <c r="E139" s="120" t="s">
        <v>40</v>
      </c>
      <c r="F139" s="121" t="s">
        <v>40</v>
      </c>
      <c r="G139" s="122">
        <v>230467</v>
      </c>
      <c r="H139" s="123">
        <v>230467</v>
      </c>
      <c r="I139" s="46"/>
      <c r="J139" s="49"/>
    </row>
    <row r="140" spans="2:10" ht="13.5" customHeight="1">
      <c r="B140" s="110" t="s">
        <v>28</v>
      </c>
      <c r="C140" s="110" t="s">
        <v>28</v>
      </c>
      <c r="D140" s="110" t="s">
        <v>28</v>
      </c>
      <c r="E140" s="110" t="s">
        <v>28</v>
      </c>
      <c r="F140" s="111" t="s">
        <v>28</v>
      </c>
      <c r="G140" s="112">
        <v>182037</v>
      </c>
      <c r="H140" s="113">
        <v>182037</v>
      </c>
      <c r="I140" s="46"/>
      <c r="J140" s="49"/>
    </row>
    <row r="141" spans="2:10" ht="17.25" customHeight="1">
      <c r="B141" s="110" t="s">
        <v>41</v>
      </c>
      <c r="C141" s="110" t="s">
        <v>41</v>
      </c>
      <c r="D141" s="110" t="s">
        <v>41</v>
      </c>
      <c r="E141" s="110" t="s">
        <v>41</v>
      </c>
      <c r="F141" s="111" t="s">
        <v>41</v>
      </c>
      <c r="G141" s="112">
        <v>145047</v>
      </c>
      <c r="H141" s="113">
        <v>145047</v>
      </c>
      <c r="I141" s="46"/>
      <c r="J141" s="49"/>
    </row>
    <row r="142" spans="2:10" ht="17.25" customHeight="1">
      <c r="B142" s="110" t="s">
        <v>29</v>
      </c>
      <c r="C142" s="110" t="s">
        <v>29</v>
      </c>
      <c r="D142" s="110" t="s">
        <v>29</v>
      </c>
      <c r="E142" s="110" t="s">
        <v>29</v>
      </c>
      <c r="F142" s="111" t="s">
        <v>29</v>
      </c>
      <c r="G142" s="112">
        <v>145043</v>
      </c>
      <c r="H142" s="113">
        <v>145043</v>
      </c>
      <c r="I142" s="46"/>
      <c r="J142" s="49"/>
    </row>
    <row r="143" spans="2:10" ht="17.25" customHeight="1">
      <c r="B143" s="110" t="s">
        <v>39</v>
      </c>
      <c r="C143" s="110" t="s">
        <v>39</v>
      </c>
      <c r="D143" s="110" t="s">
        <v>39</v>
      </c>
      <c r="E143" s="110" t="s">
        <v>39</v>
      </c>
      <c r="F143" s="111" t="s">
        <v>39</v>
      </c>
      <c r="G143" s="112">
        <v>76490</v>
      </c>
      <c r="H143" s="113">
        <v>76490</v>
      </c>
      <c r="I143" s="46"/>
      <c r="J143" s="49"/>
    </row>
    <row r="144" spans="2:10" ht="13.5" customHeight="1">
      <c r="B144" s="110" t="s">
        <v>42</v>
      </c>
      <c r="C144" s="110" t="s">
        <v>42</v>
      </c>
      <c r="D144" s="110" t="s">
        <v>42</v>
      </c>
      <c r="E144" s="110" t="s">
        <v>42</v>
      </c>
      <c r="F144" s="111" t="s">
        <v>42</v>
      </c>
      <c r="G144" s="112">
        <v>61367</v>
      </c>
      <c r="H144" s="113">
        <v>61367</v>
      </c>
      <c r="I144" s="50"/>
      <c r="J144" s="49"/>
    </row>
    <row r="145" spans="2:13" ht="17.25" customHeight="1">
      <c r="B145" s="110" t="s">
        <v>30</v>
      </c>
      <c r="C145" s="110" t="s">
        <v>30</v>
      </c>
      <c r="D145" s="110" t="s">
        <v>30</v>
      </c>
      <c r="E145" s="110" t="s">
        <v>30</v>
      </c>
      <c r="F145" s="111" t="s">
        <v>30</v>
      </c>
      <c r="G145" s="112">
        <v>48201</v>
      </c>
      <c r="H145" s="113">
        <v>48201</v>
      </c>
      <c r="I145" s="46"/>
      <c r="J145" s="49"/>
    </row>
    <row r="146" spans="2:13" ht="17.25" customHeight="1">
      <c r="B146" s="110" t="s">
        <v>45</v>
      </c>
      <c r="C146" s="110" t="s">
        <v>45</v>
      </c>
      <c r="D146" s="110" t="s">
        <v>45</v>
      </c>
      <c r="E146" s="110" t="s">
        <v>45</v>
      </c>
      <c r="F146" s="111" t="s">
        <v>45</v>
      </c>
      <c r="G146" s="112">
        <v>32267</v>
      </c>
      <c r="H146" s="113">
        <v>32267</v>
      </c>
      <c r="I146" s="46"/>
      <c r="J146" s="49"/>
    </row>
    <row r="147" spans="2:13" ht="17.25" customHeight="1">
      <c r="B147" s="110" t="s">
        <v>31</v>
      </c>
      <c r="C147" s="110" t="s">
        <v>31</v>
      </c>
      <c r="D147" s="110" t="s">
        <v>31</v>
      </c>
      <c r="E147" s="110" t="s">
        <v>31</v>
      </c>
      <c r="F147" s="111" t="s">
        <v>31</v>
      </c>
      <c r="G147" s="112">
        <v>21036</v>
      </c>
      <c r="H147" s="113">
        <v>21036</v>
      </c>
      <c r="I147" s="46"/>
      <c r="J147" s="49"/>
      <c r="L147"/>
    </row>
    <row r="148" spans="2:13" ht="18" customHeight="1" thickBot="1">
      <c r="B148" s="114" t="s">
        <v>32</v>
      </c>
      <c r="C148" s="114" t="s">
        <v>32</v>
      </c>
      <c r="D148" s="114" t="s">
        <v>32</v>
      </c>
      <c r="E148" s="114" t="s">
        <v>32</v>
      </c>
      <c r="F148" s="115" t="s">
        <v>32</v>
      </c>
      <c r="G148" s="116">
        <v>19859</v>
      </c>
      <c r="H148" s="117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26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4" t="s">
        <v>18</v>
      </c>
      <c r="C153" s="124"/>
      <c r="D153" s="124"/>
      <c r="E153" s="124"/>
      <c r="F153" s="125"/>
      <c r="G153" s="119" t="s">
        <v>5</v>
      </c>
      <c r="H153" s="119"/>
      <c r="I153" s="51"/>
      <c r="J153" s="51"/>
      <c r="K153"/>
      <c r="L153"/>
      <c r="M153"/>
    </row>
    <row r="154" spans="2:13" ht="17.25" customHeight="1">
      <c r="B154" s="120" t="s">
        <v>28</v>
      </c>
      <c r="C154" s="120" t="s">
        <v>28</v>
      </c>
      <c r="D154" s="120" t="s">
        <v>28</v>
      </c>
      <c r="E154" s="120" t="s">
        <v>28</v>
      </c>
      <c r="F154" s="121" t="s">
        <v>28</v>
      </c>
      <c r="G154" s="122">
        <v>13681</v>
      </c>
      <c r="H154" s="123">
        <v>13681</v>
      </c>
      <c r="I154" s="52"/>
      <c r="J154" s="49"/>
      <c r="K154" s="48"/>
      <c r="L154"/>
      <c r="M154"/>
    </row>
    <row r="155" spans="2:13" ht="17.25" customHeight="1">
      <c r="B155" s="110" t="s">
        <v>29</v>
      </c>
      <c r="C155" s="110" t="s">
        <v>29</v>
      </c>
      <c r="D155" s="110" t="s">
        <v>29</v>
      </c>
      <c r="E155" s="110" t="s">
        <v>29</v>
      </c>
      <c r="F155" s="111" t="s">
        <v>29</v>
      </c>
      <c r="G155" s="112">
        <v>11170</v>
      </c>
      <c r="H155" s="113">
        <v>11170</v>
      </c>
      <c r="I155" s="52"/>
      <c r="J155" s="49"/>
      <c r="K155" s="48"/>
      <c r="L155"/>
      <c r="M155"/>
    </row>
    <row r="156" spans="2:13" ht="17.25" customHeight="1">
      <c r="B156" s="110" t="s">
        <v>41</v>
      </c>
      <c r="C156" s="110" t="s">
        <v>41</v>
      </c>
      <c r="D156" s="110" t="s">
        <v>41</v>
      </c>
      <c r="E156" s="110" t="s">
        <v>41</v>
      </c>
      <c r="F156" s="111" t="s">
        <v>41</v>
      </c>
      <c r="G156" s="112">
        <v>11116</v>
      </c>
      <c r="H156" s="113">
        <v>11116</v>
      </c>
      <c r="I156" s="52"/>
      <c r="J156" s="49"/>
      <c r="K156" s="48"/>
      <c r="L156"/>
      <c r="M156"/>
    </row>
    <row r="157" spans="2:13" ht="17.25">
      <c r="B157" s="110" t="s">
        <v>40</v>
      </c>
      <c r="C157" s="110" t="s">
        <v>40</v>
      </c>
      <c r="D157" s="110" t="s">
        <v>40</v>
      </c>
      <c r="E157" s="110" t="s">
        <v>40</v>
      </c>
      <c r="F157" s="111" t="s">
        <v>40</v>
      </c>
      <c r="G157" s="112">
        <v>10956</v>
      </c>
      <c r="H157" s="113">
        <v>10956</v>
      </c>
      <c r="I157" s="52"/>
      <c r="J157" s="49"/>
      <c r="K157" s="48"/>
      <c r="L157"/>
      <c r="M157"/>
    </row>
    <row r="158" spans="2:13" ht="17.25" customHeight="1">
      <c r="B158" s="110" t="s">
        <v>39</v>
      </c>
      <c r="C158" s="110" t="s">
        <v>39</v>
      </c>
      <c r="D158" s="110" t="s">
        <v>39</v>
      </c>
      <c r="E158" s="110" t="s">
        <v>39</v>
      </c>
      <c r="F158" s="111" t="s">
        <v>39</v>
      </c>
      <c r="G158" s="112">
        <v>7875</v>
      </c>
      <c r="H158" s="113">
        <v>7875</v>
      </c>
      <c r="I158" s="52"/>
      <c r="J158" s="49"/>
      <c r="K158" s="48"/>
      <c r="L158"/>
      <c r="M158"/>
    </row>
    <row r="159" spans="2:13" ht="17.25" customHeight="1">
      <c r="B159" s="110" t="s">
        <v>42</v>
      </c>
      <c r="C159" s="110" t="s">
        <v>42</v>
      </c>
      <c r="D159" s="110" t="s">
        <v>42</v>
      </c>
      <c r="E159" s="110" t="s">
        <v>42</v>
      </c>
      <c r="F159" s="111" t="s">
        <v>42</v>
      </c>
      <c r="G159" s="112">
        <v>4262</v>
      </c>
      <c r="H159" s="113">
        <v>4262</v>
      </c>
      <c r="I159" s="53"/>
      <c r="J159" s="49"/>
      <c r="K159" s="48"/>
      <c r="L159"/>
      <c r="M159"/>
    </row>
    <row r="160" spans="2:13" ht="17.25" customHeight="1">
      <c r="B160" s="110" t="s">
        <v>30</v>
      </c>
      <c r="C160" s="110" t="s">
        <v>30</v>
      </c>
      <c r="D160" s="110" t="s">
        <v>30</v>
      </c>
      <c r="E160" s="110" t="s">
        <v>30</v>
      </c>
      <c r="F160" s="111" t="s">
        <v>30</v>
      </c>
      <c r="G160" s="112">
        <v>2937</v>
      </c>
      <c r="H160" s="113">
        <v>2937</v>
      </c>
      <c r="I160" s="52"/>
      <c r="J160" s="49"/>
      <c r="K160" s="48"/>
      <c r="L160"/>
      <c r="M160"/>
    </row>
    <row r="161" spans="2:13" ht="17.25" customHeight="1">
      <c r="B161" s="110" t="s">
        <v>43</v>
      </c>
      <c r="C161" s="110" t="s">
        <v>43</v>
      </c>
      <c r="D161" s="110" t="s">
        <v>43</v>
      </c>
      <c r="E161" s="110" t="s">
        <v>43</v>
      </c>
      <c r="F161" s="111" t="s">
        <v>43</v>
      </c>
      <c r="G161" s="112">
        <v>2285</v>
      </c>
      <c r="H161" s="113">
        <v>2285</v>
      </c>
      <c r="I161" s="52"/>
      <c r="J161" s="49"/>
      <c r="K161" s="48"/>
      <c r="L161"/>
      <c r="M161"/>
    </row>
    <row r="162" spans="2:13" ht="17.25" customHeight="1">
      <c r="B162" s="110" t="s">
        <v>44</v>
      </c>
      <c r="C162" s="110" t="s">
        <v>44</v>
      </c>
      <c r="D162" s="110" t="s">
        <v>44</v>
      </c>
      <c r="E162" s="110" t="s">
        <v>44</v>
      </c>
      <c r="F162" s="111" t="s">
        <v>44</v>
      </c>
      <c r="G162" s="112">
        <v>1503</v>
      </c>
      <c r="H162" s="113">
        <v>1503</v>
      </c>
      <c r="I162" s="52"/>
      <c r="J162" s="49"/>
      <c r="K162" s="48"/>
      <c r="L162"/>
      <c r="M162"/>
    </row>
    <row r="163" spans="2:13" ht="18" customHeight="1" thickBot="1">
      <c r="B163" s="114" t="s">
        <v>31</v>
      </c>
      <c r="C163" s="114" t="s">
        <v>31</v>
      </c>
      <c r="D163" s="114" t="s">
        <v>31</v>
      </c>
      <c r="E163" s="114" t="s">
        <v>31</v>
      </c>
      <c r="F163" s="115" t="s">
        <v>31</v>
      </c>
      <c r="G163" s="116">
        <v>1326</v>
      </c>
      <c r="H163" s="117">
        <v>1326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27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24" t="s">
        <v>18</v>
      </c>
      <c r="C168" s="124"/>
      <c r="D168" s="124"/>
      <c r="E168" s="124"/>
      <c r="F168" s="125"/>
      <c r="G168" s="119" t="s">
        <v>8</v>
      </c>
      <c r="H168" s="119"/>
      <c r="I168" s="2"/>
      <c r="J168" s="2"/>
    </row>
    <row r="169" spans="2:13" ht="17.25" customHeight="1">
      <c r="B169" s="120" t="s">
        <v>38</v>
      </c>
      <c r="C169" s="120" t="s">
        <v>38</v>
      </c>
      <c r="D169" s="120" t="s">
        <v>38</v>
      </c>
      <c r="E169" s="120" t="s">
        <v>38</v>
      </c>
      <c r="F169" s="121" t="s">
        <v>38</v>
      </c>
      <c r="G169" s="122">
        <v>1229411259415.52</v>
      </c>
      <c r="H169" s="123">
        <v>1229411259415.52</v>
      </c>
      <c r="I169" s="54"/>
      <c r="J169" s="55"/>
    </row>
    <row r="170" spans="2:13" ht="17.25" customHeight="1">
      <c r="B170" s="110" t="s">
        <v>29</v>
      </c>
      <c r="C170" s="110" t="s">
        <v>29</v>
      </c>
      <c r="D170" s="110" t="s">
        <v>29</v>
      </c>
      <c r="E170" s="110" t="s">
        <v>29</v>
      </c>
      <c r="F170" s="111" t="s">
        <v>29</v>
      </c>
      <c r="G170" s="112">
        <v>1160833306621.49</v>
      </c>
      <c r="H170" s="113">
        <v>1160833306621.49</v>
      </c>
      <c r="I170" s="54"/>
      <c r="J170" s="55"/>
    </row>
    <row r="171" spans="2:13" ht="17.25" customHeight="1">
      <c r="B171" s="110" t="s">
        <v>39</v>
      </c>
      <c r="C171" s="110" t="s">
        <v>39</v>
      </c>
      <c r="D171" s="110" t="s">
        <v>39</v>
      </c>
      <c r="E171" s="110" t="s">
        <v>39</v>
      </c>
      <c r="F171" s="111" t="s">
        <v>39</v>
      </c>
      <c r="G171" s="112">
        <v>818271925055.15002</v>
      </c>
      <c r="H171" s="113">
        <v>818271925055.15002</v>
      </c>
      <c r="I171" s="54"/>
      <c r="J171" s="55"/>
    </row>
    <row r="172" spans="2:13" ht="17.25" customHeight="1">
      <c r="B172" s="110" t="s">
        <v>28</v>
      </c>
      <c r="C172" s="110" t="s">
        <v>28</v>
      </c>
      <c r="D172" s="110" t="s">
        <v>28</v>
      </c>
      <c r="E172" s="110" t="s">
        <v>28</v>
      </c>
      <c r="F172" s="111" t="s">
        <v>28</v>
      </c>
      <c r="G172" s="112">
        <v>591253321755.32996</v>
      </c>
      <c r="H172" s="113">
        <v>591253321755.32996</v>
      </c>
      <c r="I172" s="54"/>
      <c r="J172" s="55"/>
    </row>
    <row r="173" spans="2:13" ht="17.25" customHeight="1">
      <c r="B173" s="110" t="s">
        <v>46</v>
      </c>
      <c r="C173" s="110" t="s">
        <v>46</v>
      </c>
      <c r="D173" s="110" t="s">
        <v>46</v>
      </c>
      <c r="E173" s="110" t="s">
        <v>46</v>
      </c>
      <c r="F173" s="111" t="s">
        <v>46</v>
      </c>
      <c r="G173" s="112">
        <v>365884082071.58002</v>
      </c>
      <c r="H173" s="113">
        <v>365884082071.58002</v>
      </c>
      <c r="I173" s="56"/>
      <c r="J173" s="49"/>
    </row>
    <row r="174" spans="2:13" ht="17.25" customHeight="1">
      <c r="B174" s="110" t="s">
        <v>44</v>
      </c>
      <c r="C174" s="110" t="s">
        <v>44</v>
      </c>
      <c r="D174" s="110" t="s">
        <v>44</v>
      </c>
      <c r="E174" s="110" t="s">
        <v>44</v>
      </c>
      <c r="F174" s="111" t="s">
        <v>44</v>
      </c>
      <c r="G174" s="112">
        <v>349480837138.42999</v>
      </c>
      <c r="H174" s="113">
        <v>349480837138.42999</v>
      </c>
      <c r="I174" s="54"/>
      <c r="J174" s="55"/>
    </row>
    <row r="175" spans="2:13" ht="17.25" customHeight="1">
      <c r="B175" s="110" t="s">
        <v>33</v>
      </c>
      <c r="C175" s="110" t="s">
        <v>33</v>
      </c>
      <c r="D175" s="110" t="s">
        <v>33</v>
      </c>
      <c r="E175" s="110" t="s">
        <v>33</v>
      </c>
      <c r="F175" s="111" t="s">
        <v>33</v>
      </c>
      <c r="G175" s="112">
        <v>321738443618.26001</v>
      </c>
      <c r="H175" s="113">
        <v>321738443618.26001</v>
      </c>
      <c r="I175" s="54"/>
      <c r="J175" s="55"/>
    </row>
    <row r="176" spans="2:13" ht="17.25" customHeight="1">
      <c r="B176" s="110" t="s">
        <v>51</v>
      </c>
      <c r="C176" s="110" t="s">
        <v>51</v>
      </c>
      <c r="D176" s="110" t="s">
        <v>51</v>
      </c>
      <c r="E176" s="110" t="s">
        <v>51</v>
      </c>
      <c r="F176" s="111" t="s">
        <v>51</v>
      </c>
      <c r="G176" s="112">
        <v>272733916761.54001</v>
      </c>
      <c r="H176" s="113">
        <v>272733916761.54001</v>
      </c>
      <c r="I176" s="54"/>
      <c r="J176" s="55"/>
    </row>
    <row r="177" spans="2:10" ht="17.25" customHeight="1">
      <c r="B177" s="110" t="s">
        <v>41</v>
      </c>
      <c r="C177" s="110" t="s">
        <v>41</v>
      </c>
      <c r="D177" s="110" t="s">
        <v>41</v>
      </c>
      <c r="E177" s="110" t="s">
        <v>41</v>
      </c>
      <c r="F177" s="111" t="s">
        <v>41</v>
      </c>
      <c r="G177" s="112">
        <v>255271472047.64999</v>
      </c>
      <c r="H177" s="113">
        <v>255271472047.64999</v>
      </c>
      <c r="I177" s="54"/>
      <c r="J177" s="55"/>
    </row>
    <row r="178" spans="2:10" ht="18" customHeight="1" thickBot="1">
      <c r="B178" s="114" t="s">
        <v>30</v>
      </c>
      <c r="C178" s="114" t="s">
        <v>30</v>
      </c>
      <c r="D178" s="114" t="s">
        <v>30</v>
      </c>
      <c r="E178" s="114" t="s">
        <v>30</v>
      </c>
      <c r="F178" s="115" t="s">
        <v>30</v>
      </c>
      <c r="G178" s="116">
        <v>249969984976.91</v>
      </c>
      <c r="H178" s="117">
        <v>249969984976.91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178:F178"/>
    <mergeCell ref="G178:H178"/>
    <mergeCell ref="B175:F175"/>
    <mergeCell ref="G175:H175"/>
    <mergeCell ref="B176:F176"/>
    <mergeCell ref="G176:H176"/>
    <mergeCell ref="B177:F177"/>
    <mergeCell ref="G177:H177"/>
    <mergeCell ref="B172:F172"/>
    <mergeCell ref="G172:H172"/>
    <mergeCell ref="B173:F173"/>
    <mergeCell ref="G173:H173"/>
    <mergeCell ref="B174:F174"/>
    <mergeCell ref="G174:H174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68:F168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50529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50529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09">
    <pageSetUpPr fitToPage="1"/>
  </sheetPr>
  <dimension ref="B2:N180"/>
  <sheetViews>
    <sheetView topLeftCell="A13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55" t="s">
        <v>14</v>
      </c>
      <c r="C2" s="155"/>
      <c r="D2" s="155"/>
      <c r="E2" s="155"/>
      <c r="F2" s="155"/>
      <c r="G2" s="155"/>
      <c r="H2" s="155"/>
    </row>
    <row r="3" spans="2:14" s="1" customFormat="1" ht="21" thickBot="1">
      <c r="B3" s="156">
        <v>42460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19</v>
      </c>
      <c r="C6" s="62">
        <f>B3</f>
        <v>42460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34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57" t="s">
        <v>17</v>
      </c>
      <c r="C11" s="157"/>
      <c r="D11" s="158"/>
      <c r="E11" s="67">
        <f>EDATE(B3,-1)</f>
        <v>42429</v>
      </c>
      <c r="F11" s="67">
        <f>B3</f>
        <v>42460</v>
      </c>
      <c r="G11" s="44" t="s">
        <v>9</v>
      </c>
      <c r="H11" s="44" t="s">
        <v>10</v>
      </c>
      <c r="J11" s="71"/>
    </row>
    <row r="12" spans="2:14" s="70" customFormat="1" ht="17.25">
      <c r="B12" s="153" t="s">
        <v>0</v>
      </c>
      <c r="C12" s="153"/>
      <c r="D12" s="154"/>
      <c r="E12" s="72">
        <f>February!F12</f>
        <v>1299435</v>
      </c>
      <c r="F12" s="78">
        <v>1311606</v>
      </c>
      <c r="G12" s="11">
        <f>F12-E12</f>
        <v>12171</v>
      </c>
      <c r="H12" s="58">
        <f t="shared" ref="H12:H18" si="0">F12/E12-1</f>
        <v>9.3663784644864023E-3</v>
      </c>
      <c r="I12" s="79"/>
      <c r="J12" s="80"/>
    </row>
    <row r="13" spans="2:14" s="70" customFormat="1" ht="17.25">
      <c r="B13" s="147" t="s">
        <v>1</v>
      </c>
      <c r="C13" s="147"/>
      <c r="D13" s="148"/>
      <c r="E13" s="72">
        <f>February!F13</f>
        <v>30184</v>
      </c>
      <c r="F13" s="78">
        <v>30416</v>
      </c>
      <c r="G13" s="11">
        <f t="shared" ref="G13:G18" si="1">F13-E13</f>
        <v>232</v>
      </c>
      <c r="H13" s="58">
        <f t="shared" si="0"/>
        <v>7.6861913596606435E-3</v>
      </c>
      <c r="I13" s="79"/>
      <c r="J13" s="80"/>
    </row>
    <row r="14" spans="2:14" s="70" customFormat="1" ht="17.25">
      <c r="B14" s="147" t="s">
        <v>48</v>
      </c>
      <c r="C14" s="147"/>
      <c r="D14" s="148"/>
      <c r="E14" s="72">
        <f>February!F14</f>
        <v>13261</v>
      </c>
      <c r="F14" s="78">
        <v>13565</v>
      </c>
      <c r="G14" s="11">
        <f t="shared" si="1"/>
        <v>304</v>
      </c>
      <c r="H14" s="58">
        <f t="shared" si="0"/>
        <v>2.2924364678380105E-2</v>
      </c>
      <c r="I14" s="79"/>
      <c r="J14" s="80"/>
    </row>
    <row r="15" spans="2:14" s="70" customFormat="1" ht="17.25">
      <c r="B15" s="149" t="s">
        <v>49</v>
      </c>
      <c r="C15" s="149"/>
      <c r="D15" s="150"/>
      <c r="E15" s="72">
        <f>February!F15</f>
        <v>5006</v>
      </c>
      <c r="F15" s="78">
        <v>5131</v>
      </c>
      <c r="G15" s="11">
        <f t="shared" si="1"/>
        <v>125</v>
      </c>
      <c r="H15" s="58">
        <f t="shared" si="0"/>
        <v>2.4970035956851877E-2</v>
      </c>
      <c r="I15" s="79"/>
      <c r="J15" s="80"/>
    </row>
    <row r="16" spans="2:14" s="70" customFormat="1" ht="17.25">
      <c r="B16" s="151" t="s">
        <v>50</v>
      </c>
      <c r="C16" s="151"/>
      <c r="D16" s="152"/>
      <c r="E16" s="72">
        <f>February!F16</f>
        <v>8255</v>
      </c>
      <c r="F16" s="78">
        <v>8434</v>
      </c>
      <c r="G16" s="11">
        <f t="shared" si="1"/>
        <v>179</v>
      </c>
      <c r="H16" s="58">
        <f t="shared" si="0"/>
        <v>2.1683827983040471E-2</v>
      </c>
      <c r="I16" s="79"/>
      <c r="J16" s="80"/>
    </row>
    <row r="17" spans="2:10" s="70" customFormat="1" ht="18" customHeight="1" thickBot="1">
      <c r="B17" s="145" t="s">
        <v>2</v>
      </c>
      <c r="C17" s="145"/>
      <c r="D17" s="146"/>
      <c r="E17" s="72">
        <f>February!F17</f>
        <v>14108</v>
      </c>
      <c r="F17" s="78">
        <v>13312</v>
      </c>
      <c r="G17" s="11">
        <f t="shared" si="1"/>
        <v>-796</v>
      </c>
      <c r="H17" s="58">
        <f t="shared" si="0"/>
        <v>-5.6421888290331679E-2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f>February!F18</f>
        <v>1356988</v>
      </c>
      <c r="F18" s="66">
        <v>1368899</v>
      </c>
      <c r="G18" s="66">
        <f t="shared" si="1"/>
        <v>11911</v>
      </c>
      <c r="H18" s="63">
        <f t="shared" si="0"/>
        <v>8.7775278779178567E-3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35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57" t="s">
        <v>17</v>
      </c>
      <c r="C22" s="157"/>
      <c r="D22" s="158"/>
      <c r="E22" s="67">
        <f>EDATE(B3,-1)</f>
        <v>42429</v>
      </c>
      <c r="F22" s="67">
        <f>F11</f>
        <v>42460</v>
      </c>
      <c r="G22" s="44" t="s">
        <v>9</v>
      </c>
      <c r="H22" s="44" t="s">
        <v>10</v>
      </c>
      <c r="J22" s="71"/>
    </row>
    <row r="23" spans="2:10" s="70" customFormat="1" ht="17.25">
      <c r="B23" s="153" t="s">
        <v>0</v>
      </c>
      <c r="C23" s="153"/>
      <c r="D23" s="154"/>
      <c r="E23" s="72">
        <f>February!F23</f>
        <v>1006765</v>
      </c>
      <c r="F23" s="78">
        <v>1008379</v>
      </c>
      <c r="G23" s="11">
        <f>F23-E23</f>
        <v>1614</v>
      </c>
      <c r="H23" s="58">
        <f>F23/E23-1</f>
        <v>1.6031546587336187E-3</v>
      </c>
      <c r="I23" s="80"/>
    </row>
    <row r="24" spans="2:10" s="70" customFormat="1" ht="17.25">
      <c r="B24" s="147" t="s">
        <v>1</v>
      </c>
      <c r="C24" s="147"/>
      <c r="D24" s="148"/>
      <c r="E24" s="72">
        <f>February!F24</f>
        <v>18908</v>
      </c>
      <c r="F24" s="78">
        <v>19035</v>
      </c>
      <c r="G24" s="11">
        <f t="shared" ref="G24:G29" si="2">F24-E24</f>
        <v>127</v>
      </c>
      <c r="H24" s="58">
        <f t="shared" ref="H24:H29" si="3">F24/E24-1</f>
        <v>6.7167336577109715E-3</v>
      </c>
      <c r="I24" s="80"/>
    </row>
    <row r="25" spans="2:10" s="70" customFormat="1" ht="17.25">
      <c r="B25" s="147" t="s">
        <v>48</v>
      </c>
      <c r="C25" s="147"/>
      <c r="D25" s="148"/>
      <c r="E25" s="72">
        <f>February!F25</f>
        <v>8657</v>
      </c>
      <c r="F25" s="78">
        <v>8480</v>
      </c>
      <c r="G25" s="11">
        <f t="shared" si="2"/>
        <v>-177</v>
      </c>
      <c r="H25" s="58">
        <f t="shared" si="3"/>
        <v>-2.0445881945246658E-2</v>
      </c>
      <c r="I25" s="80"/>
    </row>
    <row r="26" spans="2:10" s="70" customFormat="1" ht="17.25">
      <c r="B26" s="149" t="s">
        <v>49</v>
      </c>
      <c r="C26" s="149"/>
      <c r="D26" s="150"/>
      <c r="E26" s="72">
        <f>February!F26</f>
        <v>4697</v>
      </c>
      <c r="F26" s="78">
        <v>4794</v>
      </c>
      <c r="G26" s="11">
        <f t="shared" si="2"/>
        <v>97</v>
      </c>
      <c r="H26" s="58">
        <f t="shared" si="3"/>
        <v>2.0651479667873174E-2</v>
      </c>
      <c r="I26" s="80"/>
    </row>
    <row r="27" spans="2:10" s="70" customFormat="1" ht="17.25">
      <c r="B27" s="151" t="s">
        <v>50</v>
      </c>
      <c r="C27" s="151"/>
      <c r="D27" s="152"/>
      <c r="E27" s="72">
        <f>February!F27</f>
        <v>3960</v>
      </c>
      <c r="F27" s="78">
        <v>3686</v>
      </c>
      <c r="G27" s="11">
        <f t="shared" si="2"/>
        <v>-274</v>
      </c>
      <c r="H27" s="58">
        <f t="shared" si="3"/>
        <v>-6.9191919191919138E-2</v>
      </c>
      <c r="I27" s="80"/>
    </row>
    <row r="28" spans="2:10" s="70" customFormat="1" ht="18" customHeight="1" thickBot="1">
      <c r="B28" s="145" t="s">
        <v>2</v>
      </c>
      <c r="C28" s="145"/>
      <c r="D28" s="146"/>
      <c r="E28" s="72">
        <f>February!F28</f>
        <v>2930</v>
      </c>
      <c r="F28" s="78">
        <v>2548</v>
      </c>
      <c r="G28" s="11">
        <f t="shared" si="2"/>
        <v>-382</v>
      </c>
      <c r="H28" s="58">
        <f t="shared" si="3"/>
        <v>-0.13037542662116042</v>
      </c>
      <c r="I28" s="80"/>
    </row>
    <row r="29" spans="2:10" s="64" customFormat="1" ht="18" thickBot="1">
      <c r="B29" s="59" t="s">
        <v>3</v>
      </c>
      <c r="C29" s="59"/>
      <c r="D29" s="60"/>
      <c r="E29" s="66">
        <f>February!F29</f>
        <v>1037260</v>
      </c>
      <c r="F29" s="66">
        <v>1038442</v>
      </c>
      <c r="G29" s="66">
        <f t="shared" si="2"/>
        <v>1182</v>
      </c>
      <c r="H29" s="63">
        <f t="shared" si="3"/>
        <v>1.1395407130323498E-3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15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4" t="s">
        <v>17</v>
      </c>
      <c r="C33" s="124"/>
      <c r="D33" s="125"/>
      <c r="E33" s="67">
        <f>EDATE(B3,-1)</f>
        <v>42429</v>
      </c>
      <c r="F33" s="67">
        <f>F11</f>
        <v>42460</v>
      </c>
      <c r="G33" s="16" t="s">
        <v>9</v>
      </c>
      <c r="H33" s="16" t="s">
        <v>10</v>
      </c>
    </row>
    <row r="34" spans="2:9" ht="17.25">
      <c r="B34" s="153" t="s">
        <v>0</v>
      </c>
      <c r="C34" s="153"/>
      <c r="D34" s="154"/>
      <c r="E34" s="72">
        <f>February!F34</f>
        <v>73550</v>
      </c>
      <c r="F34" s="72">
        <v>79397</v>
      </c>
      <c r="G34" s="11">
        <f t="shared" ref="G34:G40" si="4">F34-E34</f>
        <v>5847</v>
      </c>
      <c r="H34" s="58">
        <f t="shared" ref="H34:H40" si="5">F34/E34-1</f>
        <v>7.9496940856560228E-2</v>
      </c>
      <c r="I34" s="57"/>
    </row>
    <row r="35" spans="2:9" ht="17.25">
      <c r="B35" s="147" t="s">
        <v>1</v>
      </c>
      <c r="C35" s="147"/>
      <c r="D35" s="148"/>
      <c r="E35" s="72">
        <f>February!F35</f>
        <v>1044</v>
      </c>
      <c r="F35" s="72">
        <v>1099</v>
      </c>
      <c r="G35" s="11">
        <f t="shared" si="4"/>
        <v>55</v>
      </c>
      <c r="H35" s="58">
        <f t="shared" si="5"/>
        <v>5.268199233716464E-2</v>
      </c>
      <c r="I35" s="57"/>
    </row>
    <row r="36" spans="2:9" ht="17.25">
      <c r="B36" s="147" t="s">
        <v>48</v>
      </c>
      <c r="C36" s="147"/>
      <c r="D36" s="148"/>
      <c r="E36" s="72">
        <f>February!F36</f>
        <v>642</v>
      </c>
      <c r="F36" s="72">
        <v>670</v>
      </c>
      <c r="G36" s="11">
        <f t="shared" si="4"/>
        <v>28</v>
      </c>
      <c r="H36" s="58">
        <f t="shared" si="5"/>
        <v>4.3613707165109039E-2</v>
      </c>
      <c r="I36" s="57"/>
    </row>
    <row r="37" spans="2:9" ht="17.25">
      <c r="B37" s="149" t="s">
        <v>49</v>
      </c>
      <c r="C37" s="149"/>
      <c r="D37" s="150"/>
      <c r="E37" s="72">
        <f>February!F37</f>
        <v>318</v>
      </c>
      <c r="F37" s="72">
        <v>336</v>
      </c>
      <c r="G37" s="11">
        <f t="shared" si="4"/>
        <v>18</v>
      </c>
      <c r="H37" s="58">
        <f t="shared" si="5"/>
        <v>5.6603773584905648E-2</v>
      </c>
      <c r="I37" s="57"/>
    </row>
    <row r="38" spans="2:9" ht="17.25">
      <c r="B38" s="151" t="s">
        <v>50</v>
      </c>
      <c r="C38" s="151"/>
      <c r="D38" s="152"/>
      <c r="E38" s="72">
        <f>February!F38</f>
        <v>324</v>
      </c>
      <c r="F38" s="72">
        <v>334</v>
      </c>
      <c r="G38" s="11">
        <f t="shared" si="4"/>
        <v>10</v>
      </c>
      <c r="H38" s="58">
        <f t="shared" si="5"/>
        <v>3.0864197530864113E-2</v>
      </c>
      <c r="I38" s="57"/>
    </row>
    <row r="39" spans="2:9" ht="18" customHeight="1" thickBot="1">
      <c r="B39" s="145" t="s">
        <v>2</v>
      </c>
      <c r="C39" s="145"/>
      <c r="D39" s="146"/>
      <c r="E39" s="72">
        <f>February!F39</f>
        <v>554</v>
      </c>
      <c r="F39" s="72">
        <v>506</v>
      </c>
      <c r="G39" s="11">
        <f t="shared" si="4"/>
        <v>-48</v>
      </c>
      <c r="H39" s="58">
        <f t="shared" si="5"/>
        <v>-8.6642599277978349E-2</v>
      </c>
      <c r="I39" s="57"/>
    </row>
    <row r="40" spans="2:9" s="64" customFormat="1" ht="18" thickBot="1">
      <c r="B40" s="59" t="s">
        <v>3</v>
      </c>
      <c r="C40" s="59"/>
      <c r="D40" s="60"/>
      <c r="E40" s="66">
        <f>February!F40</f>
        <v>75790</v>
      </c>
      <c r="F40" s="66">
        <v>81672</v>
      </c>
      <c r="G40" s="66">
        <f t="shared" si="4"/>
        <v>5882</v>
      </c>
      <c r="H40" s="63">
        <f t="shared" si="5"/>
        <v>7.7609183269560678E-2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16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36</v>
      </c>
      <c r="C48" s="23"/>
      <c r="D48" s="23"/>
      <c r="E48" s="23"/>
      <c r="F48" s="23"/>
      <c r="G48" s="23"/>
      <c r="H48" s="128" t="s">
        <v>12</v>
      </c>
      <c r="I48" s="128"/>
    </row>
    <row r="49" spans="2:9" ht="15.75" thickBot="1">
      <c r="B49" s="124" t="s">
        <v>17</v>
      </c>
      <c r="C49" s="124"/>
      <c r="D49" s="125"/>
      <c r="E49" s="67">
        <v>40908</v>
      </c>
      <c r="F49" s="67">
        <v>41274</v>
      </c>
      <c r="G49" s="67">
        <v>41639</v>
      </c>
      <c r="H49" s="67">
        <v>42004</v>
      </c>
      <c r="I49" s="67">
        <v>42369</v>
      </c>
    </row>
    <row r="50" spans="2:9" ht="17.25">
      <c r="B50" s="129" t="s">
        <v>0</v>
      </c>
      <c r="C50" s="129"/>
      <c r="D50" s="130"/>
      <c r="E50" s="74">
        <v>772175</v>
      </c>
      <c r="F50" s="74">
        <v>805549</v>
      </c>
      <c r="G50" s="74">
        <v>881844</v>
      </c>
      <c r="H50" s="74">
        <v>944559</v>
      </c>
      <c r="I50" s="74">
        <v>1006751</v>
      </c>
    </row>
    <row r="51" spans="2:9" ht="17.25">
      <c r="B51" s="131" t="s">
        <v>1</v>
      </c>
      <c r="C51" s="131"/>
      <c r="D51" s="132"/>
      <c r="E51" s="75">
        <v>16850</v>
      </c>
      <c r="F51" s="75">
        <v>17821</v>
      </c>
      <c r="G51" s="75">
        <v>19539</v>
      </c>
      <c r="H51" s="75">
        <v>20178</v>
      </c>
      <c r="I51" s="75">
        <v>20753</v>
      </c>
    </row>
    <row r="52" spans="2:9" ht="17.25">
      <c r="B52" s="133" t="s">
        <v>48</v>
      </c>
      <c r="C52" s="133"/>
      <c r="D52" s="134"/>
      <c r="E52" s="77">
        <v>5058</v>
      </c>
      <c r="F52" s="77">
        <v>5876</v>
      </c>
      <c r="G52" s="77">
        <v>6957</v>
      </c>
      <c r="H52" s="77">
        <v>7486</v>
      </c>
      <c r="I52" s="77">
        <v>8729</v>
      </c>
    </row>
    <row r="53" spans="2:9" ht="18" thickBot="1">
      <c r="B53" s="135" t="s">
        <v>2</v>
      </c>
      <c r="C53" s="135"/>
      <c r="D53" s="136"/>
      <c r="E53" s="73">
        <v>5242</v>
      </c>
      <c r="F53" s="73">
        <v>5261</v>
      </c>
      <c r="G53" s="73">
        <v>5182</v>
      </c>
      <c r="H53" s="73">
        <v>5142</v>
      </c>
      <c r="I53" s="73">
        <v>3836</v>
      </c>
    </row>
    <row r="54" spans="2:9" s="65" customFormat="1" ht="18" thickBot="1">
      <c r="B54" s="137" t="s">
        <v>3</v>
      </c>
      <c r="C54" s="137"/>
      <c r="D54" s="138"/>
      <c r="E54" s="76">
        <v>799325</v>
      </c>
      <c r="F54" s="76">
        <v>834507</v>
      </c>
      <c r="G54" s="76">
        <v>913522</v>
      </c>
      <c r="H54" s="76">
        <v>977365</v>
      </c>
      <c r="I54" s="76">
        <v>1040069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37</v>
      </c>
      <c r="C82" s="23"/>
      <c r="D82" s="23"/>
      <c r="E82" s="23"/>
      <c r="F82" s="23"/>
      <c r="G82" s="23"/>
      <c r="H82" s="90" t="s">
        <v>11</v>
      </c>
      <c r="I82"/>
      <c r="J82"/>
      <c r="K82"/>
    </row>
    <row r="83" spans="2:11" ht="15.75" thickBot="1">
      <c r="B83" s="31" t="s">
        <v>17</v>
      </c>
      <c r="C83" s="67">
        <f>EDATE(D83,-1)</f>
        <v>42306</v>
      </c>
      <c r="D83" s="67">
        <f>EDATE(E83,-1)</f>
        <v>42337</v>
      </c>
      <c r="E83" s="67">
        <f>EDATE(F83,-1)</f>
        <v>42367</v>
      </c>
      <c r="F83" s="67">
        <f>EDATE(G83,-1)</f>
        <v>42398</v>
      </c>
      <c r="G83" s="67">
        <f>EDATE(H83,-1)</f>
        <v>42429</v>
      </c>
      <c r="H83" s="67">
        <f>EDATE(E11,1)</f>
        <v>42458</v>
      </c>
      <c r="I83"/>
      <c r="J83"/>
    </row>
    <row r="84" spans="2:11" ht="16.5" customHeight="1">
      <c r="B84" s="24" t="s">
        <v>0</v>
      </c>
      <c r="C84" s="74">
        <v>996118</v>
      </c>
      <c r="D84" s="74">
        <v>1001556</v>
      </c>
      <c r="E84" s="74">
        <v>1006751</v>
      </c>
      <c r="F84" s="74">
        <v>1012875</v>
      </c>
      <c r="G84" s="74">
        <v>1006765</v>
      </c>
      <c r="H84" s="74">
        <v>1008379</v>
      </c>
    </row>
    <row r="85" spans="2:11" ht="16.5" customHeight="1">
      <c r="B85" s="25" t="s">
        <v>1</v>
      </c>
      <c r="C85" s="75">
        <v>20973</v>
      </c>
      <c r="D85" s="75">
        <v>21007</v>
      </c>
      <c r="E85" s="75">
        <v>20753</v>
      </c>
      <c r="F85" s="75">
        <v>20804</v>
      </c>
      <c r="G85" s="75">
        <v>18908</v>
      </c>
      <c r="H85" s="75">
        <v>19035</v>
      </c>
    </row>
    <row r="86" spans="2:11" ht="16.5" customHeight="1">
      <c r="B86" s="26" t="s">
        <v>48</v>
      </c>
      <c r="C86" s="77">
        <v>8894</v>
      </c>
      <c r="D86" s="77">
        <v>8699</v>
      </c>
      <c r="E86" s="77">
        <v>8729</v>
      </c>
      <c r="F86" s="77">
        <v>8764</v>
      </c>
      <c r="G86" s="77">
        <v>8657</v>
      </c>
      <c r="H86" s="77">
        <v>8480</v>
      </c>
    </row>
    <row r="87" spans="2:11" ht="16.5" customHeight="1" thickBot="1">
      <c r="B87" s="27" t="s">
        <v>2</v>
      </c>
      <c r="C87" s="73">
        <v>4266</v>
      </c>
      <c r="D87" s="73">
        <v>4148</v>
      </c>
      <c r="E87" s="73">
        <v>3836</v>
      </c>
      <c r="F87" s="73">
        <v>3848</v>
      </c>
      <c r="G87" s="73">
        <v>2930</v>
      </c>
      <c r="H87" s="73">
        <v>2548</v>
      </c>
    </row>
    <row r="88" spans="2:11" s="65" customFormat="1" ht="18" thickBot="1">
      <c r="B88" s="91" t="s">
        <v>3</v>
      </c>
      <c r="C88" s="76">
        <v>1030251</v>
      </c>
      <c r="D88" s="76">
        <v>1035410</v>
      </c>
      <c r="E88" s="76">
        <v>1040069</v>
      </c>
      <c r="F88" s="76">
        <v>1046291</v>
      </c>
      <c r="G88" s="76">
        <v>1037260</v>
      </c>
      <c r="H88" s="76">
        <v>1038442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22</v>
      </c>
      <c r="C124" s="83">
        <f>B3</f>
        <v>42460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5" t="s">
        <v>23</v>
      </c>
      <c r="C128" s="139"/>
      <c r="D128" s="139"/>
      <c r="E128" s="139"/>
      <c r="F128" s="139"/>
      <c r="G128" s="140" t="s">
        <v>4</v>
      </c>
      <c r="H128" s="141"/>
    </row>
    <row r="129" spans="2:10" ht="18" customHeight="1" thickBot="1">
      <c r="B129" s="115" t="s">
        <v>21</v>
      </c>
      <c r="C129" s="142"/>
      <c r="D129" s="142"/>
      <c r="E129" s="142"/>
      <c r="F129" s="142"/>
      <c r="G129" s="143">
        <v>381</v>
      </c>
      <c r="H129" s="144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20</v>
      </c>
      <c r="C133" s="32"/>
      <c r="D133" s="32"/>
      <c r="E133" s="33"/>
      <c r="F133" s="85">
        <f>C6</f>
        <v>42460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24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25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26" t="s">
        <v>18</v>
      </c>
      <c r="C138" s="126"/>
      <c r="D138" s="126"/>
      <c r="E138" s="126"/>
      <c r="F138" s="127"/>
      <c r="G138" s="118" t="s">
        <v>5</v>
      </c>
      <c r="H138" s="119"/>
      <c r="I138"/>
    </row>
    <row r="139" spans="2:10" ht="17.25" customHeight="1">
      <c r="B139" s="120" t="s">
        <v>40</v>
      </c>
      <c r="C139" s="120" t="s">
        <v>40</v>
      </c>
      <c r="D139" s="120" t="s">
        <v>40</v>
      </c>
      <c r="E139" s="120" t="s">
        <v>40</v>
      </c>
      <c r="F139" s="121" t="s">
        <v>40</v>
      </c>
      <c r="G139" s="122">
        <v>232070</v>
      </c>
      <c r="H139" s="123">
        <v>232070</v>
      </c>
      <c r="I139" s="46"/>
      <c r="J139" s="49"/>
    </row>
    <row r="140" spans="2:10" ht="13.5" customHeight="1">
      <c r="B140" s="110" t="s">
        <v>28</v>
      </c>
      <c r="C140" s="110" t="s">
        <v>28</v>
      </c>
      <c r="D140" s="110" t="s">
        <v>28</v>
      </c>
      <c r="E140" s="110" t="s">
        <v>28</v>
      </c>
      <c r="F140" s="111" t="s">
        <v>28</v>
      </c>
      <c r="G140" s="112">
        <v>182238</v>
      </c>
      <c r="H140" s="113">
        <v>182238</v>
      </c>
      <c r="I140" s="46"/>
      <c r="J140" s="49"/>
    </row>
    <row r="141" spans="2:10" ht="17.25" customHeight="1">
      <c r="B141" s="110" t="s">
        <v>41</v>
      </c>
      <c r="C141" s="110" t="s">
        <v>41</v>
      </c>
      <c r="D141" s="110" t="s">
        <v>41</v>
      </c>
      <c r="E141" s="110" t="s">
        <v>41</v>
      </c>
      <c r="F141" s="111" t="s">
        <v>41</v>
      </c>
      <c r="G141" s="112">
        <v>148635</v>
      </c>
      <c r="H141" s="113">
        <v>148635</v>
      </c>
      <c r="I141" s="46"/>
      <c r="J141" s="49"/>
    </row>
    <row r="142" spans="2:10" ht="17.25" customHeight="1">
      <c r="B142" s="110" t="s">
        <v>29</v>
      </c>
      <c r="C142" s="110" t="s">
        <v>29</v>
      </c>
      <c r="D142" s="110" t="s">
        <v>29</v>
      </c>
      <c r="E142" s="110" t="s">
        <v>29</v>
      </c>
      <c r="F142" s="111" t="s">
        <v>29</v>
      </c>
      <c r="G142" s="112">
        <v>147052</v>
      </c>
      <c r="H142" s="113">
        <v>147052</v>
      </c>
      <c r="I142" s="46"/>
      <c r="J142" s="49"/>
    </row>
    <row r="143" spans="2:10" ht="17.25" customHeight="1">
      <c r="B143" s="110" t="s">
        <v>39</v>
      </c>
      <c r="C143" s="110" t="s">
        <v>39</v>
      </c>
      <c r="D143" s="110" t="s">
        <v>39</v>
      </c>
      <c r="E143" s="110" t="s">
        <v>39</v>
      </c>
      <c r="F143" s="111" t="s">
        <v>39</v>
      </c>
      <c r="G143" s="112">
        <v>78989</v>
      </c>
      <c r="H143" s="113">
        <v>78989</v>
      </c>
      <c r="I143" s="46"/>
      <c r="J143" s="49"/>
    </row>
    <row r="144" spans="2:10" ht="13.5" customHeight="1">
      <c r="B144" s="110" t="s">
        <v>42</v>
      </c>
      <c r="C144" s="110" t="s">
        <v>42</v>
      </c>
      <c r="D144" s="110" t="s">
        <v>42</v>
      </c>
      <c r="E144" s="110" t="s">
        <v>42</v>
      </c>
      <c r="F144" s="111" t="s">
        <v>42</v>
      </c>
      <c r="G144" s="112">
        <v>61711</v>
      </c>
      <c r="H144" s="113">
        <v>61711</v>
      </c>
      <c r="I144" s="50"/>
      <c r="J144" s="49"/>
    </row>
    <row r="145" spans="2:13" ht="17.25" customHeight="1">
      <c r="B145" s="110" t="s">
        <v>30</v>
      </c>
      <c r="C145" s="110" t="s">
        <v>30</v>
      </c>
      <c r="D145" s="110" t="s">
        <v>30</v>
      </c>
      <c r="E145" s="110" t="s">
        <v>30</v>
      </c>
      <c r="F145" s="111" t="s">
        <v>30</v>
      </c>
      <c r="G145" s="112">
        <v>48374</v>
      </c>
      <c r="H145" s="113">
        <v>48374</v>
      </c>
      <c r="I145" s="46"/>
      <c r="J145" s="49"/>
    </row>
    <row r="146" spans="2:13" ht="17.25" customHeight="1">
      <c r="B146" s="110" t="s">
        <v>45</v>
      </c>
      <c r="C146" s="110" t="s">
        <v>45</v>
      </c>
      <c r="D146" s="110" t="s">
        <v>45</v>
      </c>
      <c r="E146" s="110" t="s">
        <v>45</v>
      </c>
      <c r="F146" s="111" t="s">
        <v>45</v>
      </c>
      <c r="G146" s="112">
        <v>32385</v>
      </c>
      <c r="H146" s="113">
        <v>32385</v>
      </c>
      <c r="I146" s="46"/>
      <c r="J146" s="49"/>
    </row>
    <row r="147" spans="2:13" ht="17.25" customHeight="1">
      <c r="B147" s="110" t="s">
        <v>31</v>
      </c>
      <c r="C147" s="110" t="s">
        <v>31</v>
      </c>
      <c r="D147" s="110" t="s">
        <v>31</v>
      </c>
      <c r="E147" s="110" t="s">
        <v>31</v>
      </c>
      <c r="F147" s="111" t="s">
        <v>31</v>
      </c>
      <c r="G147" s="112">
        <v>21167</v>
      </c>
      <c r="H147" s="113">
        <v>21167</v>
      </c>
      <c r="I147" s="46"/>
      <c r="J147" s="49"/>
      <c r="L147"/>
    </row>
    <row r="148" spans="2:13" ht="18" customHeight="1" thickBot="1">
      <c r="B148" s="114" t="s">
        <v>32</v>
      </c>
      <c r="C148" s="114" t="s">
        <v>32</v>
      </c>
      <c r="D148" s="114" t="s">
        <v>32</v>
      </c>
      <c r="E148" s="114" t="s">
        <v>32</v>
      </c>
      <c r="F148" s="115" t="s">
        <v>32</v>
      </c>
      <c r="G148" s="116">
        <v>19859</v>
      </c>
      <c r="H148" s="117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26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4" t="s">
        <v>18</v>
      </c>
      <c r="C153" s="124"/>
      <c r="D153" s="124"/>
      <c r="E153" s="124"/>
      <c r="F153" s="125"/>
      <c r="G153" s="119" t="s">
        <v>5</v>
      </c>
      <c r="H153" s="119"/>
      <c r="I153" s="51"/>
      <c r="J153" s="51"/>
      <c r="K153"/>
      <c r="L153"/>
      <c r="M153"/>
    </row>
    <row r="154" spans="2:13" ht="17.25" customHeight="1">
      <c r="B154" s="120" t="s">
        <v>28</v>
      </c>
      <c r="C154" s="120" t="s">
        <v>28</v>
      </c>
      <c r="D154" s="120" t="s">
        <v>28</v>
      </c>
      <c r="E154" s="120" t="s">
        <v>28</v>
      </c>
      <c r="F154" s="121" t="s">
        <v>28</v>
      </c>
      <c r="G154" s="122">
        <v>15279</v>
      </c>
      <c r="H154" s="123">
        <v>15279</v>
      </c>
      <c r="I154" s="52"/>
      <c r="J154" s="49"/>
      <c r="K154" s="48"/>
      <c r="L154"/>
      <c r="M154"/>
    </row>
    <row r="155" spans="2:13" ht="17.25" customHeight="1">
      <c r="B155" s="110" t="s">
        <v>29</v>
      </c>
      <c r="C155" s="110" t="s">
        <v>29</v>
      </c>
      <c r="D155" s="110" t="s">
        <v>29</v>
      </c>
      <c r="E155" s="110" t="s">
        <v>29</v>
      </c>
      <c r="F155" s="111" t="s">
        <v>29</v>
      </c>
      <c r="G155" s="112">
        <v>12165</v>
      </c>
      <c r="H155" s="113">
        <v>12165</v>
      </c>
      <c r="I155" s="52"/>
      <c r="J155" s="49"/>
      <c r="K155" s="48"/>
      <c r="L155"/>
      <c r="M155"/>
    </row>
    <row r="156" spans="2:13" ht="17.25" customHeight="1">
      <c r="B156" s="110" t="s">
        <v>41</v>
      </c>
      <c r="C156" s="110" t="s">
        <v>41</v>
      </c>
      <c r="D156" s="110" t="s">
        <v>41</v>
      </c>
      <c r="E156" s="110" t="s">
        <v>41</v>
      </c>
      <c r="F156" s="111" t="s">
        <v>41</v>
      </c>
      <c r="G156" s="112">
        <v>11885</v>
      </c>
      <c r="H156" s="113">
        <v>11885</v>
      </c>
      <c r="I156" s="52"/>
      <c r="J156" s="49"/>
      <c r="K156" s="48"/>
      <c r="L156"/>
      <c r="M156"/>
    </row>
    <row r="157" spans="2:13" ht="17.25">
      <c r="B157" s="110" t="s">
        <v>40</v>
      </c>
      <c r="C157" s="110" t="s">
        <v>40</v>
      </c>
      <c r="D157" s="110" t="s">
        <v>40</v>
      </c>
      <c r="E157" s="110" t="s">
        <v>40</v>
      </c>
      <c r="F157" s="111" t="s">
        <v>40</v>
      </c>
      <c r="G157" s="112">
        <v>11417</v>
      </c>
      <c r="H157" s="113">
        <v>11417</v>
      </c>
      <c r="I157" s="52"/>
      <c r="J157" s="49"/>
      <c r="K157" s="48"/>
      <c r="L157"/>
      <c r="M157"/>
    </row>
    <row r="158" spans="2:13" ht="17.25" customHeight="1">
      <c r="B158" s="110" t="s">
        <v>39</v>
      </c>
      <c r="C158" s="110" t="s">
        <v>39</v>
      </c>
      <c r="D158" s="110" t="s">
        <v>39</v>
      </c>
      <c r="E158" s="110" t="s">
        <v>39</v>
      </c>
      <c r="F158" s="111" t="s">
        <v>39</v>
      </c>
      <c r="G158" s="112">
        <v>8584</v>
      </c>
      <c r="H158" s="113">
        <v>8584</v>
      </c>
      <c r="I158" s="52"/>
      <c r="J158" s="49"/>
      <c r="K158" s="48"/>
      <c r="L158"/>
      <c r="M158"/>
    </row>
    <row r="159" spans="2:13" ht="17.25" customHeight="1">
      <c r="B159" s="110" t="s">
        <v>42</v>
      </c>
      <c r="C159" s="110" t="s">
        <v>42</v>
      </c>
      <c r="D159" s="110" t="s">
        <v>42</v>
      </c>
      <c r="E159" s="110" t="s">
        <v>42</v>
      </c>
      <c r="F159" s="111" t="s">
        <v>42</v>
      </c>
      <c r="G159" s="112">
        <v>4491</v>
      </c>
      <c r="H159" s="113">
        <v>4491</v>
      </c>
      <c r="I159" s="53"/>
      <c r="J159" s="49"/>
      <c r="K159" s="48"/>
      <c r="L159"/>
      <c r="M159"/>
    </row>
    <row r="160" spans="2:13" ht="17.25" customHeight="1">
      <c r="B160" s="110" t="s">
        <v>30</v>
      </c>
      <c r="C160" s="110" t="s">
        <v>30</v>
      </c>
      <c r="D160" s="110" t="s">
        <v>30</v>
      </c>
      <c r="E160" s="110" t="s">
        <v>30</v>
      </c>
      <c r="F160" s="111" t="s">
        <v>30</v>
      </c>
      <c r="G160" s="112">
        <v>3115</v>
      </c>
      <c r="H160" s="113">
        <v>3115</v>
      </c>
      <c r="I160" s="52"/>
      <c r="J160" s="49"/>
      <c r="K160" s="48"/>
      <c r="L160"/>
      <c r="M160"/>
    </row>
    <row r="161" spans="2:13" ht="17.25" customHeight="1">
      <c r="B161" s="110" t="s">
        <v>43</v>
      </c>
      <c r="C161" s="110" t="s">
        <v>43</v>
      </c>
      <c r="D161" s="110" t="s">
        <v>43</v>
      </c>
      <c r="E161" s="110" t="s">
        <v>43</v>
      </c>
      <c r="F161" s="111" t="s">
        <v>43</v>
      </c>
      <c r="G161" s="112">
        <v>2509</v>
      </c>
      <c r="H161" s="113">
        <v>2509</v>
      </c>
      <c r="I161" s="52"/>
      <c r="J161" s="49"/>
      <c r="K161" s="48"/>
      <c r="L161"/>
      <c r="M161"/>
    </row>
    <row r="162" spans="2:13" ht="17.25" customHeight="1">
      <c r="B162" s="110" t="s">
        <v>44</v>
      </c>
      <c r="C162" s="110" t="s">
        <v>44</v>
      </c>
      <c r="D162" s="110" t="s">
        <v>44</v>
      </c>
      <c r="E162" s="110" t="s">
        <v>44</v>
      </c>
      <c r="F162" s="111" t="s">
        <v>44</v>
      </c>
      <c r="G162" s="112">
        <v>1578</v>
      </c>
      <c r="H162" s="113">
        <v>1578</v>
      </c>
      <c r="I162" s="52"/>
      <c r="J162" s="49"/>
      <c r="K162" s="48"/>
      <c r="L162"/>
      <c r="M162"/>
    </row>
    <row r="163" spans="2:13" ht="18" customHeight="1" thickBot="1">
      <c r="B163" s="114" t="s">
        <v>31</v>
      </c>
      <c r="C163" s="114" t="s">
        <v>31</v>
      </c>
      <c r="D163" s="114" t="s">
        <v>31</v>
      </c>
      <c r="E163" s="114" t="s">
        <v>31</v>
      </c>
      <c r="F163" s="115" t="s">
        <v>31</v>
      </c>
      <c r="G163" s="116">
        <v>1440</v>
      </c>
      <c r="H163" s="117">
        <v>1440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27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24" t="s">
        <v>18</v>
      </c>
      <c r="C168" s="124"/>
      <c r="D168" s="124"/>
      <c r="E168" s="124"/>
      <c r="F168" s="125"/>
      <c r="G168" s="119" t="s">
        <v>8</v>
      </c>
      <c r="H168" s="119"/>
      <c r="I168" s="2"/>
      <c r="J168" s="2"/>
    </row>
    <row r="169" spans="2:13" ht="17.25" customHeight="1">
      <c r="B169" s="120" t="s">
        <v>29</v>
      </c>
      <c r="C169" s="120" t="s">
        <v>29</v>
      </c>
      <c r="D169" s="120" t="s">
        <v>29</v>
      </c>
      <c r="E169" s="120" t="s">
        <v>29</v>
      </c>
      <c r="F169" s="121" t="s">
        <v>29</v>
      </c>
      <c r="G169" s="122">
        <v>1335242569579.99</v>
      </c>
      <c r="H169" s="123">
        <v>1335242569579.99</v>
      </c>
      <c r="I169" s="54"/>
      <c r="J169" s="55"/>
    </row>
    <row r="170" spans="2:13" ht="17.25" customHeight="1">
      <c r="B170" s="110" t="s">
        <v>38</v>
      </c>
      <c r="C170" s="110" t="s">
        <v>38</v>
      </c>
      <c r="D170" s="110" t="s">
        <v>38</v>
      </c>
      <c r="E170" s="110" t="s">
        <v>38</v>
      </c>
      <c r="F170" s="111" t="s">
        <v>38</v>
      </c>
      <c r="G170" s="112">
        <v>1122119956910.1201</v>
      </c>
      <c r="H170" s="113">
        <v>1122119956910.1201</v>
      </c>
      <c r="I170" s="54"/>
      <c r="J170" s="55"/>
    </row>
    <row r="171" spans="2:13" ht="17.25" customHeight="1">
      <c r="B171" s="110" t="s">
        <v>39</v>
      </c>
      <c r="C171" s="110" t="s">
        <v>39</v>
      </c>
      <c r="D171" s="110" t="s">
        <v>39</v>
      </c>
      <c r="E171" s="110" t="s">
        <v>39</v>
      </c>
      <c r="F171" s="111" t="s">
        <v>39</v>
      </c>
      <c r="G171" s="112">
        <v>911488246069.604</v>
      </c>
      <c r="H171" s="113">
        <v>911488246069.604</v>
      </c>
      <c r="I171" s="54"/>
      <c r="J171" s="55"/>
    </row>
    <row r="172" spans="2:13" ht="17.25" customHeight="1">
      <c r="B172" s="110" t="s">
        <v>28</v>
      </c>
      <c r="C172" s="110" t="s">
        <v>28</v>
      </c>
      <c r="D172" s="110" t="s">
        <v>28</v>
      </c>
      <c r="E172" s="110" t="s">
        <v>28</v>
      </c>
      <c r="F172" s="111" t="s">
        <v>28</v>
      </c>
      <c r="G172" s="112">
        <v>511305722564.13</v>
      </c>
      <c r="H172" s="113">
        <v>511305722564.13</v>
      </c>
      <c r="I172" s="54"/>
      <c r="J172" s="55"/>
    </row>
    <row r="173" spans="2:13" ht="17.25" customHeight="1">
      <c r="B173" s="110" t="s">
        <v>33</v>
      </c>
      <c r="C173" s="110" t="s">
        <v>33</v>
      </c>
      <c r="D173" s="110" t="s">
        <v>33</v>
      </c>
      <c r="E173" s="110" t="s">
        <v>33</v>
      </c>
      <c r="F173" s="111" t="s">
        <v>33</v>
      </c>
      <c r="G173" s="112">
        <v>383770142965.28998</v>
      </c>
      <c r="H173" s="113">
        <v>383770142965.28998</v>
      </c>
      <c r="I173" s="56"/>
      <c r="J173" s="49"/>
    </row>
    <row r="174" spans="2:13" ht="17.25" customHeight="1">
      <c r="B174" s="110" t="s">
        <v>51</v>
      </c>
      <c r="C174" s="110" t="s">
        <v>51</v>
      </c>
      <c r="D174" s="110" t="s">
        <v>51</v>
      </c>
      <c r="E174" s="110" t="s">
        <v>51</v>
      </c>
      <c r="F174" s="111" t="s">
        <v>51</v>
      </c>
      <c r="G174" s="112">
        <v>379891793950.26099</v>
      </c>
      <c r="H174" s="113">
        <v>379891793950.26099</v>
      </c>
      <c r="I174" s="54"/>
      <c r="J174" s="55"/>
    </row>
    <row r="175" spans="2:13" ht="17.25" customHeight="1">
      <c r="B175" s="110" t="s">
        <v>46</v>
      </c>
      <c r="C175" s="110" t="s">
        <v>46</v>
      </c>
      <c r="D175" s="110" t="s">
        <v>46</v>
      </c>
      <c r="E175" s="110" t="s">
        <v>46</v>
      </c>
      <c r="F175" s="111" t="s">
        <v>46</v>
      </c>
      <c r="G175" s="112">
        <v>366762817954.65002</v>
      </c>
      <c r="H175" s="113">
        <v>366762817954.65002</v>
      </c>
      <c r="I175" s="54"/>
      <c r="J175" s="55"/>
    </row>
    <row r="176" spans="2:13" ht="17.25" customHeight="1">
      <c r="B176" s="110" t="s">
        <v>44</v>
      </c>
      <c r="C176" s="110" t="s">
        <v>44</v>
      </c>
      <c r="D176" s="110" t="s">
        <v>44</v>
      </c>
      <c r="E176" s="110" t="s">
        <v>44</v>
      </c>
      <c r="F176" s="111" t="s">
        <v>44</v>
      </c>
      <c r="G176" s="112">
        <v>335352624763.19</v>
      </c>
      <c r="H176" s="113">
        <v>335352624763.19</v>
      </c>
      <c r="I176" s="54"/>
      <c r="J176" s="55"/>
    </row>
    <row r="177" spans="2:10" ht="17.25" customHeight="1">
      <c r="B177" s="110" t="s">
        <v>30</v>
      </c>
      <c r="C177" s="110" t="s">
        <v>30</v>
      </c>
      <c r="D177" s="110" t="s">
        <v>30</v>
      </c>
      <c r="E177" s="110" t="s">
        <v>30</v>
      </c>
      <c r="F177" s="111" t="s">
        <v>30</v>
      </c>
      <c r="G177" s="112">
        <v>313898922142.06897</v>
      </c>
      <c r="H177" s="113">
        <v>313898922142.06897</v>
      </c>
      <c r="I177" s="54"/>
      <c r="J177" s="55"/>
    </row>
    <row r="178" spans="2:10" ht="18" customHeight="1" thickBot="1">
      <c r="B178" s="114" t="s">
        <v>41</v>
      </c>
      <c r="C178" s="114" t="s">
        <v>41</v>
      </c>
      <c r="D178" s="114" t="s">
        <v>41</v>
      </c>
      <c r="E178" s="114" t="s">
        <v>41</v>
      </c>
      <c r="F178" s="115" t="s">
        <v>41</v>
      </c>
      <c r="G178" s="116">
        <v>309494372929.87</v>
      </c>
      <c r="H178" s="117">
        <v>309494372929.87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68:F168"/>
    <mergeCell ref="B172:F172"/>
    <mergeCell ref="G172:H172"/>
    <mergeCell ref="B173:F173"/>
    <mergeCell ref="G173:H173"/>
    <mergeCell ref="B174:F174"/>
    <mergeCell ref="G174:H174"/>
    <mergeCell ref="B178:F178"/>
    <mergeCell ref="G178:H178"/>
    <mergeCell ref="B175:F175"/>
    <mergeCell ref="G175:H175"/>
    <mergeCell ref="B176:F176"/>
    <mergeCell ref="G176:H176"/>
    <mergeCell ref="B177:F177"/>
    <mergeCell ref="G177:H177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51553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51553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0">
    <pageSetUpPr fitToPage="1"/>
  </sheetPr>
  <dimension ref="B2:N180"/>
  <sheetViews>
    <sheetView topLeftCell="A10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55" t="s">
        <v>14</v>
      </c>
      <c r="C2" s="155"/>
      <c r="D2" s="155"/>
      <c r="E2" s="155"/>
      <c r="F2" s="155"/>
      <c r="G2" s="155"/>
      <c r="H2" s="155"/>
    </row>
    <row r="3" spans="2:14" s="1" customFormat="1" ht="21" thickBot="1">
      <c r="B3" s="156">
        <v>42490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19</v>
      </c>
      <c r="C6" s="62">
        <f>B3</f>
        <v>42490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34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57" t="s">
        <v>17</v>
      </c>
      <c r="C11" s="157"/>
      <c r="D11" s="158"/>
      <c r="E11" s="67">
        <f>EDATE(B3,-1)</f>
        <v>42459</v>
      </c>
      <c r="F11" s="67">
        <f>B3</f>
        <v>42490</v>
      </c>
      <c r="G11" s="44" t="s">
        <v>9</v>
      </c>
      <c r="H11" s="44" t="s">
        <v>10</v>
      </c>
      <c r="J11" s="71"/>
    </row>
    <row r="12" spans="2:14" s="70" customFormat="1" ht="17.25">
      <c r="B12" s="153" t="s">
        <v>0</v>
      </c>
      <c r="C12" s="153"/>
      <c r="D12" s="154"/>
      <c r="E12" s="72">
        <f>March!F12</f>
        <v>1311606</v>
      </c>
      <c r="F12" s="78">
        <v>1345077</v>
      </c>
      <c r="G12" s="11">
        <f>F12-E12</f>
        <v>33471</v>
      </c>
      <c r="H12" s="58">
        <f t="shared" ref="H12:H18" si="0">F12/E12-1</f>
        <v>2.5519096435972388E-2</v>
      </c>
      <c r="I12" s="79"/>
      <c r="J12" s="80"/>
    </row>
    <row r="13" spans="2:14" s="70" customFormat="1" ht="17.25">
      <c r="B13" s="147" t="s">
        <v>1</v>
      </c>
      <c r="C13" s="147"/>
      <c r="D13" s="148"/>
      <c r="E13" s="72">
        <f>March!F13</f>
        <v>30416</v>
      </c>
      <c r="F13" s="78">
        <v>32138</v>
      </c>
      <c r="G13" s="11">
        <f t="shared" ref="G13:G18" si="1">F13-E13</f>
        <v>1722</v>
      </c>
      <c r="H13" s="58">
        <f t="shared" si="0"/>
        <v>5.6614939505523321E-2</v>
      </c>
      <c r="I13" s="79"/>
      <c r="J13" s="80"/>
    </row>
    <row r="14" spans="2:14" s="70" customFormat="1" ht="17.25">
      <c r="B14" s="147" t="s">
        <v>48</v>
      </c>
      <c r="C14" s="147"/>
      <c r="D14" s="148"/>
      <c r="E14" s="72">
        <f>March!F14</f>
        <v>13565</v>
      </c>
      <c r="F14" s="78">
        <v>13635</v>
      </c>
      <c r="G14" s="11">
        <f t="shared" si="1"/>
        <v>70</v>
      </c>
      <c r="H14" s="58">
        <f t="shared" si="0"/>
        <v>5.1603391079986238E-3</v>
      </c>
      <c r="I14" s="79"/>
      <c r="J14" s="80"/>
    </row>
    <row r="15" spans="2:14" s="70" customFormat="1" ht="17.25">
      <c r="B15" s="149" t="s">
        <v>49</v>
      </c>
      <c r="C15" s="149"/>
      <c r="D15" s="150"/>
      <c r="E15" s="72">
        <f>March!F15</f>
        <v>5131</v>
      </c>
      <c r="F15" s="78">
        <v>5458</v>
      </c>
      <c r="G15" s="11">
        <f t="shared" si="1"/>
        <v>327</v>
      </c>
      <c r="H15" s="58">
        <f t="shared" si="0"/>
        <v>6.3730267004482588E-2</v>
      </c>
      <c r="I15" s="79"/>
      <c r="J15" s="80"/>
    </row>
    <row r="16" spans="2:14" s="70" customFormat="1" ht="17.25">
      <c r="B16" s="151" t="s">
        <v>50</v>
      </c>
      <c r="C16" s="151"/>
      <c r="D16" s="152"/>
      <c r="E16" s="72">
        <f>March!F16</f>
        <v>8434</v>
      </c>
      <c r="F16" s="78">
        <v>8177</v>
      </c>
      <c r="G16" s="11">
        <f t="shared" si="1"/>
        <v>-257</v>
      </c>
      <c r="H16" s="58">
        <f t="shared" si="0"/>
        <v>-3.0471899454588613E-2</v>
      </c>
      <c r="I16" s="79"/>
      <c r="J16" s="80"/>
    </row>
    <row r="17" spans="2:10" s="70" customFormat="1" ht="18" customHeight="1" thickBot="1">
      <c r="B17" s="145" t="s">
        <v>2</v>
      </c>
      <c r="C17" s="145"/>
      <c r="D17" s="146"/>
      <c r="E17" s="72">
        <f>March!F17</f>
        <v>13312</v>
      </c>
      <c r="F17" s="78">
        <v>12595</v>
      </c>
      <c r="G17" s="11">
        <f t="shared" si="1"/>
        <v>-717</v>
      </c>
      <c r="H17" s="58">
        <f t="shared" si="0"/>
        <v>-5.3861177884615419E-2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f>March!F18</f>
        <v>1368899</v>
      </c>
      <c r="F18" s="66">
        <v>1403445</v>
      </c>
      <c r="G18" s="66">
        <f t="shared" si="1"/>
        <v>34546</v>
      </c>
      <c r="H18" s="63">
        <f t="shared" si="0"/>
        <v>2.5236339569244981E-2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35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57" t="s">
        <v>17</v>
      </c>
      <c r="C22" s="157"/>
      <c r="D22" s="158"/>
      <c r="E22" s="67">
        <f>EDATE(B3,-1)</f>
        <v>42459</v>
      </c>
      <c r="F22" s="67">
        <f>F11</f>
        <v>42490</v>
      </c>
      <c r="G22" s="44" t="s">
        <v>9</v>
      </c>
      <c r="H22" s="44" t="s">
        <v>10</v>
      </c>
      <c r="J22" s="71"/>
    </row>
    <row r="23" spans="2:10" s="70" customFormat="1" ht="17.25">
      <c r="B23" s="153" t="s">
        <v>0</v>
      </c>
      <c r="C23" s="153"/>
      <c r="D23" s="154"/>
      <c r="E23" s="72">
        <f>March!F23</f>
        <v>1008379</v>
      </c>
      <c r="F23" s="78">
        <v>1014752</v>
      </c>
      <c r="G23" s="11">
        <f>F23-E23</f>
        <v>6373</v>
      </c>
      <c r="H23" s="58">
        <f>F23/E23-1</f>
        <v>6.3200443484046076E-3</v>
      </c>
      <c r="I23" s="80"/>
    </row>
    <row r="24" spans="2:10" s="70" customFormat="1" ht="17.25">
      <c r="B24" s="147" t="s">
        <v>1</v>
      </c>
      <c r="C24" s="147"/>
      <c r="D24" s="148"/>
      <c r="E24" s="72">
        <f>March!F24</f>
        <v>19035</v>
      </c>
      <c r="F24" s="78">
        <v>19023</v>
      </c>
      <c r="G24" s="11">
        <f t="shared" ref="G24:G29" si="2">F24-E24</f>
        <v>-12</v>
      </c>
      <c r="H24" s="58">
        <f t="shared" ref="H24:H29" si="3">F24/E24-1</f>
        <v>-6.3041765169424835E-4</v>
      </c>
      <c r="I24" s="80"/>
    </row>
    <row r="25" spans="2:10" s="70" customFormat="1" ht="17.25">
      <c r="B25" s="147" t="s">
        <v>48</v>
      </c>
      <c r="C25" s="147"/>
      <c r="D25" s="148"/>
      <c r="E25" s="72">
        <f>March!F25</f>
        <v>8480</v>
      </c>
      <c r="F25" s="78">
        <v>8800</v>
      </c>
      <c r="G25" s="11">
        <f t="shared" si="2"/>
        <v>320</v>
      </c>
      <c r="H25" s="58">
        <f t="shared" si="3"/>
        <v>3.7735849056603765E-2</v>
      </c>
      <c r="I25" s="80"/>
    </row>
    <row r="26" spans="2:10" s="70" customFormat="1" ht="17.25">
      <c r="B26" s="149" t="s">
        <v>49</v>
      </c>
      <c r="C26" s="149"/>
      <c r="D26" s="150"/>
      <c r="E26" s="72">
        <f>March!F26</f>
        <v>4794</v>
      </c>
      <c r="F26" s="78">
        <v>5052</v>
      </c>
      <c r="G26" s="11">
        <f t="shared" si="2"/>
        <v>258</v>
      </c>
      <c r="H26" s="58">
        <f t="shared" si="3"/>
        <v>5.3817271589486904E-2</v>
      </c>
      <c r="I26" s="80"/>
    </row>
    <row r="27" spans="2:10" s="70" customFormat="1" ht="17.25">
      <c r="B27" s="151" t="s">
        <v>50</v>
      </c>
      <c r="C27" s="151"/>
      <c r="D27" s="152"/>
      <c r="E27" s="72">
        <f>March!F27</f>
        <v>3686</v>
      </c>
      <c r="F27" s="78">
        <v>3748</v>
      </c>
      <c r="G27" s="11">
        <f t="shared" si="2"/>
        <v>62</v>
      </c>
      <c r="H27" s="58">
        <f t="shared" si="3"/>
        <v>1.6820401519262118E-2</v>
      </c>
      <c r="I27" s="80"/>
    </row>
    <row r="28" spans="2:10" s="70" customFormat="1" ht="18" customHeight="1" thickBot="1">
      <c r="B28" s="145" t="s">
        <v>2</v>
      </c>
      <c r="C28" s="145"/>
      <c r="D28" s="146"/>
      <c r="E28" s="72">
        <f>March!F28</f>
        <v>2548</v>
      </c>
      <c r="F28" s="78">
        <v>1422</v>
      </c>
      <c r="G28" s="11">
        <f t="shared" si="2"/>
        <v>-1126</v>
      </c>
      <c r="H28" s="58">
        <f t="shared" si="3"/>
        <v>-0.4419152276295133</v>
      </c>
      <c r="I28" s="80"/>
    </row>
    <row r="29" spans="2:10" s="64" customFormat="1" ht="18" thickBot="1">
      <c r="B29" s="59" t="s">
        <v>3</v>
      </c>
      <c r="C29" s="59"/>
      <c r="D29" s="60"/>
      <c r="E29" s="66">
        <f>March!F29</f>
        <v>1038442</v>
      </c>
      <c r="F29" s="66">
        <v>1043997</v>
      </c>
      <c r="G29" s="66">
        <f t="shared" si="2"/>
        <v>5555</v>
      </c>
      <c r="H29" s="63">
        <f t="shared" si="3"/>
        <v>5.3493599064753372E-3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15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4" t="s">
        <v>17</v>
      </c>
      <c r="C33" s="124"/>
      <c r="D33" s="125"/>
      <c r="E33" s="67">
        <f>EDATE(B3,-1)</f>
        <v>42459</v>
      </c>
      <c r="F33" s="67">
        <f>F11</f>
        <v>42490</v>
      </c>
      <c r="G33" s="16" t="s">
        <v>9</v>
      </c>
      <c r="H33" s="16" t="s">
        <v>10</v>
      </c>
    </row>
    <row r="34" spans="2:9" ht="17.25">
      <c r="B34" s="153" t="s">
        <v>0</v>
      </c>
      <c r="C34" s="153"/>
      <c r="D34" s="154"/>
      <c r="E34" s="72">
        <f>March!F34</f>
        <v>79397</v>
      </c>
      <c r="F34" s="72">
        <v>80653</v>
      </c>
      <c r="G34" s="11">
        <f t="shared" ref="G34:G40" si="4">F34-E34</f>
        <v>1256</v>
      </c>
      <c r="H34" s="58">
        <f t="shared" ref="H34:H40" si="5">F34/E34-1</f>
        <v>1.5819237502676442E-2</v>
      </c>
      <c r="I34" s="57"/>
    </row>
    <row r="35" spans="2:9" ht="17.25">
      <c r="B35" s="147" t="s">
        <v>1</v>
      </c>
      <c r="C35" s="147"/>
      <c r="D35" s="148"/>
      <c r="E35" s="72">
        <f>March!F35</f>
        <v>1099</v>
      </c>
      <c r="F35" s="72">
        <v>1150</v>
      </c>
      <c r="G35" s="11">
        <f t="shared" si="4"/>
        <v>51</v>
      </c>
      <c r="H35" s="58">
        <f t="shared" si="5"/>
        <v>4.6405823475887065E-2</v>
      </c>
      <c r="I35" s="57"/>
    </row>
    <row r="36" spans="2:9" ht="17.25">
      <c r="B36" s="147" t="s">
        <v>48</v>
      </c>
      <c r="C36" s="147"/>
      <c r="D36" s="148"/>
      <c r="E36" s="72">
        <f>March!F36</f>
        <v>670</v>
      </c>
      <c r="F36" s="72">
        <v>665</v>
      </c>
      <c r="G36" s="11">
        <f t="shared" si="4"/>
        <v>-5</v>
      </c>
      <c r="H36" s="58">
        <f t="shared" si="5"/>
        <v>-7.4626865671642006E-3</v>
      </c>
      <c r="I36" s="57"/>
    </row>
    <row r="37" spans="2:9" ht="17.25">
      <c r="B37" s="149" t="s">
        <v>49</v>
      </c>
      <c r="C37" s="149"/>
      <c r="D37" s="150"/>
      <c r="E37" s="72">
        <f>March!F37</f>
        <v>336</v>
      </c>
      <c r="F37" s="72">
        <v>332</v>
      </c>
      <c r="G37" s="11">
        <f t="shared" si="4"/>
        <v>-4</v>
      </c>
      <c r="H37" s="58">
        <f t="shared" si="5"/>
        <v>-1.1904761904761862E-2</v>
      </c>
      <c r="I37" s="57"/>
    </row>
    <row r="38" spans="2:9" ht="17.25">
      <c r="B38" s="151" t="s">
        <v>50</v>
      </c>
      <c r="C38" s="151"/>
      <c r="D38" s="152"/>
      <c r="E38" s="72">
        <f>March!F38</f>
        <v>334</v>
      </c>
      <c r="F38" s="72">
        <v>333</v>
      </c>
      <c r="G38" s="11">
        <f t="shared" si="4"/>
        <v>-1</v>
      </c>
      <c r="H38" s="58">
        <f t="shared" si="5"/>
        <v>-2.9940119760478723E-3</v>
      </c>
      <c r="I38" s="57"/>
    </row>
    <row r="39" spans="2:9" ht="18" customHeight="1" thickBot="1">
      <c r="B39" s="145" t="s">
        <v>2</v>
      </c>
      <c r="C39" s="145"/>
      <c r="D39" s="146"/>
      <c r="E39" s="72">
        <f>March!F39</f>
        <v>506</v>
      </c>
      <c r="F39" s="72">
        <v>524</v>
      </c>
      <c r="G39" s="11">
        <f t="shared" si="4"/>
        <v>18</v>
      </c>
      <c r="H39" s="58">
        <f t="shared" si="5"/>
        <v>3.5573122529644285E-2</v>
      </c>
      <c r="I39" s="57"/>
    </row>
    <row r="40" spans="2:9" s="64" customFormat="1" ht="18" thickBot="1">
      <c r="B40" s="59" t="s">
        <v>3</v>
      </c>
      <c r="C40" s="59"/>
      <c r="D40" s="60"/>
      <c r="E40" s="66">
        <f>March!F40</f>
        <v>81672</v>
      </c>
      <c r="F40" s="66">
        <v>82992</v>
      </c>
      <c r="G40" s="66">
        <f t="shared" si="4"/>
        <v>1320</v>
      </c>
      <c r="H40" s="63">
        <f t="shared" si="5"/>
        <v>1.6162209814869266E-2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16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36</v>
      </c>
      <c r="C48" s="23"/>
      <c r="D48" s="23"/>
      <c r="E48" s="23"/>
      <c r="F48" s="23"/>
      <c r="G48" s="23"/>
      <c r="H48" s="128" t="s">
        <v>12</v>
      </c>
      <c r="I48" s="128"/>
    </row>
    <row r="49" spans="2:9" ht="15.75" thickBot="1">
      <c r="B49" s="124" t="s">
        <v>17</v>
      </c>
      <c r="C49" s="124"/>
      <c r="D49" s="125"/>
      <c r="E49" s="67">
        <v>40908</v>
      </c>
      <c r="F49" s="67">
        <v>41274</v>
      </c>
      <c r="G49" s="67">
        <v>41639</v>
      </c>
      <c r="H49" s="67">
        <v>42004</v>
      </c>
      <c r="I49" s="67">
        <v>42369</v>
      </c>
    </row>
    <row r="50" spans="2:9" ht="17.25">
      <c r="B50" s="129" t="s">
        <v>0</v>
      </c>
      <c r="C50" s="129"/>
      <c r="D50" s="130"/>
      <c r="E50" s="74">
        <v>772175</v>
      </c>
      <c r="F50" s="74">
        <v>805549</v>
      </c>
      <c r="G50" s="74">
        <v>881844</v>
      </c>
      <c r="H50" s="74">
        <v>944559</v>
      </c>
      <c r="I50" s="74">
        <v>1006751</v>
      </c>
    </row>
    <row r="51" spans="2:9" ht="17.25">
      <c r="B51" s="131" t="s">
        <v>1</v>
      </c>
      <c r="C51" s="131"/>
      <c r="D51" s="132"/>
      <c r="E51" s="75">
        <v>16850</v>
      </c>
      <c r="F51" s="75">
        <v>17821</v>
      </c>
      <c r="G51" s="75">
        <v>19539</v>
      </c>
      <c r="H51" s="75">
        <v>20178</v>
      </c>
      <c r="I51" s="75">
        <v>20753</v>
      </c>
    </row>
    <row r="52" spans="2:9" ht="17.25">
      <c r="B52" s="133" t="s">
        <v>48</v>
      </c>
      <c r="C52" s="133"/>
      <c r="D52" s="134"/>
      <c r="E52" s="77">
        <v>5058</v>
      </c>
      <c r="F52" s="77">
        <v>5876</v>
      </c>
      <c r="G52" s="77">
        <v>6957</v>
      </c>
      <c r="H52" s="77">
        <v>7486</v>
      </c>
      <c r="I52" s="77">
        <v>8729</v>
      </c>
    </row>
    <row r="53" spans="2:9" ht="18" thickBot="1">
      <c r="B53" s="135" t="s">
        <v>2</v>
      </c>
      <c r="C53" s="135"/>
      <c r="D53" s="136"/>
      <c r="E53" s="73">
        <v>5242</v>
      </c>
      <c r="F53" s="73">
        <v>5261</v>
      </c>
      <c r="G53" s="73">
        <v>5182</v>
      </c>
      <c r="H53" s="73">
        <v>5142</v>
      </c>
      <c r="I53" s="73">
        <v>3836</v>
      </c>
    </row>
    <row r="54" spans="2:9" s="65" customFormat="1" ht="18" thickBot="1">
      <c r="B54" s="137" t="s">
        <v>3</v>
      </c>
      <c r="C54" s="137"/>
      <c r="D54" s="138"/>
      <c r="E54" s="76">
        <v>799325</v>
      </c>
      <c r="F54" s="76">
        <v>834507</v>
      </c>
      <c r="G54" s="76">
        <v>913522</v>
      </c>
      <c r="H54" s="76">
        <v>977365</v>
      </c>
      <c r="I54" s="76">
        <v>1040069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37</v>
      </c>
      <c r="C82" s="23"/>
      <c r="D82" s="23"/>
      <c r="E82" s="23"/>
      <c r="F82" s="23"/>
      <c r="G82" s="23"/>
      <c r="H82" s="92" t="s">
        <v>11</v>
      </c>
      <c r="I82"/>
      <c r="J82"/>
      <c r="K82"/>
    </row>
    <row r="83" spans="2:11" ht="15.75" thickBot="1">
      <c r="B83" s="31" t="s">
        <v>17</v>
      </c>
      <c r="C83" s="67">
        <f>EDATE(D83,-1)</f>
        <v>42337</v>
      </c>
      <c r="D83" s="67">
        <f>EDATE(E83,-1)</f>
        <v>42367</v>
      </c>
      <c r="E83" s="67">
        <f>EDATE(F83,-1)</f>
        <v>42398</v>
      </c>
      <c r="F83" s="67">
        <f>EDATE(G83,-1)</f>
        <v>42429</v>
      </c>
      <c r="G83" s="67">
        <f>EDATE(H83,-1)</f>
        <v>42459</v>
      </c>
      <c r="H83" s="67">
        <f>EDATE(E11,1)</f>
        <v>42490</v>
      </c>
      <c r="I83"/>
      <c r="J83"/>
    </row>
    <row r="84" spans="2:11" ht="16.5" customHeight="1">
      <c r="B84" s="24" t="s">
        <v>0</v>
      </c>
      <c r="C84" s="74">
        <v>1001556</v>
      </c>
      <c r="D84" s="74">
        <v>1006751</v>
      </c>
      <c r="E84" s="74">
        <v>1012875</v>
      </c>
      <c r="F84" s="74">
        <v>1006765</v>
      </c>
      <c r="G84" s="74">
        <v>1008379</v>
      </c>
      <c r="H84" s="74">
        <v>1014752</v>
      </c>
    </row>
    <row r="85" spans="2:11" ht="16.5" customHeight="1">
      <c r="B85" s="25" t="s">
        <v>1</v>
      </c>
      <c r="C85" s="75">
        <v>21007</v>
      </c>
      <c r="D85" s="75">
        <v>20753</v>
      </c>
      <c r="E85" s="75">
        <v>20804</v>
      </c>
      <c r="F85" s="75">
        <v>18908</v>
      </c>
      <c r="G85" s="75">
        <v>19035</v>
      </c>
      <c r="H85" s="75">
        <v>19023</v>
      </c>
    </row>
    <row r="86" spans="2:11" ht="16.5" customHeight="1">
      <c r="B86" s="26" t="s">
        <v>48</v>
      </c>
      <c r="C86" s="77">
        <v>8699</v>
      </c>
      <c r="D86" s="77">
        <v>8729</v>
      </c>
      <c r="E86" s="77">
        <v>8764</v>
      </c>
      <c r="F86" s="77">
        <v>8657</v>
      </c>
      <c r="G86" s="77">
        <v>8480</v>
      </c>
      <c r="H86" s="77">
        <v>8800</v>
      </c>
    </row>
    <row r="87" spans="2:11" ht="16.5" customHeight="1" thickBot="1">
      <c r="B87" s="27" t="s">
        <v>2</v>
      </c>
      <c r="C87" s="73">
        <v>4148</v>
      </c>
      <c r="D87" s="73">
        <v>3836</v>
      </c>
      <c r="E87" s="73">
        <v>3848</v>
      </c>
      <c r="F87" s="73">
        <v>2930</v>
      </c>
      <c r="G87" s="73">
        <v>2548</v>
      </c>
      <c r="H87" s="73">
        <v>1422</v>
      </c>
    </row>
    <row r="88" spans="2:11" s="65" customFormat="1" ht="18" thickBot="1">
      <c r="B88" s="93" t="s">
        <v>3</v>
      </c>
      <c r="C88" s="76">
        <v>1035410</v>
      </c>
      <c r="D88" s="76">
        <v>1040069</v>
      </c>
      <c r="E88" s="76">
        <v>1046291</v>
      </c>
      <c r="F88" s="76">
        <v>1037260</v>
      </c>
      <c r="G88" s="76">
        <v>1038442</v>
      </c>
      <c r="H88" s="76">
        <v>1043997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22</v>
      </c>
      <c r="C124" s="83">
        <f>B3</f>
        <v>42490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5" t="s">
        <v>23</v>
      </c>
      <c r="C128" s="139"/>
      <c r="D128" s="139"/>
      <c r="E128" s="139"/>
      <c r="F128" s="139"/>
      <c r="G128" s="140" t="s">
        <v>4</v>
      </c>
      <c r="H128" s="141"/>
    </row>
    <row r="129" spans="2:10" ht="18" customHeight="1" thickBot="1">
      <c r="B129" s="115" t="s">
        <v>21</v>
      </c>
      <c r="C129" s="142"/>
      <c r="D129" s="142"/>
      <c r="E129" s="142"/>
      <c r="F129" s="142"/>
      <c r="G129" s="143">
        <v>376</v>
      </c>
      <c r="H129" s="144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20</v>
      </c>
      <c r="C133" s="32"/>
      <c r="D133" s="32"/>
      <c r="E133" s="33"/>
      <c r="F133" s="85">
        <f>C6</f>
        <v>42490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24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25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26" t="s">
        <v>18</v>
      </c>
      <c r="C138" s="126"/>
      <c r="D138" s="126"/>
      <c r="E138" s="126"/>
      <c r="F138" s="127"/>
      <c r="G138" s="118" t="s">
        <v>5</v>
      </c>
      <c r="H138" s="119"/>
      <c r="I138"/>
    </row>
    <row r="139" spans="2:10" ht="17.25" customHeight="1">
      <c r="B139" s="120" t="s">
        <v>40</v>
      </c>
      <c r="C139" s="120" t="s">
        <v>40</v>
      </c>
      <c r="D139" s="120" t="s">
        <v>40</v>
      </c>
      <c r="E139" s="120" t="s">
        <v>40</v>
      </c>
      <c r="F139" s="121" t="s">
        <v>40</v>
      </c>
      <c r="G139" s="122">
        <v>233329</v>
      </c>
      <c r="H139" s="123">
        <v>233329</v>
      </c>
      <c r="I139" s="46"/>
      <c r="J139" s="49"/>
    </row>
    <row r="140" spans="2:10" ht="13.5" customHeight="1">
      <c r="B140" s="110" t="s">
        <v>28</v>
      </c>
      <c r="C140" s="110" t="s">
        <v>28</v>
      </c>
      <c r="D140" s="110" t="s">
        <v>28</v>
      </c>
      <c r="E140" s="110" t="s">
        <v>28</v>
      </c>
      <c r="F140" s="111" t="s">
        <v>28</v>
      </c>
      <c r="G140" s="112">
        <v>182259</v>
      </c>
      <c r="H140" s="113">
        <v>182259</v>
      </c>
      <c r="I140" s="46"/>
      <c r="J140" s="49"/>
    </row>
    <row r="141" spans="2:10" ht="17.25" customHeight="1">
      <c r="B141" s="110" t="s">
        <v>41</v>
      </c>
      <c r="C141" s="110" t="s">
        <v>41</v>
      </c>
      <c r="D141" s="110" t="s">
        <v>41</v>
      </c>
      <c r="E141" s="110" t="s">
        <v>41</v>
      </c>
      <c r="F141" s="111" t="s">
        <v>41</v>
      </c>
      <c r="G141" s="112">
        <v>148959</v>
      </c>
      <c r="H141" s="113">
        <v>148959</v>
      </c>
      <c r="I141" s="46"/>
      <c r="J141" s="49"/>
    </row>
    <row r="142" spans="2:10" ht="17.25" customHeight="1">
      <c r="B142" s="110" t="s">
        <v>29</v>
      </c>
      <c r="C142" s="110" t="s">
        <v>29</v>
      </c>
      <c r="D142" s="110" t="s">
        <v>29</v>
      </c>
      <c r="E142" s="110" t="s">
        <v>29</v>
      </c>
      <c r="F142" s="111" t="s">
        <v>29</v>
      </c>
      <c r="G142" s="112">
        <v>148913</v>
      </c>
      <c r="H142" s="113">
        <v>148913</v>
      </c>
      <c r="I142" s="46"/>
      <c r="J142" s="49"/>
    </row>
    <row r="143" spans="2:10" ht="17.25" customHeight="1">
      <c r="B143" s="110" t="s">
        <v>39</v>
      </c>
      <c r="C143" s="110" t="s">
        <v>39</v>
      </c>
      <c r="D143" s="110" t="s">
        <v>39</v>
      </c>
      <c r="E143" s="110" t="s">
        <v>39</v>
      </c>
      <c r="F143" s="111" t="s">
        <v>39</v>
      </c>
      <c r="G143" s="112">
        <v>81157</v>
      </c>
      <c r="H143" s="113">
        <v>81157</v>
      </c>
      <c r="I143" s="46"/>
      <c r="J143" s="49"/>
    </row>
    <row r="144" spans="2:10" ht="13.5" customHeight="1">
      <c r="B144" s="110" t="s">
        <v>42</v>
      </c>
      <c r="C144" s="110" t="s">
        <v>42</v>
      </c>
      <c r="D144" s="110" t="s">
        <v>42</v>
      </c>
      <c r="E144" s="110" t="s">
        <v>42</v>
      </c>
      <c r="F144" s="111" t="s">
        <v>42</v>
      </c>
      <c r="G144" s="112">
        <v>61725</v>
      </c>
      <c r="H144" s="113">
        <v>61725</v>
      </c>
      <c r="I144" s="50"/>
      <c r="J144" s="49"/>
    </row>
    <row r="145" spans="2:13" ht="17.25" customHeight="1">
      <c r="B145" s="110" t="s">
        <v>30</v>
      </c>
      <c r="C145" s="110" t="s">
        <v>30</v>
      </c>
      <c r="D145" s="110" t="s">
        <v>30</v>
      </c>
      <c r="E145" s="110" t="s">
        <v>30</v>
      </c>
      <c r="F145" s="111" t="s">
        <v>30</v>
      </c>
      <c r="G145" s="112">
        <v>48571</v>
      </c>
      <c r="H145" s="113">
        <v>48571</v>
      </c>
      <c r="I145" s="46"/>
      <c r="J145" s="49"/>
    </row>
    <row r="146" spans="2:13" ht="17.25" customHeight="1">
      <c r="B146" s="110" t="s">
        <v>45</v>
      </c>
      <c r="C146" s="110" t="s">
        <v>45</v>
      </c>
      <c r="D146" s="110" t="s">
        <v>45</v>
      </c>
      <c r="E146" s="110" t="s">
        <v>45</v>
      </c>
      <c r="F146" s="111" t="s">
        <v>45</v>
      </c>
      <c r="G146" s="112">
        <v>32500</v>
      </c>
      <c r="H146" s="113">
        <v>32500</v>
      </c>
      <c r="I146" s="46"/>
      <c r="J146" s="49"/>
    </row>
    <row r="147" spans="2:13" ht="17.25" customHeight="1">
      <c r="B147" s="110" t="s">
        <v>31</v>
      </c>
      <c r="C147" s="110" t="s">
        <v>31</v>
      </c>
      <c r="D147" s="110" t="s">
        <v>31</v>
      </c>
      <c r="E147" s="110" t="s">
        <v>31</v>
      </c>
      <c r="F147" s="111" t="s">
        <v>31</v>
      </c>
      <c r="G147" s="112">
        <v>21198</v>
      </c>
      <c r="H147" s="113">
        <v>21198</v>
      </c>
      <c r="I147" s="46"/>
      <c r="J147" s="49"/>
      <c r="L147"/>
    </row>
    <row r="148" spans="2:13" ht="18" customHeight="1" thickBot="1">
      <c r="B148" s="114" t="s">
        <v>32</v>
      </c>
      <c r="C148" s="114" t="s">
        <v>32</v>
      </c>
      <c r="D148" s="114" t="s">
        <v>32</v>
      </c>
      <c r="E148" s="114" t="s">
        <v>32</v>
      </c>
      <c r="F148" s="115" t="s">
        <v>32</v>
      </c>
      <c r="G148" s="116">
        <v>19859</v>
      </c>
      <c r="H148" s="117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26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4" t="s">
        <v>18</v>
      </c>
      <c r="C153" s="124"/>
      <c r="D153" s="124"/>
      <c r="E153" s="124"/>
      <c r="F153" s="125"/>
      <c r="G153" s="119" t="s">
        <v>5</v>
      </c>
      <c r="H153" s="119"/>
      <c r="I153" s="51"/>
      <c r="J153" s="51"/>
      <c r="K153"/>
      <c r="L153"/>
      <c r="M153"/>
    </row>
    <row r="154" spans="2:13" ht="17.25" customHeight="1">
      <c r="B154" s="120" t="s">
        <v>28</v>
      </c>
      <c r="C154" s="120" t="s">
        <v>28</v>
      </c>
      <c r="D154" s="120" t="s">
        <v>28</v>
      </c>
      <c r="E154" s="120" t="s">
        <v>28</v>
      </c>
      <c r="F154" s="121" t="s">
        <v>28</v>
      </c>
      <c r="G154" s="122">
        <v>15321</v>
      </c>
      <c r="H154" s="123">
        <v>15321</v>
      </c>
      <c r="I154" s="52"/>
      <c r="J154" s="49"/>
      <c r="K154" s="48"/>
      <c r="L154"/>
      <c r="M154"/>
    </row>
    <row r="155" spans="2:13" ht="17.25" customHeight="1">
      <c r="B155" s="110" t="s">
        <v>29</v>
      </c>
      <c r="C155" s="110" t="s">
        <v>29</v>
      </c>
      <c r="D155" s="110" t="s">
        <v>29</v>
      </c>
      <c r="E155" s="110" t="s">
        <v>29</v>
      </c>
      <c r="F155" s="111" t="s">
        <v>29</v>
      </c>
      <c r="G155" s="112">
        <v>12461</v>
      </c>
      <c r="H155" s="113">
        <v>12461</v>
      </c>
      <c r="I155" s="52"/>
      <c r="J155" s="49"/>
      <c r="K155" s="48"/>
      <c r="L155"/>
      <c r="M155"/>
    </row>
    <row r="156" spans="2:13" ht="17.25" customHeight="1">
      <c r="B156" s="110" t="s">
        <v>41</v>
      </c>
      <c r="C156" s="110" t="s">
        <v>41</v>
      </c>
      <c r="D156" s="110" t="s">
        <v>41</v>
      </c>
      <c r="E156" s="110" t="s">
        <v>41</v>
      </c>
      <c r="F156" s="111" t="s">
        <v>41</v>
      </c>
      <c r="G156" s="112">
        <v>12099</v>
      </c>
      <c r="H156" s="113">
        <v>12099</v>
      </c>
      <c r="I156" s="52"/>
      <c r="J156" s="49"/>
      <c r="K156" s="48"/>
      <c r="L156"/>
      <c r="M156"/>
    </row>
    <row r="157" spans="2:13" ht="17.25">
      <c r="B157" s="110" t="s">
        <v>40</v>
      </c>
      <c r="C157" s="110" t="s">
        <v>40</v>
      </c>
      <c r="D157" s="110" t="s">
        <v>40</v>
      </c>
      <c r="E157" s="110" t="s">
        <v>40</v>
      </c>
      <c r="F157" s="111" t="s">
        <v>40</v>
      </c>
      <c r="G157" s="112">
        <v>11356</v>
      </c>
      <c r="H157" s="113">
        <v>11356</v>
      </c>
      <c r="I157" s="52"/>
      <c r="J157" s="49"/>
      <c r="K157" s="48"/>
      <c r="L157"/>
      <c r="M157"/>
    </row>
    <row r="158" spans="2:13" ht="17.25" customHeight="1">
      <c r="B158" s="110" t="s">
        <v>39</v>
      </c>
      <c r="C158" s="110" t="s">
        <v>39</v>
      </c>
      <c r="D158" s="110" t="s">
        <v>39</v>
      </c>
      <c r="E158" s="110" t="s">
        <v>39</v>
      </c>
      <c r="F158" s="111" t="s">
        <v>39</v>
      </c>
      <c r="G158" s="112">
        <v>8789</v>
      </c>
      <c r="H158" s="113">
        <v>8789</v>
      </c>
      <c r="I158" s="52"/>
      <c r="J158" s="49"/>
      <c r="K158" s="48"/>
      <c r="L158"/>
      <c r="M158"/>
    </row>
    <row r="159" spans="2:13" ht="17.25" customHeight="1">
      <c r="B159" s="110" t="s">
        <v>42</v>
      </c>
      <c r="C159" s="110" t="s">
        <v>42</v>
      </c>
      <c r="D159" s="110" t="s">
        <v>42</v>
      </c>
      <c r="E159" s="110" t="s">
        <v>42</v>
      </c>
      <c r="F159" s="111" t="s">
        <v>42</v>
      </c>
      <c r="G159" s="112">
        <v>4445</v>
      </c>
      <c r="H159" s="113">
        <v>4445</v>
      </c>
      <c r="I159" s="53"/>
      <c r="J159" s="49"/>
      <c r="K159" s="48"/>
      <c r="L159"/>
      <c r="M159"/>
    </row>
    <row r="160" spans="2:13" ht="17.25" customHeight="1">
      <c r="B160" s="110" t="s">
        <v>30</v>
      </c>
      <c r="C160" s="110" t="s">
        <v>30</v>
      </c>
      <c r="D160" s="110" t="s">
        <v>30</v>
      </c>
      <c r="E160" s="110" t="s">
        <v>30</v>
      </c>
      <c r="F160" s="111" t="s">
        <v>30</v>
      </c>
      <c r="G160" s="112">
        <v>3216</v>
      </c>
      <c r="H160" s="113">
        <v>3216</v>
      </c>
      <c r="I160" s="52"/>
      <c r="J160" s="49"/>
      <c r="K160" s="48"/>
      <c r="L160"/>
      <c r="M160"/>
    </row>
    <row r="161" spans="2:13" ht="17.25" customHeight="1">
      <c r="B161" s="110" t="s">
        <v>43</v>
      </c>
      <c r="C161" s="110" t="s">
        <v>43</v>
      </c>
      <c r="D161" s="110" t="s">
        <v>43</v>
      </c>
      <c r="E161" s="110" t="s">
        <v>43</v>
      </c>
      <c r="F161" s="111" t="s">
        <v>43</v>
      </c>
      <c r="G161" s="112">
        <v>2537</v>
      </c>
      <c r="H161" s="113">
        <v>2537</v>
      </c>
      <c r="I161" s="52"/>
      <c r="J161" s="49"/>
      <c r="K161" s="48"/>
      <c r="L161"/>
      <c r="M161"/>
    </row>
    <row r="162" spans="2:13" ht="17.25" customHeight="1">
      <c r="B162" s="110" t="s">
        <v>44</v>
      </c>
      <c r="C162" s="110" t="s">
        <v>44</v>
      </c>
      <c r="D162" s="110" t="s">
        <v>44</v>
      </c>
      <c r="E162" s="110" t="s">
        <v>44</v>
      </c>
      <c r="F162" s="111" t="s">
        <v>44</v>
      </c>
      <c r="G162" s="112">
        <v>1665</v>
      </c>
      <c r="H162" s="113">
        <v>1665</v>
      </c>
      <c r="I162" s="52"/>
      <c r="J162" s="49"/>
      <c r="K162" s="48"/>
      <c r="L162"/>
      <c r="M162"/>
    </row>
    <row r="163" spans="2:13" ht="18" customHeight="1" thickBot="1">
      <c r="B163" s="114" t="s">
        <v>31</v>
      </c>
      <c r="C163" s="114" t="s">
        <v>31</v>
      </c>
      <c r="D163" s="114" t="s">
        <v>31</v>
      </c>
      <c r="E163" s="114" t="s">
        <v>31</v>
      </c>
      <c r="F163" s="115" t="s">
        <v>31</v>
      </c>
      <c r="G163" s="116">
        <v>1509</v>
      </c>
      <c r="H163" s="117">
        <v>1509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27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24" t="s">
        <v>18</v>
      </c>
      <c r="C168" s="124"/>
      <c r="D168" s="124"/>
      <c r="E168" s="124"/>
      <c r="F168" s="125"/>
      <c r="G168" s="119" t="s">
        <v>8</v>
      </c>
      <c r="H168" s="119"/>
      <c r="I168" s="2"/>
      <c r="J168" s="2"/>
    </row>
    <row r="169" spans="2:13" ht="17.25" customHeight="1">
      <c r="B169" s="120" t="s">
        <v>29</v>
      </c>
      <c r="C169" s="120" t="s">
        <v>29</v>
      </c>
      <c r="D169" s="120" t="s">
        <v>29</v>
      </c>
      <c r="E169" s="120" t="s">
        <v>29</v>
      </c>
      <c r="F169" s="121" t="s">
        <v>29</v>
      </c>
      <c r="G169" s="122">
        <v>1373528593133.1001</v>
      </c>
      <c r="H169" s="123">
        <v>1373528593133.1001</v>
      </c>
      <c r="I169" s="54"/>
      <c r="J169" s="55"/>
    </row>
    <row r="170" spans="2:13" ht="17.25" customHeight="1">
      <c r="B170" s="110" t="s">
        <v>38</v>
      </c>
      <c r="C170" s="110" t="s">
        <v>38</v>
      </c>
      <c r="D170" s="110" t="s">
        <v>38</v>
      </c>
      <c r="E170" s="110" t="s">
        <v>38</v>
      </c>
      <c r="F170" s="111" t="s">
        <v>38</v>
      </c>
      <c r="G170" s="112">
        <v>1111967767953.1799</v>
      </c>
      <c r="H170" s="113">
        <v>1111967767953.1799</v>
      </c>
      <c r="I170" s="54"/>
      <c r="J170" s="55"/>
    </row>
    <row r="171" spans="2:13" ht="17.25" customHeight="1">
      <c r="B171" s="110" t="s">
        <v>39</v>
      </c>
      <c r="C171" s="110" t="s">
        <v>39</v>
      </c>
      <c r="D171" s="110" t="s">
        <v>39</v>
      </c>
      <c r="E171" s="110" t="s">
        <v>39</v>
      </c>
      <c r="F171" s="111" t="s">
        <v>39</v>
      </c>
      <c r="G171" s="112">
        <v>1006373287927.47</v>
      </c>
      <c r="H171" s="113">
        <v>1006373287927.47</v>
      </c>
      <c r="I171" s="54"/>
      <c r="J171" s="55"/>
    </row>
    <row r="172" spans="2:13" ht="17.25" customHeight="1">
      <c r="B172" s="110" t="s">
        <v>28</v>
      </c>
      <c r="C172" s="110" t="s">
        <v>28</v>
      </c>
      <c r="D172" s="110" t="s">
        <v>28</v>
      </c>
      <c r="E172" s="110" t="s">
        <v>28</v>
      </c>
      <c r="F172" s="111" t="s">
        <v>28</v>
      </c>
      <c r="G172" s="112">
        <v>586027562094.83398</v>
      </c>
      <c r="H172" s="113">
        <v>586027562094.83398</v>
      </c>
      <c r="I172" s="54"/>
      <c r="J172" s="55"/>
    </row>
    <row r="173" spans="2:13" ht="17.25" customHeight="1">
      <c r="B173" s="110" t="s">
        <v>51</v>
      </c>
      <c r="C173" s="110" t="s">
        <v>51</v>
      </c>
      <c r="D173" s="110" t="s">
        <v>51</v>
      </c>
      <c r="E173" s="110" t="s">
        <v>51</v>
      </c>
      <c r="F173" s="111" t="s">
        <v>51</v>
      </c>
      <c r="G173" s="112">
        <v>560387980269.14001</v>
      </c>
      <c r="H173" s="113">
        <v>560387980269.14001</v>
      </c>
      <c r="I173" s="56"/>
      <c r="J173" s="49"/>
    </row>
    <row r="174" spans="2:13" ht="17.25" customHeight="1">
      <c r="B174" s="110" t="s">
        <v>46</v>
      </c>
      <c r="C174" s="110" t="s">
        <v>46</v>
      </c>
      <c r="D174" s="110" t="s">
        <v>46</v>
      </c>
      <c r="E174" s="110" t="s">
        <v>46</v>
      </c>
      <c r="F174" s="111" t="s">
        <v>46</v>
      </c>
      <c r="G174" s="112">
        <v>361136820509.46002</v>
      </c>
      <c r="H174" s="113">
        <v>361136820509.46002</v>
      </c>
      <c r="I174" s="54"/>
      <c r="J174" s="55"/>
    </row>
    <row r="175" spans="2:13" ht="17.25" customHeight="1">
      <c r="B175" s="110" t="s">
        <v>41</v>
      </c>
      <c r="C175" s="110" t="s">
        <v>41</v>
      </c>
      <c r="D175" s="110" t="s">
        <v>41</v>
      </c>
      <c r="E175" s="110" t="s">
        <v>41</v>
      </c>
      <c r="F175" s="111" t="s">
        <v>41</v>
      </c>
      <c r="G175" s="112">
        <v>349435571602.20001</v>
      </c>
      <c r="H175" s="113">
        <v>349435571602.20001</v>
      </c>
      <c r="I175" s="54"/>
      <c r="J175" s="55"/>
    </row>
    <row r="176" spans="2:13" ht="17.25" customHeight="1">
      <c r="B176" s="110" t="s">
        <v>33</v>
      </c>
      <c r="C176" s="110" t="s">
        <v>33</v>
      </c>
      <c r="D176" s="110" t="s">
        <v>33</v>
      </c>
      <c r="E176" s="110" t="s">
        <v>33</v>
      </c>
      <c r="F176" s="111" t="s">
        <v>33</v>
      </c>
      <c r="G176" s="112">
        <v>341434696250.38</v>
      </c>
      <c r="H176" s="113">
        <v>341434696250.38</v>
      </c>
      <c r="I176" s="54"/>
      <c r="J176" s="55"/>
    </row>
    <row r="177" spans="2:10" ht="17.25" customHeight="1">
      <c r="B177" s="110" t="s">
        <v>44</v>
      </c>
      <c r="C177" s="110" t="s">
        <v>44</v>
      </c>
      <c r="D177" s="110" t="s">
        <v>44</v>
      </c>
      <c r="E177" s="110" t="s">
        <v>44</v>
      </c>
      <c r="F177" s="111" t="s">
        <v>44</v>
      </c>
      <c r="G177" s="112">
        <v>309113434371.56</v>
      </c>
      <c r="H177" s="113">
        <v>309113434371.56</v>
      </c>
      <c r="I177" s="54"/>
      <c r="J177" s="55"/>
    </row>
    <row r="178" spans="2:10" ht="18" customHeight="1" thickBot="1">
      <c r="B178" s="114" t="s">
        <v>30</v>
      </c>
      <c r="C178" s="114" t="s">
        <v>30</v>
      </c>
      <c r="D178" s="114" t="s">
        <v>30</v>
      </c>
      <c r="E178" s="114" t="s">
        <v>30</v>
      </c>
      <c r="F178" s="115" t="s">
        <v>30</v>
      </c>
      <c r="G178" s="116">
        <v>285987729530.55701</v>
      </c>
      <c r="H178" s="117">
        <v>285987729530.55701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68:F168"/>
    <mergeCell ref="B172:F172"/>
    <mergeCell ref="G172:H172"/>
    <mergeCell ref="B173:F173"/>
    <mergeCell ref="G173:H173"/>
    <mergeCell ref="B174:F174"/>
    <mergeCell ref="G174:H174"/>
    <mergeCell ref="B178:F178"/>
    <mergeCell ref="G178:H178"/>
    <mergeCell ref="B175:F175"/>
    <mergeCell ref="G175:H175"/>
    <mergeCell ref="B176:F176"/>
    <mergeCell ref="G176:H176"/>
    <mergeCell ref="B177:F177"/>
    <mergeCell ref="G177:H177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52577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52577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1">
    <pageSetUpPr fitToPage="1"/>
  </sheetPr>
  <dimension ref="B2:N180"/>
  <sheetViews>
    <sheetView topLeftCell="A13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55" t="s">
        <v>14</v>
      </c>
      <c r="C2" s="155"/>
      <c r="D2" s="155"/>
      <c r="E2" s="155"/>
      <c r="F2" s="155"/>
      <c r="G2" s="155"/>
      <c r="H2" s="155"/>
    </row>
    <row r="3" spans="2:14" s="1" customFormat="1" ht="21" thickBot="1">
      <c r="B3" s="156">
        <v>42520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19</v>
      </c>
      <c r="C6" s="62">
        <f>B3</f>
        <v>42520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34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57" t="s">
        <v>17</v>
      </c>
      <c r="C11" s="157"/>
      <c r="D11" s="158"/>
      <c r="E11" s="67">
        <f>EDATE(B3,-1)</f>
        <v>42490</v>
      </c>
      <c r="F11" s="67">
        <f>B3</f>
        <v>42520</v>
      </c>
      <c r="G11" s="44" t="s">
        <v>9</v>
      </c>
      <c r="H11" s="44" t="s">
        <v>10</v>
      </c>
      <c r="J11" s="71"/>
    </row>
    <row r="12" spans="2:14" s="70" customFormat="1" ht="17.25">
      <c r="B12" s="153" t="s">
        <v>0</v>
      </c>
      <c r="C12" s="153"/>
      <c r="D12" s="154"/>
      <c r="E12" s="72">
        <f>April!F12</f>
        <v>1345077</v>
      </c>
      <c r="F12" s="78">
        <v>1350066</v>
      </c>
      <c r="G12" s="11">
        <f>F12-E12</f>
        <v>4989</v>
      </c>
      <c r="H12" s="58">
        <f t="shared" ref="H12:H18" si="0">F12/E12-1</f>
        <v>3.7090813388378496E-3</v>
      </c>
      <c r="I12" s="79"/>
      <c r="J12" s="80"/>
    </row>
    <row r="13" spans="2:14" s="70" customFormat="1" ht="17.25">
      <c r="B13" s="147" t="s">
        <v>1</v>
      </c>
      <c r="C13" s="147"/>
      <c r="D13" s="148"/>
      <c r="E13" s="72">
        <f>April!F13</f>
        <v>32138</v>
      </c>
      <c r="F13" s="78">
        <v>30800</v>
      </c>
      <c r="G13" s="11">
        <f t="shared" ref="G13:G18" si="1">F13-E13</f>
        <v>-1338</v>
      </c>
      <c r="H13" s="58">
        <f t="shared" si="0"/>
        <v>-4.163295786918908E-2</v>
      </c>
      <c r="I13" s="79"/>
      <c r="J13" s="80"/>
    </row>
    <row r="14" spans="2:14" s="70" customFormat="1" ht="17.25">
      <c r="B14" s="147" t="s">
        <v>48</v>
      </c>
      <c r="C14" s="147"/>
      <c r="D14" s="148"/>
      <c r="E14" s="72">
        <f>April!F14</f>
        <v>13635</v>
      </c>
      <c r="F14" s="78">
        <v>13714</v>
      </c>
      <c r="G14" s="11">
        <f t="shared" si="1"/>
        <v>79</v>
      </c>
      <c r="H14" s="58">
        <f t="shared" si="0"/>
        <v>5.793912724605832E-3</v>
      </c>
      <c r="I14" s="79"/>
      <c r="J14" s="80"/>
    </row>
    <row r="15" spans="2:14" s="70" customFormat="1" ht="17.25">
      <c r="B15" s="149" t="s">
        <v>49</v>
      </c>
      <c r="C15" s="149"/>
      <c r="D15" s="150"/>
      <c r="E15" s="72">
        <f>April!F15</f>
        <v>5458</v>
      </c>
      <c r="F15" s="78">
        <v>5667</v>
      </c>
      <c r="G15" s="11">
        <f t="shared" si="1"/>
        <v>209</v>
      </c>
      <c r="H15" s="58">
        <f t="shared" si="0"/>
        <v>3.8292414803957397E-2</v>
      </c>
      <c r="I15" s="79"/>
      <c r="J15" s="80"/>
    </row>
    <row r="16" spans="2:14" s="70" customFormat="1" ht="17.25">
      <c r="B16" s="151" t="s">
        <v>50</v>
      </c>
      <c r="C16" s="151"/>
      <c r="D16" s="152"/>
      <c r="E16" s="72">
        <f>April!F16</f>
        <v>8177</v>
      </c>
      <c r="F16" s="78">
        <v>8047</v>
      </c>
      <c r="G16" s="11">
        <f t="shared" si="1"/>
        <v>-130</v>
      </c>
      <c r="H16" s="58">
        <f t="shared" si="0"/>
        <v>-1.5898251192368873E-2</v>
      </c>
      <c r="I16" s="79"/>
      <c r="J16" s="80"/>
    </row>
    <row r="17" spans="2:10" s="70" customFormat="1" ht="18" customHeight="1" thickBot="1">
      <c r="B17" s="145" t="s">
        <v>2</v>
      </c>
      <c r="C17" s="145"/>
      <c r="D17" s="146"/>
      <c r="E17" s="72">
        <f>April!F17</f>
        <v>12595</v>
      </c>
      <c r="F17" s="78">
        <v>12965</v>
      </c>
      <c r="G17" s="11">
        <f t="shared" si="1"/>
        <v>370</v>
      </c>
      <c r="H17" s="58">
        <f t="shared" si="0"/>
        <v>2.9376736800317493E-2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f>April!F18</f>
        <v>1403445</v>
      </c>
      <c r="F18" s="66">
        <v>1407545</v>
      </c>
      <c r="G18" s="66">
        <f t="shared" si="1"/>
        <v>4100</v>
      </c>
      <c r="H18" s="63">
        <f t="shared" si="0"/>
        <v>2.9213827403282711E-3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35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57" t="s">
        <v>17</v>
      </c>
      <c r="C22" s="157"/>
      <c r="D22" s="158"/>
      <c r="E22" s="67">
        <f>EDATE(B3,-1)</f>
        <v>42490</v>
      </c>
      <c r="F22" s="67">
        <f>F11</f>
        <v>42520</v>
      </c>
      <c r="G22" s="44" t="s">
        <v>9</v>
      </c>
      <c r="H22" s="44" t="s">
        <v>10</v>
      </c>
      <c r="J22" s="71"/>
    </row>
    <row r="23" spans="2:10" s="70" customFormat="1" ht="17.25">
      <c r="B23" s="153" t="s">
        <v>0</v>
      </c>
      <c r="C23" s="153"/>
      <c r="D23" s="154"/>
      <c r="E23" s="72">
        <f>April!F23</f>
        <v>1014752</v>
      </c>
      <c r="F23" s="78">
        <v>1018892</v>
      </c>
      <c r="G23" s="11">
        <f>F23-E23</f>
        <v>4140</v>
      </c>
      <c r="H23" s="58">
        <f>F23/E23-1</f>
        <v>4.0798145753839776E-3</v>
      </c>
      <c r="I23" s="80"/>
    </row>
    <row r="24" spans="2:10" s="70" customFormat="1" ht="17.25">
      <c r="B24" s="147" t="s">
        <v>1</v>
      </c>
      <c r="C24" s="147"/>
      <c r="D24" s="148"/>
      <c r="E24" s="72">
        <f>April!F24</f>
        <v>19023</v>
      </c>
      <c r="F24" s="78">
        <v>19023</v>
      </c>
      <c r="G24" s="11">
        <f t="shared" ref="G24:G29" si="2">F24-E24</f>
        <v>0</v>
      </c>
      <c r="H24" s="58">
        <f t="shared" ref="H24:H29" si="3">F24/E24-1</f>
        <v>0</v>
      </c>
      <c r="I24" s="80"/>
    </row>
    <row r="25" spans="2:10" s="70" customFormat="1" ht="17.25">
      <c r="B25" s="147" t="s">
        <v>48</v>
      </c>
      <c r="C25" s="147"/>
      <c r="D25" s="148"/>
      <c r="E25" s="72">
        <f>April!F25</f>
        <v>8800</v>
      </c>
      <c r="F25" s="78">
        <v>8928</v>
      </c>
      <c r="G25" s="11">
        <f t="shared" si="2"/>
        <v>128</v>
      </c>
      <c r="H25" s="58">
        <f t="shared" si="3"/>
        <v>1.4545454545454639E-2</v>
      </c>
      <c r="I25" s="80"/>
    </row>
    <row r="26" spans="2:10" s="70" customFormat="1" ht="17.25">
      <c r="B26" s="149" t="s">
        <v>49</v>
      </c>
      <c r="C26" s="149"/>
      <c r="D26" s="150"/>
      <c r="E26" s="72">
        <f>April!F26</f>
        <v>5052</v>
      </c>
      <c r="F26" s="78">
        <v>5197</v>
      </c>
      <c r="G26" s="11">
        <f t="shared" si="2"/>
        <v>145</v>
      </c>
      <c r="H26" s="58">
        <f t="shared" si="3"/>
        <v>2.8701504354710972E-2</v>
      </c>
      <c r="I26" s="80"/>
    </row>
    <row r="27" spans="2:10" s="70" customFormat="1" ht="17.25">
      <c r="B27" s="151" t="s">
        <v>50</v>
      </c>
      <c r="C27" s="151"/>
      <c r="D27" s="152"/>
      <c r="E27" s="72">
        <f>April!F27</f>
        <v>3748</v>
      </c>
      <c r="F27" s="78">
        <v>3731</v>
      </c>
      <c r="G27" s="11">
        <f t="shared" si="2"/>
        <v>-17</v>
      </c>
      <c r="H27" s="58">
        <f t="shared" si="3"/>
        <v>-4.5357524012806794E-3</v>
      </c>
      <c r="I27" s="80"/>
    </row>
    <row r="28" spans="2:10" s="70" customFormat="1" ht="18" customHeight="1" thickBot="1">
      <c r="B28" s="145" t="s">
        <v>2</v>
      </c>
      <c r="C28" s="145"/>
      <c r="D28" s="146"/>
      <c r="E28" s="72">
        <f>April!F28</f>
        <v>1422</v>
      </c>
      <c r="F28" s="78">
        <v>1400</v>
      </c>
      <c r="G28" s="11">
        <f t="shared" si="2"/>
        <v>-22</v>
      </c>
      <c r="H28" s="58">
        <f t="shared" si="3"/>
        <v>-1.5471167369901506E-2</v>
      </c>
      <c r="I28" s="80"/>
    </row>
    <row r="29" spans="2:10" s="64" customFormat="1" ht="18" thickBot="1">
      <c r="B29" s="59" t="s">
        <v>3</v>
      </c>
      <c r="C29" s="59"/>
      <c r="D29" s="60"/>
      <c r="E29" s="66">
        <f>April!F29</f>
        <v>1043997</v>
      </c>
      <c r="F29" s="66">
        <v>1048243</v>
      </c>
      <c r="G29" s="66">
        <f t="shared" si="2"/>
        <v>4246</v>
      </c>
      <c r="H29" s="63">
        <f t="shared" si="3"/>
        <v>4.0670614953874917E-3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15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4" t="s">
        <v>17</v>
      </c>
      <c r="C33" s="124"/>
      <c r="D33" s="125"/>
      <c r="E33" s="67">
        <f>EDATE(B3,-1)</f>
        <v>42490</v>
      </c>
      <c r="F33" s="67">
        <f>F11</f>
        <v>42520</v>
      </c>
      <c r="G33" s="16" t="s">
        <v>9</v>
      </c>
      <c r="H33" s="16" t="s">
        <v>10</v>
      </c>
    </row>
    <row r="34" spans="2:9" ht="17.25">
      <c r="B34" s="153" t="s">
        <v>0</v>
      </c>
      <c r="C34" s="153"/>
      <c r="D34" s="154"/>
      <c r="E34" s="72">
        <f>April!F34</f>
        <v>80653</v>
      </c>
      <c r="F34" s="72">
        <v>68987</v>
      </c>
      <c r="G34" s="11">
        <f t="shared" ref="G34:G40" si="4">F34-E34</f>
        <v>-11666</v>
      </c>
      <c r="H34" s="58">
        <f t="shared" ref="H34:H40" si="5">F34/E34-1</f>
        <v>-0.14464434057009656</v>
      </c>
      <c r="I34" s="57"/>
    </row>
    <row r="35" spans="2:9" ht="17.25">
      <c r="B35" s="147" t="s">
        <v>1</v>
      </c>
      <c r="C35" s="147"/>
      <c r="D35" s="148"/>
      <c r="E35" s="72">
        <f>April!F35</f>
        <v>1150</v>
      </c>
      <c r="F35" s="72">
        <v>999</v>
      </c>
      <c r="G35" s="11">
        <f t="shared" si="4"/>
        <v>-151</v>
      </c>
      <c r="H35" s="58">
        <f t="shared" si="5"/>
        <v>-0.13130434782608691</v>
      </c>
      <c r="I35" s="57"/>
    </row>
    <row r="36" spans="2:9" ht="17.25">
      <c r="B36" s="147" t="s">
        <v>48</v>
      </c>
      <c r="C36" s="147"/>
      <c r="D36" s="148"/>
      <c r="E36" s="72">
        <f>April!F36</f>
        <v>665</v>
      </c>
      <c r="F36" s="72">
        <v>599</v>
      </c>
      <c r="G36" s="11">
        <f t="shared" si="4"/>
        <v>-66</v>
      </c>
      <c r="H36" s="58">
        <f t="shared" si="5"/>
        <v>-9.9248120300751919E-2</v>
      </c>
      <c r="I36" s="57"/>
    </row>
    <row r="37" spans="2:9" ht="17.25">
      <c r="B37" s="149" t="s">
        <v>49</v>
      </c>
      <c r="C37" s="149"/>
      <c r="D37" s="150"/>
      <c r="E37" s="72">
        <f>April!F37</f>
        <v>332</v>
      </c>
      <c r="F37" s="72">
        <v>287</v>
      </c>
      <c r="G37" s="11">
        <f t="shared" si="4"/>
        <v>-45</v>
      </c>
      <c r="H37" s="58">
        <f t="shared" si="5"/>
        <v>-0.13554216867469882</v>
      </c>
      <c r="I37" s="57"/>
    </row>
    <row r="38" spans="2:9" ht="17.25">
      <c r="B38" s="151" t="s">
        <v>50</v>
      </c>
      <c r="C38" s="151"/>
      <c r="D38" s="152"/>
      <c r="E38" s="72">
        <f>April!F38</f>
        <v>333</v>
      </c>
      <c r="F38" s="72">
        <v>312</v>
      </c>
      <c r="G38" s="11">
        <f t="shared" si="4"/>
        <v>-21</v>
      </c>
      <c r="H38" s="58">
        <f t="shared" si="5"/>
        <v>-6.3063063063063085E-2</v>
      </c>
      <c r="I38" s="57"/>
    </row>
    <row r="39" spans="2:9" ht="18" customHeight="1" thickBot="1">
      <c r="B39" s="145" t="s">
        <v>2</v>
      </c>
      <c r="C39" s="145"/>
      <c r="D39" s="146"/>
      <c r="E39" s="72">
        <f>April!F39</f>
        <v>524</v>
      </c>
      <c r="F39" s="72">
        <v>432</v>
      </c>
      <c r="G39" s="11">
        <f t="shared" si="4"/>
        <v>-92</v>
      </c>
      <c r="H39" s="58">
        <f t="shared" si="5"/>
        <v>-0.17557251908396942</v>
      </c>
      <c r="I39" s="57"/>
    </row>
    <row r="40" spans="2:9" s="64" customFormat="1" ht="18" thickBot="1">
      <c r="B40" s="59" t="s">
        <v>3</v>
      </c>
      <c r="C40" s="59"/>
      <c r="D40" s="60"/>
      <c r="E40" s="66">
        <f>April!F40</f>
        <v>82992</v>
      </c>
      <c r="F40" s="66">
        <v>71017</v>
      </c>
      <c r="G40" s="66">
        <f t="shared" si="4"/>
        <v>-11975</v>
      </c>
      <c r="H40" s="63">
        <f t="shared" si="5"/>
        <v>-0.14429101600154237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16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36</v>
      </c>
      <c r="C48" s="23"/>
      <c r="D48" s="23"/>
      <c r="E48" s="23"/>
      <c r="F48" s="23"/>
      <c r="G48" s="23"/>
      <c r="H48" s="128" t="s">
        <v>12</v>
      </c>
      <c r="I48" s="128"/>
    </row>
    <row r="49" spans="2:9" ht="15.75" thickBot="1">
      <c r="B49" s="124" t="s">
        <v>17</v>
      </c>
      <c r="C49" s="124"/>
      <c r="D49" s="125"/>
      <c r="E49" s="67">
        <v>40908</v>
      </c>
      <c r="F49" s="67">
        <v>41274</v>
      </c>
      <c r="G49" s="67">
        <v>41639</v>
      </c>
      <c r="H49" s="67">
        <v>42004</v>
      </c>
      <c r="I49" s="67">
        <v>42369</v>
      </c>
    </row>
    <row r="50" spans="2:9" ht="17.25">
      <c r="B50" s="129" t="s">
        <v>0</v>
      </c>
      <c r="C50" s="129"/>
      <c r="D50" s="130"/>
      <c r="E50" s="74">
        <v>772175</v>
      </c>
      <c r="F50" s="74">
        <v>805549</v>
      </c>
      <c r="G50" s="74">
        <v>881844</v>
      </c>
      <c r="H50" s="74">
        <v>944559</v>
      </c>
      <c r="I50" s="74">
        <v>1006751</v>
      </c>
    </row>
    <row r="51" spans="2:9" ht="17.25">
      <c r="B51" s="131" t="s">
        <v>1</v>
      </c>
      <c r="C51" s="131"/>
      <c r="D51" s="132"/>
      <c r="E51" s="75">
        <v>16850</v>
      </c>
      <c r="F51" s="75">
        <v>17821</v>
      </c>
      <c r="G51" s="75">
        <v>19539</v>
      </c>
      <c r="H51" s="75">
        <v>20178</v>
      </c>
      <c r="I51" s="75">
        <v>20753</v>
      </c>
    </row>
    <row r="52" spans="2:9" ht="17.25">
      <c r="B52" s="133" t="s">
        <v>48</v>
      </c>
      <c r="C52" s="133"/>
      <c r="D52" s="134"/>
      <c r="E52" s="77">
        <v>5058</v>
      </c>
      <c r="F52" s="77">
        <v>5876</v>
      </c>
      <c r="G52" s="77">
        <v>6957</v>
      </c>
      <c r="H52" s="77">
        <v>7486</v>
      </c>
      <c r="I52" s="77">
        <v>8729</v>
      </c>
    </row>
    <row r="53" spans="2:9" ht="18" thickBot="1">
      <c r="B53" s="135" t="s">
        <v>2</v>
      </c>
      <c r="C53" s="135"/>
      <c r="D53" s="136"/>
      <c r="E53" s="73">
        <v>5242</v>
      </c>
      <c r="F53" s="73">
        <v>5261</v>
      </c>
      <c r="G53" s="73">
        <v>5182</v>
      </c>
      <c r="H53" s="73">
        <v>5142</v>
      </c>
      <c r="I53" s="73">
        <v>3836</v>
      </c>
    </row>
    <row r="54" spans="2:9" s="65" customFormat="1" ht="18" thickBot="1">
      <c r="B54" s="137" t="s">
        <v>3</v>
      </c>
      <c r="C54" s="137"/>
      <c r="D54" s="138"/>
      <c r="E54" s="76">
        <v>799325</v>
      </c>
      <c r="F54" s="76">
        <v>834507</v>
      </c>
      <c r="G54" s="76">
        <v>913522</v>
      </c>
      <c r="H54" s="76">
        <v>977365</v>
      </c>
      <c r="I54" s="76">
        <v>1040069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37</v>
      </c>
      <c r="C82" s="23"/>
      <c r="D82" s="23"/>
      <c r="E82" s="23"/>
      <c r="F82" s="23"/>
      <c r="G82" s="23"/>
      <c r="H82" s="94" t="s">
        <v>11</v>
      </c>
      <c r="I82"/>
      <c r="J82"/>
      <c r="K82"/>
    </row>
    <row r="83" spans="2:11" ht="15.75" thickBot="1">
      <c r="B83" s="31" t="s">
        <v>17</v>
      </c>
      <c r="C83" s="67">
        <f>EDATE(D83,-1)</f>
        <v>42367</v>
      </c>
      <c r="D83" s="67">
        <f>EDATE(E83,-1)</f>
        <v>42398</v>
      </c>
      <c r="E83" s="67">
        <f>EDATE(F83,-1)</f>
        <v>42429</v>
      </c>
      <c r="F83" s="67">
        <f>EDATE(G83,-1)</f>
        <v>42459</v>
      </c>
      <c r="G83" s="67">
        <f>EDATE(H83,-1)</f>
        <v>42490</v>
      </c>
      <c r="H83" s="67">
        <f>EDATE(E11,1)</f>
        <v>42520</v>
      </c>
      <c r="I83"/>
      <c r="J83"/>
    </row>
    <row r="84" spans="2:11" ht="16.5" customHeight="1">
      <c r="B84" s="24" t="s">
        <v>0</v>
      </c>
      <c r="C84" s="74">
        <v>1006751</v>
      </c>
      <c r="D84" s="74">
        <v>1012875</v>
      </c>
      <c r="E84" s="74">
        <v>1006765</v>
      </c>
      <c r="F84" s="74">
        <v>1008379</v>
      </c>
      <c r="G84" s="74">
        <v>1014752</v>
      </c>
      <c r="H84" s="74">
        <v>1018892</v>
      </c>
    </row>
    <row r="85" spans="2:11" ht="16.5" customHeight="1">
      <c r="B85" s="25" t="s">
        <v>1</v>
      </c>
      <c r="C85" s="75">
        <v>20753</v>
      </c>
      <c r="D85" s="75">
        <v>20804</v>
      </c>
      <c r="E85" s="75">
        <v>18908</v>
      </c>
      <c r="F85" s="75">
        <v>19035</v>
      </c>
      <c r="G85" s="75">
        <v>19023</v>
      </c>
      <c r="H85" s="75">
        <v>19023</v>
      </c>
    </row>
    <row r="86" spans="2:11" ht="16.5" customHeight="1">
      <c r="B86" s="26" t="s">
        <v>48</v>
      </c>
      <c r="C86" s="77">
        <v>8729</v>
      </c>
      <c r="D86" s="77">
        <v>8764</v>
      </c>
      <c r="E86" s="77">
        <v>8657</v>
      </c>
      <c r="F86" s="77">
        <v>8480</v>
      </c>
      <c r="G86" s="77">
        <v>8800</v>
      </c>
      <c r="H86" s="77">
        <v>8928</v>
      </c>
    </row>
    <row r="87" spans="2:11" ht="16.5" customHeight="1" thickBot="1">
      <c r="B87" s="27" t="s">
        <v>2</v>
      </c>
      <c r="C87" s="73">
        <v>3836</v>
      </c>
      <c r="D87" s="73">
        <v>3848</v>
      </c>
      <c r="E87" s="73">
        <v>2930</v>
      </c>
      <c r="F87" s="73">
        <v>2548</v>
      </c>
      <c r="G87" s="73">
        <v>1422</v>
      </c>
      <c r="H87" s="73">
        <v>1400</v>
      </c>
    </row>
    <row r="88" spans="2:11" s="65" customFormat="1" ht="18" thickBot="1">
      <c r="B88" s="95" t="s">
        <v>3</v>
      </c>
      <c r="C88" s="76">
        <v>1040069</v>
      </c>
      <c r="D88" s="76">
        <v>1046291</v>
      </c>
      <c r="E88" s="76">
        <v>1037260</v>
      </c>
      <c r="F88" s="76">
        <v>1038442</v>
      </c>
      <c r="G88" s="76">
        <v>1043997</v>
      </c>
      <c r="H88" s="76">
        <v>1048243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22</v>
      </c>
      <c r="C124" s="83">
        <f>B3</f>
        <v>42520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5" t="s">
        <v>23</v>
      </c>
      <c r="C128" s="139"/>
      <c r="D128" s="139"/>
      <c r="E128" s="139"/>
      <c r="F128" s="139"/>
      <c r="G128" s="140" t="s">
        <v>4</v>
      </c>
      <c r="H128" s="141"/>
    </row>
    <row r="129" spans="2:10" ht="18" customHeight="1" thickBot="1">
      <c r="B129" s="115" t="s">
        <v>21</v>
      </c>
      <c r="C129" s="142"/>
      <c r="D129" s="142"/>
      <c r="E129" s="142"/>
      <c r="F129" s="142"/>
      <c r="G129" s="143">
        <v>366</v>
      </c>
      <c r="H129" s="144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20</v>
      </c>
      <c r="C133" s="32"/>
      <c r="D133" s="32"/>
      <c r="E133" s="33"/>
      <c r="F133" s="85">
        <f>C6</f>
        <v>42520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24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25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26" t="s">
        <v>18</v>
      </c>
      <c r="C138" s="126"/>
      <c r="D138" s="126"/>
      <c r="E138" s="126"/>
      <c r="F138" s="127"/>
      <c r="G138" s="118" t="s">
        <v>5</v>
      </c>
      <c r="H138" s="119"/>
      <c r="I138"/>
    </row>
    <row r="139" spans="2:10" ht="17.25" customHeight="1">
      <c r="B139" s="120" t="s">
        <v>40</v>
      </c>
      <c r="C139" s="120" t="s">
        <v>40</v>
      </c>
      <c r="D139" s="120" t="s">
        <v>40</v>
      </c>
      <c r="E139" s="120" t="s">
        <v>40</v>
      </c>
      <c r="F139" s="121" t="s">
        <v>40</v>
      </c>
      <c r="G139" s="122">
        <v>234591</v>
      </c>
      <c r="H139" s="123">
        <v>234591</v>
      </c>
      <c r="I139" s="46"/>
      <c r="J139" s="49"/>
    </row>
    <row r="140" spans="2:10" ht="13.5" customHeight="1">
      <c r="B140" s="110" t="s">
        <v>28</v>
      </c>
      <c r="C140" s="110" t="s">
        <v>28</v>
      </c>
      <c r="D140" s="110" t="s">
        <v>28</v>
      </c>
      <c r="E140" s="110" t="s">
        <v>28</v>
      </c>
      <c r="F140" s="111" t="s">
        <v>28</v>
      </c>
      <c r="G140" s="112">
        <v>183711</v>
      </c>
      <c r="H140" s="113">
        <v>183711</v>
      </c>
      <c r="I140" s="46"/>
      <c r="J140" s="49"/>
    </row>
    <row r="141" spans="2:10" ht="17.25" customHeight="1">
      <c r="B141" s="110" t="s">
        <v>29</v>
      </c>
      <c r="C141" s="110" t="s">
        <v>29</v>
      </c>
      <c r="D141" s="110" t="s">
        <v>29</v>
      </c>
      <c r="E141" s="110" t="s">
        <v>29</v>
      </c>
      <c r="F141" s="111" t="s">
        <v>29</v>
      </c>
      <c r="G141" s="112">
        <v>150354</v>
      </c>
      <c r="H141" s="113">
        <v>150354</v>
      </c>
      <c r="I141" s="46"/>
      <c r="J141" s="49"/>
    </row>
    <row r="142" spans="2:10" ht="17.25" customHeight="1">
      <c r="B142" s="110" t="s">
        <v>41</v>
      </c>
      <c r="C142" s="110" t="s">
        <v>41</v>
      </c>
      <c r="D142" s="110" t="s">
        <v>41</v>
      </c>
      <c r="E142" s="110" t="s">
        <v>41</v>
      </c>
      <c r="F142" s="111" t="s">
        <v>41</v>
      </c>
      <c r="G142" s="112">
        <v>150284</v>
      </c>
      <c r="H142" s="113">
        <v>150284</v>
      </c>
      <c r="I142" s="46"/>
      <c r="J142" s="49"/>
    </row>
    <row r="143" spans="2:10" ht="17.25" customHeight="1">
      <c r="B143" s="110" t="s">
        <v>39</v>
      </c>
      <c r="C143" s="110" t="s">
        <v>39</v>
      </c>
      <c r="D143" s="110" t="s">
        <v>39</v>
      </c>
      <c r="E143" s="110" t="s">
        <v>39</v>
      </c>
      <c r="F143" s="111" t="s">
        <v>39</v>
      </c>
      <c r="G143" s="112">
        <v>82878</v>
      </c>
      <c r="H143" s="113">
        <v>82878</v>
      </c>
      <c r="I143" s="46"/>
      <c r="J143" s="49"/>
    </row>
    <row r="144" spans="2:10" ht="13.5" customHeight="1">
      <c r="B144" s="110" t="s">
        <v>42</v>
      </c>
      <c r="C144" s="110" t="s">
        <v>42</v>
      </c>
      <c r="D144" s="110" t="s">
        <v>42</v>
      </c>
      <c r="E144" s="110" t="s">
        <v>42</v>
      </c>
      <c r="F144" s="111" t="s">
        <v>42</v>
      </c>
      <c r="G144" s="112">
        <v>61804</v>
      </c>
      <c r="H144" s="113">
        <v>61804</v>
      </c>
      <c r="I144" s="50"/>
      <c r="J144" s="49"/>
    </row>
    <row r="145" spans="2:13" ht="17.25" customHeight="1">
      <c r="B145" s="110" t="s">
        <v>30</v>
      </c>
      <c r="C145" s="110" t="s">
        <v>30</v>
      </c>
      <c r="D145" s="110" t="s">
        <v>30</v>
      </c>
      <c r="E145" s="110" t="s">
        <v>30</v>
      </c>
      <c r="F145" s="111" t="s">
        <v>30</v>
      </c>
      <c r="G145" s="112">
        <v>48775</v>
      </c>
      <c r="H145" s="113">
        <v>48775</v>
      </c>
      <c r="I145" s="46"/>
      <c r="J145" s="49"/>
    </row>
    <row r="146" spans="2:13" ht="17.25" customHeight="1">
      <c r="B146" s="110" t="s">
        <v>45</v>
      </c>
      <c r="C146" s="110" t="s">
        <v>45</v>
      </c>
      <c r="D146" s="110" t="s">
        <v>45</v>
      </c>
      <c r="E146" s="110" t="s">
        <v>45</v>
      </c>
      <c r="F146" s="111" t="s">
        <v>45</v>
      </c>
      <c r="G146" s="112">
        <v>32628</v>
      </c>
      <c r="H146" s="113">
        <v>32628</v>
      </c>
      <c r="I146" s="46"/>
      <c r="J146" s="49"/>
    </row>
    <row r="147" spans="2:13" ht="17.25" customHeight="1">
      <c r="B147" s="110" t="s">
        <v>31</v>
      </c>
      <c r="C147" s="110" t="s">
        <v>31</v>
      </c>
      <c r="D147" s="110" t="s">
        <v>31</v>
      </c>
      <c r="E147" s="110" t="s">
        <v>31</v>
      </c>
      <c r="F147" s="111" t="s">
        <v>31</v>
      </c>
      <c r="G147" s="112">
        <v>21275</v>
      </c>
      <c r="H147" s="113">
        <v>21275</v>
      </c>
      <c r="I147" s="46"/>
      <c r="J147" s="49"/>
      <c r="L147"/>
    </row>
    <row r="148" spans="2:13" ht="18" customHeight="1" thickBot="1">
      <c r="B148" s="114" t="s">
        <v>32</v>
      </c>
      <c r="C148" s="114" t="s">
        <v>32</v>
      </c>
      <c r="D148" s="114" t="s">
        <v>32</v>
      </c>
      <c r="E148" s="114" t="s">
        <v>32</v>
      </c>
      <c r="F148" s="115" t="s">
        <v>32</v>
      </c>
      <c r="G148" s="116">
        <v>19859</v>
      </c>
      <c r="H148" s="117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26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4" t="s">
        <v>18</v>
      </c>
      <c r="C153" s="124"/>
      <c r="D153" s="124"/>
      <c r="E153" s="124"/>
      <c r="F153" s="125"/>
      <c r="G153" s="119" t="s">
        <v>5</v>
      </c>
      <c r="H153" s="119"/>
      <c r="I153" s="51"/>
      <c r="J153" s="51"/>
      <c r="K153"/>
      <c r="L153"/>
      <c r="M153"/>
    </row>
    <row r="154" spans="2:13" ht="17.25" customHeight="1">
      <c r="B154" s="120" t="s">
        <v>28</v>
      </c>
      <c r="C154" s="120" t="s">
        <v>28</v>
      </c>
      <c r="D154" s="120" t="s">
        <v>28</v>
      </c>
      <c r="E154" s="120" t="s">
        <v>28</v>
      </c>
      <c r="F154" s="121" t="s">
        <v>28</v>
      </c>
      <c r="G154" s="122">
        <v>12403</v>
      </c>
      <c r="H154" s="123">
        <v>12403</v>
      </c>
      <c r="I154" s="52"/>
      <c r="J154" s="49"/>
      <c r="K154" s="48"/>
      <c r="L154"/>
      <c r="M154"/>
    </row>
    <row r="155" spans="2:13" ht="17.25" customHeight="1">
      <c r="B155" s="110" t="s">
        <v>29</v>
      </c>
      <c r="C155" s="110" t="s">
        <v>29</v>
      </c>
      <c r="D155" s="110" t="s">
        <v>29</v>
      </c>
      <c r="E155" s="110" t="s">
        <v>29</v>
      </c>
      <c r="F155" s="111" t="s">
        <v>29</v>
      </c>
      <c r="G155" s="112">
        <v>10606</v>
      </c>
      <c r="H155" s="113">
        <v>10606</v>
      </c>
      <c r="I155" s="52"/>
      <c r="J155" s="49"/>
      <c r="K155" s="48"/>
      <c r="L155"/>
      <c r="M155"/>
    </row>
    <row r="156" spans="2:13" ht="17.25" customHeight="1">
      <c r="B156" s="110" t="s">
        <v>41</v>
      </c>
      <c r="C156" s="110" t="s">
        <v>41</v>
      </c>
      <c r="D156" s="110" t="s">
        <v>41</v>
      </c>
      <c r="E156" s="110" t="s">
        <v>41</v>
      </c>
      <c r="F156" s="111" t="s">
        <v>41</v>
      </c>
      <c r="G156" s="112">
        <v>10545</v>
      </c>
      <c r="H156" s="113">
        <v>10545</v>
      </c>
      <c r="I156" s="52"/>
      <c r="J156" s="49"/>
      <c r="K156" s="48"/>
      <c r="L156"/>
      <c r="M156"/>
    </row>
    <row r="157" spans="2:13" ht="17.25">
      <c r="B157" s="110" t="s">
        <v>40</v>
      </c>
      <c r="C157" s="110" t="s">
        <v>40</v>
      </c>
      <c r="D157" s="110" t="s">
        <v>40</v>
      </c>
      <c r="E157" s="110" t="s">
        <v>40</v>
      </c>
      <c r="F157" s="111" t="s">
        <v>40</v>
      </c>
      <c r="G157" s="112">
        <v>10045</v>
      </c>
      <c r="H157" s="113">
        <v>10045</v>
      </c>
      <c r="I157" s="52"/>
      <c r="J157" s="49"/>
      <c r="K157" s="48"/>
      <c r="L157"/>
      <c r="M157"/>
    </row>
    <row r="158" spans="2:13" ht="17.25" customHeight="1">
      <c r="B158" s="110" t="s">
        <v>39</v>
      </c>
      <c r="C158" s="110" t="s">
        <v>39</v>
      </c>
      <c r="D158" s="110" t="s">
        <v>39</v>
      </c>
      <c r="E158" s="110" t="s">
        <v>39</v>
      </c>
      <c r="F158" s="111" t="s">
        <v>39</v>
      </c>
      <c r="G158" s="112">
        <v>8060</v>
      </c>
      <c r="H158" s="113">
        <v>8060</v>
      </c>
      <c r="I158" s="52"/>
      <c r="J158" s="49"/>
      <c r="K158" s="48"/>
      <c r="L158"/>
      <c r="M158"/>
    </row>
    <row r="159" spans="2:13" ht="17.25" customHeight="1">
      <c r="B159" s="110" t="s">
        <v>42</v>
      </c>
      <c r="C159" s="110" t="s">
        <v>42</v>
      </c>
      <c r="D159" s="110" t="s">
        <v>42</v>
      </c>
      <c r="E159" s="110" t="s">
        <v>42</v>
      </c>
      <c r="F159" s="111" t="s">
        <v>42</v>
      </c>
      <c r="G159" s="112">
        <v>3857</v>
      </c>
      <c r="H159" s="113">
        <v>3857</v>
      </c>
      <c r="I159" s="53"/>
      <c r="J159" s="49"/>
      <c r="K159" s="48"/>
      <c r="L159"/>
      <c r="M159"/>
    </row>
    <row r="160" spans="2:13" ht="17.25" customHeight="1">
      <c r="B160" s="110" t="s">
        <v>30</v>
      </c>
      <c r="C160" s="110" t="s">
        <v>30</v>
      </c>
      <c r="D160" s="110" t="s">
        <v>30</v>
      </c>
      <c r="E160" s="110" t="s">
        <v>30</v>
      </c>
      <c r="F160" s="111" t="s">
        <v>30</v>
      </c>
      <c r="G160" s="112">
        <v>2698</v>
      </c>
      <c r="H160" s="113">
        <v>2698</v>
      </c>
      <c r="I160" s="52"/>
      <c r="J160" s="49"/>
      <c r="K160" s="48"/>
      <c r="L160"/>
      <c r="M160"/>
    </row>
    <row r="161" spans="2:13" ht="17.25" customHeight="1">
      <c r="B161" s="110" t="s">
        <v>43</v>
      </c>
      <c r="C161" s="110" t="s">
        <v>43</v>
      </c>
      <c r="D161" s="110" t="s">
        <v>43</v>
      </c>
      <c r="E161" s="110" t="s">
        <v>43</v>
      </c>
      <c r="F161" s="111" t="s">
        <v>43</v>
      </c>
      <c r="G161" s="112">
        <v>2236</v>
      </c>
      <c r="H161" s="113">
        <v>2236</v>
      </c>
      <c r="I161" s="52"/>
      <c r="J161" s="49"/>
      <c r="K161" s="48"/>
      <c r="L161"/>
      <c r="M161"/>
    </row>
    <row r="162" spans="2:13" ht="17.25" customHeight="1">
      <c r="B162" s="110" t="s">
        <v>44</v>
      </c>
      <c r="C162" s="110" t="s">
        <v>44</v>
      </c>
      <c r="D162" s="110" t="s">
        <v>44</v>
      </c>
      <c r="E162" s="110" t="s">
        <v>44</v>
      </c>
      <c r="F162" s="111" t="s">
        <v>44</v>
      </c>
      <c r="G162" s="112">
        <v>1486</v>
      </c>
      <c r="H162" s="113">
        <v>1486</v>
      </c>
      <c r="I162" s="52"/>
      <c r="J162" s="49"/>
      <c r="K162" s="48"/>
      <c r="L162"/>
      <c r="M162"/>
    </row>
    <row r="163" spans="2:13" ht="18" customHeight="1" thickBot="1">
      <c r="B163" s="114" t="s">
        <v>31</v>
      </c>
      <c r="C163" s="114" t="s">
        <v>31</v>
      </c>
      <c r="D163" s="114" t="s">
        <v>31</v>
      </c>
      <c r="E163" s="114" t="s">
        <v>31</v>
      </c>
      <c r="F163" s="115" t="s">
        <v>31</v>
      </c>
      <c r="G163" s="116">
        <v>1236</v>
      </c>
      <c r="H163" s="117">
        <v>1236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27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24" t="s">
        <v>18</v>
      </c>
      <c r="C168" s="124"/>
      <c r="D168" s="124"/>
      <c r="E168" s="124"/>
      <c r="F168" s="125"/>
      <c r="G168" s="119" t="s">
        <v>8</v>
      </c>
      <c r="H168" s="119"/>
      <c r="I168" s="2"/>
      <c r="J168" s="2"/>
    </row>
    <row r="169" spans="2:13" ht="17.25" customHeight="1">
      <c r="B169" s="120" t="s">
        <v>29</v>
      </c>
      <c r="C169" s="120" t="s">
        <v>29</v>
      </c>
      <c r="D169" s="120" t="s">
        <v>29</v>
      </c>
      <c r="E169" s="120" t="s">
        <v>29</v>
      </c>
      <c r="F169" s="121" t="s">
        <v>29</v>
      </c>
      <c r="G169" s="122">
        <v>1279096538117.47</v>
      </c>
      <c r="H169" s="123">
        <v>1279096538117.47</v>
      </c>
      <c r="I169" s="54"/>
      <c r="J169" s="55"/>
    </row>
    <row r="170" spans="2:13" ht="17.25" customHeight="1">
      <c r="B170" s="110" t="s">
        <v>38</v>
      </c>
      <c r="C170" s="110" t="s">
        <v>38</v>
      </c>
      <c r="D170" s="110" t="s">
        <v>38</v>
      </c>
      <c r="E170" s="110" t="s">
        <v>38</v>
      </c>
      <c r="F170" s="111" t="s">
        <v>38</v>
      </c>
      <c r="G170" s="112">
        <v>903984487997.79004</v>
      </c>
      <c r="H170" s="113">
        <v>903984487997.79004</v>
      </c>
      <c r="I170" s="54"/>
      <c r="J170" s="55"/>
    </row>
    <row r="171" spans="2:13" ht="17.25" customHeight="1">
      <c r="B171" s="110" t="s">
        <v>39</v>
      </c>
      <c r="C171" s="110" t="s">
        <v>39</v>
      </c>
      <c r="D171" s="110" t="s">
        <v>39</v>
      </c>
      <c r="E171" s="110" t="s">
        <v>39</v>
      </c>
      <c r="F171" s="111" t="s">
        <v>39</v>
      </c>
      <c r="G171" s="112">
        <v>881402305397.70996</v>
      </c>
      <c r="H171" s="113">
        <v>881402305397.70996</v>
      </c>
      <c r="I171" s="54"/>
      <c r="J171" s="55"/>
    </row>
    <row r="172" spans="2:13" ht="17.25" customHeight="1">
      <c r="B172" s="110" t="s">
        <v>51</v>
      </c>
      <c r="C172" s="110" t="s">
        <v>51</v>
      </c>
      <c r="D172" s="110" t="s">
        <v>51</v>
      </c>
      <c r="E172" s="110" t="s">
        <v>51</v>
      </c>
      <c r="F172" s="111" t="s">
        <v>51</v>
      </c>
      <c r="G172" s="112">
        <v>422950157241.83002</v>
      </c>
      <c r="H172" s="113">
        <v>422950157241.83002</v>
      </c>
      <c r="I172" s="54"/>
      <c r="J172" s="55"/>
    </row>
    <row r="173" spans="2:13" ht="17.25" customHeight="1">
      <c r="B173" s="110" t="s">
        <v>28</v>
      </c>
      <c r="C173" s="110" t="s">
        <v>28</v>
      </c>
      <c r="D173" s="110" t="s">
        <v>28</v>
      </c>
      <c r="E173" s="110" t="s">
        <v>28</v>
      </c>
      <c r="F173" s="111" t="s">
        <v>28</v>
      </c>
      <c r="G173" s="112">
        <v>422103360481.96002</v>
      </c>
      <c r="H173" s="113">
        <v>422103360481.96002</v>
      </c>
      <c r="I173" s="56"/>
      <c r="J173" s="49"/>
    </row>
    <row r="174" spans="2:13" ht="17.25" customHeight="1">
      <c r="B174" s="110" t="s">
        <v>46</v>
      </c>
      <c r="C174" s="110" t="s">
        <v>46</v>
      </c>
      <c r="D174" s="110" t="s">
        <v>46</v>
      </c>
      <c r="E174" s="110" t="s">
        <v>46</v>
      </c>
      <c r="F174" s="111" t="s">
        <v>46</v>
      </c>
      <c r="G174" s="112">
        <v>308204330856.21002</v>
      </c>
      <c r="H174" s="113">
        <v>308204330856.21002</v>
      </c>
      <c r="I174" s="54"/>
      <c r="J174" s="55"/>
    </row>
    <row r="175" spans="2:13" ht="17.25" customHeight="1">
      <c r="B175" s="110" t="s">
        <v>33</v>
      </c>
      <c r="C175" s="110" t="s">
        <v>33</v>
      </c>
      <c r="D175" s="110" t="s">
        <v>33</v>
      </c>
      <c r="E175" s="110" t="s">
        <v>33</v>
      </c>
      <c r="F175" s="111" t="s">
        <v>33</v>
      </c>
      <c r="G175" s="112">
        <v>287267314864.40997</v>
      </c>
      <c r="H175" s="113">
        <v>287267314864.40997</v>
      </c>
      <c r="I175" s="54"/>
      <c r="J175" s="55"/>
    </row>
    <row r="176" spans="2:13" ht="17.25" customHeight="1">
      <c r="B176" s="110" t="s">
        <v>41</v>
      </c>
      <c r="C176" s="110" t="s">
        <v>41</v>
      </c>
      <c r="D176" s="110" t="s">
        <v>41</v>
      </c>
      <c r="E176" s="110" t="s">
        <v>41</v>
      </c>
      <c r="F176" s="111" t="s">
        <v>41</v>
      </c>
      <c r="G176" s="112">
        <v>284247842688.53003</v>
      </c>
      <c r="H176" s="113">
        <v>284247842688.53003</v>
      </c>
      <c r="I176" s="54"/>
      <c r="J176" s="55"/>
    </row>
    <row r="177" spans="2:10" ht="17.25" customHeight="1">
      <c r="B177" s="110" t="s">
        <v>44</v>
      </c>
      <c r="C177" s="110" t="s">
        <v>44</v>
      </c>
      <c r="D177" s="110" t="s">
        <v>44</v>
      </c>
      <c r="E177" s="110" t="s">
        <v>44</v>
      </c>
      <c r="F177" s="111" t="s">
        <v>44</v>
      </c>
      <c r="G177" s="112">
        <v>277851037516.56</v>
      </c>
      <c r="H177" s="113">
        <v>277851037516.56</v>
      </c>
      <c r="I177" s="54"/>
      <c r="J177" s="55"/>
    </row>
    <row r="178" spans="2:10" ht="18" customHeight="1" thickBot="1">
      <c r="B178" s="114" t="s">
        <v>52</v>
      </c>
      <c r="C178" s="114" t="s">
        <v>52</v>
      </c>
      <c r="D178" s="114" t="s">
        <v>52</v>
      </c>
      <c r="E178" s="114" t="s">
        <v>52</v>
      </c>
      <c r="F178" s="115" t="s">
        <v>52</v>
      </c>
      <c r="G178" s="116">
        <v>199394308754.25</v>
      </c>
      <c r="H178" s="117">
        <v>199394308754.25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68:F168"/>
    <mergeCell ref="B172:F172"/>
    <mergeCell ref="G172:H172"/>
    <mergeCell ref="B173:F173"/>
    <mergeCell ref="G173:H173"/>
    <mergeCell ref="B174:F174"/>
    <mergeCell ref="G174:H174"/>
    <mergeCell ref="B178:F178"/>
    <mergeCell ref="G178:H178"/>
    <mergeCell ref="B175:F175"/>
    <mergeCell ref="G175:H175"/>
    <mergeCell ref="B176:F176"/>
    <mergeCell ref="G176:H176"/>
    <mergeCell ref="B177:F177"/>
    <mergeCell ref="G177:H177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53601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53601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2">
    <pageSetUpPr fitToPage="1"/>
  </sheetPr>
  <dimension ref="B2:N180"/>
  <sheetViews>
    <sheetView topLeftCell="A13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55" t="s">
        <v>14</v>
      </c>
      <c r="C2" s="155"/>
      <c r="D2" s="155"/>
      <c r="E2" s="155"/>
      <c r="F2" s="155"/>
      <c r="G2" s="155"/>
      <c r="H2" s="155"/>
    </row>
    <row r="3" spans="2:14" s="1" customFormat="1" ht="21" thickBot="1">
      <c r="B3" s="156">
        <v>42551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19</v>
      </c>
      <c r="C6" s="62">
        <f>B3</f>
        <v>42551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34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57" t="s">
        <v>17</v>
      </c>
      <c r="C11" s="157"/>
      <c r="D11" s="158"/>
      <c r="E11" s="67">
        <f>EDATE(B3,-1)</f>
        <v>42520</v>
      </c>
      <c r="F11" s="67">
        <f>B3</f>
        <v>42551</v>
      </c>
      <c r="G11" s="44" t="s">
        <v>9</v>
      </c>
      <c r="H11" s="44" t="s">
        <v>10</v>
      </c>
      <c r="J11" s="71"/>
    </row>
    <row r="12" spans="2:14" s="70" customFormat="1" ht="17.25">
      <c r="B12" s="153" t="s">
        <v>0</v>
      </c>
      <c r="C12" s="153"/>
      <c r="D12" s="154"/>
      <c r="E12" s="72">
        <v>1542221</v>
      </c>
      <c r="F12" s="78">
        <v>1352100</v>
      </c>
      <c r="G12" s="11">
        <f>F12-E12</f>
        <v>-190121</v>
      </c>
      <c r="H12" s="58">
        <f t="shared" ref="H12:H18" si="0">F12/E12-1</f>
        <v>-0.12327740317373448</v>
      </c>
      <c r="I12" s="79"/>
      <c r="J12" s="80"/>
    </row>
    <row r="13" spans="2:14" s="70" customFormat="1" ht="17.25">
      <c r="B13" s="147" t="s">
        <v>1</v>
      </c>
      <c r="C13" s="147"/>
      <c r="D13" s="148"/>
      <c r="E13" s="72">
        <v>32597</v>
      </c>
      <c r="F13" s="78">
        <v>30939</v>
      </c>
      <c r="G13" s="11">
        <f t="shared" ref="G13:G18" si="1">F13-E13</f>
        <v>-1658</v>
      </c>
      <c r="H13" s="58">
        <f t="shared" si="0"/>
        <v>-5.0863576402736421E-2</v>
      </c>
      <c r="I13" s="79"/>
      <c r="J13" s="80"/>
    </row>
    <row r="14" spans="2:14" s="70" customFormat="1" ht="17.25">
      <c r="B14" s="147" t="s">
        <v>48</v>
      </c>
      <c r="C14" s="147"/>
      <c r="D14" s="148"/>
      <c r="E14" s="72">
        <v>14470</v>
      </c>
      <c r="F14" s="78">
        <v>14056</v>
      </c>
      <c r="G14" s="11">
        <f t="shared" si="1"/>
        <v>-414</v>
      </c>
      <c r="H14" s="58">
        <f t="shared" si="0"/>
        <v>-2.8610919143054581E-2</v>
      </c>
      <c r="I14" s="79"/>
      <c r="J14" s="80"/>
    </row>
    <row r="15" spans="2:14" s="70" customFormat="1" ht="17.25">
      <c r="B15" s="149" t="s">
        <v>49</v>
      </c>
      <c r="C15" s="149"/>
      <c r="D15" s="150"/>
      <c r="E15" s="72">
        <v>6294</v>
      </c>
      <c r="F15" s="78">
        <v>5906</v>
      </c>
      <c r="G15" s="11">
        <f t="shared" si="1"/>
        <v>-388</v>
      </c>
      <c r="H15" s="58">
        <f t="shared" si="0"/>
        <v>-6.1646012074992096E-2</v>
      </c>
      <c r="I15" s="79"/>
      <c r="J15" s="80"/>
    </row>
    <row r="16" spans="2:14" s="70" customFormat="1" ht="17.25">
      <c r="B16" s="151" t="s">
        <v>50</v>
      </c>
      <c r="C16" s="151"/>
      <c r="D16" s="152"/>
      <c r="E16" s="72">
        <v>8176</v>
      </c>
      <c r="F16" s="78">
        <v>8150</v>
      </c>
      <c r="G16" s="11">
        <f t="shared" si="1"/>
        <v>-26</v>
      </c>
      <c r="H16" s="58">
        <f t="shared" si="0"/>
        <v>-3.1800391389432692E-3</v>
      </c>
      <c r="I16" s="79"/>
      <c r="J16" s="80"/>
    </row>
    <row r="17" spans="2:10" s="70" customFormat="1" ht="18" customHeight="1" thickBot="1">
      <c r="B17" s="145" t="s">
        <v>2</v>
      </c>
      <c r="C17" s="145"/>
      <c r="D17" s="146"/>
      <c r="E17" s="72">
        <v>13729</v>
      </c>
      <c r="F17" s="78">
        <v>13590</v>
      </c>
      <c r="G17" s="11">
        <f t="shared" si="1"/>
        <v>-139</v>
      </c>
      <c r="H17" s="58">
        <f t="shared" si="0"/>
        <v>-1.0124553864083286E-2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v>1603017</v>
      </c>
      <c r="F18" s="66">
        <v>1410685</v>
      </c>
      <c r="G18" s="66">
        <f t="shared" si="1"/>
        <v>-192332</v>
      </c>
      <c r="H18" s="63">
        <f t="shared" si="0"/>
        <v>-0.119981260335979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35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57" t="s">
        <v>17</v>
      </c>
      <c r="C22" s="157"/>
      <c r="D22" s="158"/>
      <c r="E22" s="67">
        <f>EDATE(B3,-1)</f>
        <v>42520</v>
      </c>
      <c r="F22" s="67">
        <f>F11</f>
        <v>42551</v>
      </c>
      <c r="G22" s="44" t="s">
        <v>9</v>
      </c>
      <c r="H22" s="44" t="s">
        <v>10</v>
      </c>
      <c r="J22" s="71"/>
    </row>
    <row r="23" spans="2:10" s="70" customFormat="1" ht="17.25">
      <c r="B23" s="153" t="s">
        <v>0</v>
      </c>
      <c r="C23" s="153"/>
      <c r="D23" s="154"/>
      <c r="E23" s="72">
        <f>May!F23</f>
        <v>1018892</v>
      </c>
      <c r="F23" s="78">
        <v>1028991</v>
      </c>
      <c r="G23" s="11">
        <f>F23-E23</f>
        <v>10099</v>
      </c>
      <c r="H23" s="58">
        <f>F23/E23-1</f>
        <v>9.9117472705645415E-3</v>
      </c>
      <c r="I23" s="80"/>
    </row>
    <row r="24" spans="2:10" s="70" customFormat="1" ht="17.25">
      <c r="B24" s="147" t="s">
        <v>1</v>
      </c>
      <c r="C24" s="147"/>
      <c r="D24" s="148"/>
      <c r="E24" s="72">
        <f>May!F24</f>
        <v>19023</v>
      </c>
      <c r="F24" s="78">
        <v>19118</v>
      </c>
      <c r="G24" s="11">
        <f t="shared" ref="G24:G29" si="2">F24-E24</f>
        <v>95</v>
      </c>
      <c r="H24" s="58">
        <f t="shared" ref="H24:H29" si="3">F24/E24-1</f>
        <v>4.993954686432156E-3</v>
      </c>
      <c r="I24" s="80"/>
    </row>
    <row r="25" spans="2:10" s="70" customFormat="1" ht="17.25">
      <c r="B25" s="147" t="s">
        <v>48</v>
      </c>
      <c r="C25" s="147"/>
      <c r="D25" s="148"/>
      <c r="E25" s="72">
        <f>May!F25</f>
        <v>8928</v>
      </c>
      <c r="F25" s="78">
        <v>9251</v>
      </c>
      <c r="G25" s="11">
        <f t="shared" si="2"/>
        <v>323</v>
      </c>
      <c r="H25" s="58">
        <f t="shared" si="3"/>
        <v>3.6178315412186413E-2</v>
      </c>
      <c r="I25" s="80"/>
    </row>
    <row r="26" spans="2:10" s="70" customFormat="1" ht="17.25">
      <c r="B26" s="149" t="s">
        <v>49</v>
      </c>
      <c r="C26" s="149"/>
      <c r="D26" s="150"/>
      <c r="E26" s="72">
        <f>May!F26</f>
        <v>5197</v>
      </c>
      <c r="F26" s="78">
        <v>5517</v>
      </c>
      <c r="G26" s="11">
        <f t="shared" si="2"/>
        <v>320</v>
      </c>
      <c r="H26" s="58">
        <f t="shared" si="3"/>
        <v>6.1573984991341257E-2</v>
      </c>
      <c r="I26" s="80"/>
    </row>
    <row r="27" spans="2:10" s="70" customFormat="1" ht="17.25">
      <c r="B27" s="151" t="s">
        <v>50</v>
      </c>
      <c r="C27" s="151"/>
      <c r="D27" s="152"/>
      <c r="E27" s="72">
        <f>May!F27</f>
        <v>3731</v>
      </c>
      <c r="F27" s="78">
        <v>3734</v>
      </c>
      <c r="G27" s="11">
        <f t="shared" si="2"/>
        <v>3</v>
      </c>
      <c r="H27" s="58">
        <f t="shared" si="3"/>
        <v>8.0407397480564136E-4</v>
      </c>
      <c r="I27" s="80"/>
    </row>
    <row r="28" spans="2:10" s="70" customFormat="1" ht="18" customHeight="1" thickBot="1">
      <c r="B28" s="145" t="s">
        <v>2</v>
      </c>
      <c r="C28" s="145"/>
      <c r="D28" s="146"/>
      <c r="E28" s="72">
        <f>May!F28</f>
        <v>1400</v>
      </c>
      <c r="F28" s="78">
        <v>1412</v>
      </c>
      <c r="G28" s="11">
        <f t="shared" si="2"/>
        <v>12</v>
      </c>
      <c r="H28" s="58">
        <f t="shared" si="3"/>
        <v>8.5714285714286742E-3</v>
      </c>
      <c r="I28" s="80"/>
    </row>
    <row r="29" spans="2:10" s="64" customFormat="1" ht="18" thickBot="1">
      <c r="B29" s="59" t="s">
        <v>3</v>
      </c>
      <c r="C29" s="59"/>
      <c r="D29" s="60"/>
      <c r="E29" s="66">
        <f>May!F29</f>
        <v>1048243</v>
      </c>
      <c r="F29" s="66">
        <v>1058772</v>
      </c>
      <c r="G29" s="66">
        <f t="shared" si="2"/>
        <v>10529</v>
      </c>
      <c r="H29" s="63">
        <f t="shared" si="3"/>
        <v>1.0044426721666611E-2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15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4" t="s">
        <v>17</v>
      </c>
      <c r="C33" s="124"/>
      <c r="D33" s="125"/>
      <c r="E33" s="67">
        <f>EDATE(B3,-1)</f>
        <v>42520</v>
      </c>
      <c r="F33" s="67">
        <f>F11</f>
        <v>42551</v>
      </c>
      <c r="G33" s="16" t="s">
        <v>9</v>
      </c>
      <c r="H33" s="16" t="s">
        <v>10</v>
      </c>
    </row>
    <row r="34" spans="2:9" ht="17.25">
      <c r="B34" s="153" t="s">
        <v>0</v>
      </c>
      <c r="C34" s="153"/>
      <c r="D34" s="154"/>
      <c r="E34" s="72">
        <f>May!F34</f>
        <v>68987</v>
      </c>
      <c r="F34" s="72">
        <v>72090</v>
      </c>
      <c r="G34" s="11">
        <f t="shared" ref="G34:G40" si="4">F34-E34</f>
        <v>3103</v>
      </c>
      <c r="H34" s="58">
        <f t="shared" ref="H34:H40" si="5">F34/E34-1</f>
        <v>4.4979488889210995E-2</v>
      </c>
      <c r="I34" s="57"/>
    </row>
    <row r="35" spans="2:9" ht="17.25">
      <c r="B35" s="147" t="s">
        <v>1</v>
      </c>
      <c r="C35" s="147"/>
      <c r="D35" s="148"/>
      <c r="E35" s="72">
        <f>May!F35</f>
        <v>999</v>
      </c>
      <c r="F35" s="72">
        <v>1092</v>
      </c>
      <c r="G35" s="11">
        <f t="shared" si="4"/>
        <v>93</v>
      </c>
      <c r="H35" s="58">
        <f t="shared" si="5"/>
        <v>9.3093093093093104E-2</v>
      </c>
      <c r="I35" s="57"/>
    </row>
    <row r="36" spans="2:9" ht="17.25">
      <c r="B36" s="147" t="s">
        <v>48</v>
      </c>
      <c r="C36" s="147"/>
      <c r="D36" s="148"/>
      <c r="E36" s="72">
        <f>May!F36</f>
        <v>599</v>
      </c>
      <c r="F36" s="72">
        <v>673</v>
      </c>
      <c r="G36" s="11">
        <f t="shared" si="4"/>
        <v>74</v>
      </c>
      <c r="H36" s="58">
        <f t="shared" si="5"/>
        <v>0.12353923205342232</v>
      </c>
      <c r="I36" s="57"/>
    </row>
    <row r="37" spans="2:9" ht="17.25">
      <c r="B37" s="149" t="s">
        <v>49</v>
      </c>
      <c r="C37" s="149"/>
      <c r="D37" s="150"/>
      <c r="E37" s="72">
        <f>May!F37</f>
        <v>287</v>
      </c>
      <c r="F37" s="72">
        <v>334</v>
      </c>
      <c r="G37" s="11">
        <f t="shared" si="4"/>
        <v>47</v>
      </c>
      <c r="H37" s="58">
        <f t="shared" si="5"/>
        <v>0.16376306620209058</v>
      </c>
      <c r="I37" s="57"/>
    </row>
    <row r="38" spans="2:9" ht="17.25">
      <c r="B38" s="151" t="s">
        <v>50</v>
      </c>
      <c r="C38" s="151"/>
      <c r="D38" s="152"/>
      <c r="E38" s="72">
        <f>May!F38</f>
        <v>312</v>
      </c>
      <c r="F38" s="72">
        <v>339</v>
      </c>
      <c r="G38" s="11">
        <f t="shared" si="4"/>
        <v>27</v>
      </c>
      <c r="H38" s="58">
        <f t="shared" si="5"/>
        <v>8.6538461538461453E-2</v>
      </c>
      <c r="I38" s="57"/>
    </row>
    <row r="39" spans="2:9" ht="18" customHeight="1" thickBot="1">
      <c r="B39" s="145" t="s">
        <v>2</v>
      </c>
      <c r="C39" s="145"/>
      <c r="D39" s="146"/>
      <c r="E39" s="72">
        <f>May!F39</f>
        <v>432</v>
      </c>
      <c r="F39" s="72">
        <v>474</v>
      </c>
      <c r="G39" s="11">
        <f t="shared" si="4"/>
        <v>42</v>
      </c>
      <c r="H39" s="58">
        <f t="shared" si="5"/>
        <v>9.7222222222222321E-2</v>
      </c>
      <c r="I39" s="57"/>
    </row>
    <row r="40" spans="2:9" s="64" customFormat="1" ht="18" thickBot="1">
      <c r="B40" s="59" t="s">
        <v>3</v>
      </c>
      <c r="C40" s="59"/>
      <c r="D40" s="60"/>
      <c r="E40" s="66">
        <f>May!F40</f>
        <v>71017</v>
      </c>
      <c r="F40" s="66">
        <v>74329</v>
      </c>
      <c r="G40" s="66">
        <f t="shared" si="4"/>
        <v>3312</v>
      </c>
      <c r="H40" s="63">
        <f t="shared" si="5"/>
        <v>4.6636720785164121E-2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16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36</v>
      </c>
      <c r="C48" s="23"/>
      <c r="D48" s="23"/>
      <c r="E48" s="23"/>
      <c r="F48" s="23"/>
      <c r="G48" s="23"/>
      <c r="H48" s="128" t="s">
        <v>12</v>
      </c>
      <c r="I48" s="128"/>
    </row>
    <row r="49" spans="2:9" ht="15.75" thickBot="1">
      <c r="B49" s="124" t="s">
        <v>17</v>
      </c>
      <c r="C49" s="124"/>
      <c r="D49" s="125"/>
      <c r="E49" s="67">
        <v>40908</v>
      </c>
      <c r="F49" s="67">
        <v>41274</v>
      </c>
      <c r="G49" s="67">
        <v>41639</v>
      </c>
      <c r="H49" s="67">
        <v>42004</v>
      </c>
      <c r="I49" s="67">
        <v>42369</v>
      </c>
    </row>
    <row r="50" spans="2:9" ht="17.25">
      <c r="B50" s="129" t="s">
        <v>0</v>
      </c>
      <c r="C50" s="129"/>
      <c r="D50" s="130"/>
      <c r="E50" s="74">
        <v>772175</v>
      </c>
      <c r="F50" s="74">
        <v>805549</v>
      </c>
      <c r="G50" s="74">
        <v>881844</v>
      </c>
      <c r="H50" s="74">
        <v>944559</v>
      </c>
      <c r="I50" s="74">
        <v>1006751</v>
      </c>
    </row>
    <row r="51" spans="2:9" ht="17.25">
      <c r="B51" s="131" t="s">
        <v>1</v>
      </c>
      <c r="C51" s="131"/>
      <c r="D51" s="132"/>
      <c r="E51" s="75">
        <v>16850</v>
      </c>
      <c r="F51" s="75">
        <v>17821</v>
      </c>
      <c r="G51" s="75">
        <v>19539</v>
      </c>
      <c r="H51" s="75">
        <v>20178</v>
      </c>
      <c r="I51" s="75">
        <v>20753</v>
      </c>
    </row>
    <row r="52" spans="2:9" ht="17.25">
      <c r="B52" s="133" t="s">
        <v>48</v>
      </c>
      <c r="C52" s="133"/>
      <c r="D52" s="134"/>
      <c r="E52" s="77">
        <v>5058</v>
      </c>
      <c r="F52" s="77">
        <v>5876</v>
      </c>
      <c r="G52" s="77">
        <v>6957</v>
      </c>
      <c r="H52" s="77">
        <v>7486</v>
      </c>
      <c r="I52" s="77">
        <v>8729</v>
      </c>
    </row>
    <row r="53" spans="2:9" ht="18" thickBot="1">
      <c r="B53" s="135" t="s">
        <v>2</v>
      </c>
      <c r="C53" s="135"/>
      <c r="D53" s="136"/>
      <c r="E53" s="73">
        <v>5242</v>
      </c>
      <c r="F53" s="73">
        <v>5261</v>
      </c>
      <c r="G53" s="73">
        <v>5182</v>
      </c>
      <c r="H53" s="73">
        <v>5142</v>
      </c>
      <c r="I53" s="73">
        <v>3836</v>
      </c>
    </row>
    <row r="54" spans="2:9" s="65" customFormat="1" ht="18" thickBot="1">
      <c r="B54" s="137" t="s">
        <v>3</v>
      </c>
      <c r="C54" s="137"/>
      <c r="D54" s="138"/>
      <c r="E54" s="76">
        <v>799325</v>
      </c>
      <c r="F54" s="76">
        <v>834507</v>
      </c>
      <c r="G54" s="76">
        <v>913522</v>
      </c>
      <c r="H54" s="76">
        <v>977365</v>
      </c>
      <c r="I54" s="76">
        <v>1040069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37</v>
      </c>
      <c r="C82" s="23"/>
      <c r="D82" s="23"/>
      <c r="E82" s="23"/>
      <c r="F82" s="23"/>
      <c r="G82" s="23"/>
      <c r="H82" s="96" t="s">
        <v>11</v>
      </c>
      <c r="I82"/>
      <c r="J82"/>
      <c r="K82"/>
    </row>
    <row r="83" spans="2:11" ht="15.75" thickBot="1">
      <c r="B83" s="31" t="s">
        <v>17</v>
      </c>
      <c r="C83" s="67">
        <f>EDATE(D83,-1)</f>
        <v>42398</v>
      </c>
      <c r="D83" s="67">
        <f>EDATE(E83,-1)</f>
        <v>42429</v>
      </c>
      <c r="E83" s="67">
        <f>EDATE(F83,-1)</f>
        <v>42459</v>
      </c>
      <c r="F83" s="67">
        <f>EDATE(G83,-1)</f>
        <v>42490</v>
      </c>
      <c r="G83" s="67">
        <f>EDATE(H83,-1)</f>
        <v>42520</v>
      </c>
      <c r="H83" s="67">
        <f>EDATE(E11,1)</f>
        <v>42551</v>
      </c>
      <c r="I83"/>
      <c r="J83"/>
    </row>
    <row r="84" spans="2:11" ht="16.5" customHeight="1">
      <c r="B84" s="24" t="s">
        <v>0</v>
      </c>
      <c r="C84" s="74">
        <v>1012875</v>
      </c>
      <c r="D84" s="74">
        <v>1006765</v>
      </c>
      <c r="E84" s="74">
        <v>1008379</v>
      </c>
      <c r="F84" s="74">
        <v>1014752</v>
      </c>
      <c r="G84" s="74">
        <v>1018892</v>
      </c>
      <c r="H84" s="74">
        <v>1028991</v>
      </c>
    </row>
    <row r="85" spans="2:11" ht="16.5" customHeight="1">
      <c r="B85" s="25" t="s">
        <v>1</v>
      </c>
      <c r="C85" s="75">
        <v>20804</v>
      </c>
      <c r="D85" s="75">
        <v>18908</v>
      </c>
      <c r="E85" s="75">
        <v>19035</v>
      </c>
      <c r="F85" s="75">
        <v>19023</v>
      </c>
      <c r="G85" s="75">
        <v>19023</v>
      </c>
      <c r="H85" s="75">
        <v>19118</v>
      </c>
    </row>
    <row r="86" spans="2:11" ht="16.5" customHeight="1">
      <c r="B86" s="26" t="s">
        <v>48</v>
      </c>
      <c r="C86" s="77">
        <v>8764</v>
      </c>
      <c r="D86" s="77">
        <v>8657</v>
      </c>
      <c r="E86" s="77">
        <v>8480</v>
      </c>
      <c r="F86" s="77">
        <v>8800</v>
      </c>
      <c r="G86" s="77">
        <v>8928</v>
      </c>
      <c r="H86" s="77">
        <v>9251</v>
      </c>
    </row>
    <row r="87" spans="2:11" ht="16.5" customHeight="1" thickBot="1">
      <c r="B87" s="27" t="s">
        <v>2</v>
      </c>
      <c r="C87" s="73">
        <v>3848</v>
      </c>
      <c r="D87" s="73">
        <v>2930</v>
      </c>
      <c r="E87" s="73">
        <v>2548</v>
      </c>
      <c r="F87" s="73">
        <v>1422</v>
      </c>
      <c r="G87" s="73">
        <v>1400</v>
      </c>
      <c r="H87" s="73">
        <v>1412</v>
      </c>
    </row>
    <row r="88" spans="2:11" s="65" customFormat="1" ht="18" thickBot="1">
      <c r="B88" s="97" t="s">
        <v>3</v>
      </c>
      <c r="C88" s="76">
        <v>1046291</v>
      </c>
      <c r="D88" s="76">
        <v>1037260</v>
      </c>
      <c r="E88" s="76">
        <v>1038442</v>
      </c>
      <c r="F88" s="76">
        <v>1043997</v>
      </c>
      <c r="G88" s="76">
        <v>1048243</v>
      </c>
      <c r="H88" s="76">
        <v>1058772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22</v>
      </c>
      <c r="C124" s="83">
        <f>B3</f>
        <v>42551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5" t="s">
        <v>23</v>
      </c>
      <c r="C128" s="139"/>
      <c r="D128" s="139"/>
      <c r="E128" s="139"/>
      <c r="F128" s="139"/>
      <c r="G128" s="140" t="s">
        <v>4</v>
      </c>
      <c r="H128" s="141"/>
    </row>
    <row r="129" spans="2:10" ht="18" customHeight="1" thickBot="1">
      <c r="B129" s="115" t="s">
        <v>21</v>
      </c>
      <c r="C129" s="142"/>
      <c r="D129" s="142"/>
      <c r="E129" s="142"/>
      <c r="F129" s="142"/>
      <c r="G129" s="143">
        <v>364</v>
      </c>
      <c r="H129" s="144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20</v>
      </c>
      <c r="C133" s="32"/>
      <c r="D133" s="32"/>
      <c r="E133" s="33"/>
      <c r="F133" s="85">
        <f>C6</f>
        <v>42551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24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25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26" t="s">
        <v>18</v>
      </c>
      <c r="C138" s="126"/>
      <c r="D138" s="126"/>
      <c r="E138" s="126"/>
      <c r="F138" s="127"/>
      <c r="G138" s="118" t="s">
        <v>5</v>
      </c>
      <c r="H138" s="119"/>
      <c r="I138"/>
    </row>
    <row r="139" spans="2:10" ht="17.25" customHeight="1">
      <c r="B139" s="120" t="s">
        <v>40</v>
      </c>
      <c r="C139" s="120" t="s">
        <v>40</v>
      </c>
      <c r="D139" s="120" t="s">
        <v>40</v>
      </c>
      <c r="E139" s="120" t="s">
        <v>40</v>
      </c>
      <c r="F139" s="121" t="s">
        <v>40</v>
      </c>
      <c r="G139" s="122">
        <v>236402</v>
      </c>
      <c r="H139" s="123">
        <v>236402</v>
      </c>
      <c r="I139" s="46"/>
      <c r="J139" s="49"/>
    </row>
    <row r="140" spans="2:10" ht="13.5" customHeight="1">
      <c r="B140" s="110" t="s">
        <v>28</v>
      </c>
      <c r="C140" s="110" t="s">
        <v>28</v>
      </c>
      <c r="D140" s="110" t="s">
        <v>28</v>
      </c>
      <c r="E140" s="110" t="s">
        <v>28</v>
      </c>
      <c r="F140" s="111" t="s">
        <v>28</v>
      </c>
      <c r="G140" s="112">
        <v>184731</v>
      </c>
      <c r="H140" s="113">
        <v>184731</v>
      </c>
      <c r="I140" s="46"/>
      <c r="J140" s="49"/>
    </row>
    <row r="141" spans="2:10" ht="17.25" customHeight="1">
      <c r="B141" s="110" t="s">
        <v>29</v>
      </c>
      <c r="C141" s="110" t="s">
        <v>29</v>
      </c>
      <c r="D141" s="110" t="s">
        <v>29</v>
      </c>
      <c r="E141" s="110" t="s">
        <v>29</v>
      </c>
      <c r="F141" s="111" t="s">
        <v>29</v>
      </c>
      <c r="G141" s="112">
        <v>152263</v>
      </c>
      <c r="H141" s="113">
        <v>152263</v>
      </c>
      <c r="I141" s="46"/>
      <c r="J141" s="49"/>
    </row>
    <row r="142" spans="2:10" ht="17.25" customHeight="1">
      <c r="B142" s="110" t="s">
        <v>41</v>
      </c>
      <c r="C142" s="110" t="s">
        <v>41</v>
      </c>
      <c r="D142" s="110" t="s">
        <v>41</v>
      </c>
      <c r="E142" s="110" t="s">
        <v>41</v>
      </c>
      <c r="F142" s="111" t="s">
        <v>41</v>
      </c>
      <c r="G142" s="112">
        <v>151730</v>
      </c>
      <c r="H142" s="113">
        <v>151730</v>
      </c>
      <c r="I142" s="46"/>
      <c r="J142" s="49"/>
    </row>
    <row r="143" spans="2:10" ht="17.25" customHeight="1">
      <c r="B143" s="110" t="s">
        <v>39</v>
      </c>
      <c r="C143" s="110" t="s">
        <v>39</v>
      </c>
      <c r="D143" s="110" t="s">
        <v>39</v>
      </c>
      <c r="E143" s="110" t="s">
        <v>39</v>
      </c>
      <c r="F143" s="111" t="s">
        <v>39</v>
      </c>
      <c r="G143" s="112">
        <v>84554</v>
      </c>
      <c r="H143" s="113">
        <v>84554</v>
      </c>
      <c r="I143" s="46"/>
      <c r="J143" s="49"/>
    </row>
    <row r="144" spans="2:10" ht="13.5" customHeight="1">
      <c r="B144" s="110" t="s">
        <v>42</v>
      </c>
      <c r="C144" s="110" t="s">
        <v>42</v>
      </c>
      <c r="D144" s="110" t="s">
        <v>42</v>
      </c>
      <c r="E144" s="110" t="s">
        <v>42</v>
      </c>
      <c r="F144" s="111" t="s">
        <v>42</v>
      </c>
      <c r="G144" s="112">
        <v>61981</v>
      </c>
      <c r="H144" s="113">
        <v>61981</v>
      </c>
      <c r="I144" s="50"/>
      <c r="J144" s="49"/>
    </row>
    <row r="145" spans="2:13" ht="17.25" customHeight="1">
      <c r="B145" s="110" t="s">
        <v>30</v>
      </c>
      <c r="C145" s="110" t="s">
        <v>30</v>
      </c>
      <c r="D145" s="110" t="s">
        <v>30</v>
      </c>
      <c r="E145" s="110" t="s">
        <v>30</v>
      </c>
      <c r="F145" s="111" t="s">
        <v>30</v>
      </c>
      <c r="G145" s="112">
        <v>48592</v>
      </c>
      <c r="H145" s="113">
        <v>48592</v>
      </c>
      <c r="I145" s="46"/>
      <c r="J145" s="49"/>
    </row>
    <row r="146" spans="2:13" ht="17.25" customHeight="1">
      <c r="B146" s="110" t="s">
        <v>45</v>
      </c>
      <c r="C146" s="110" t="s">
        <v>45</v>
      </c>
      <c r="D146" s="110" t="s">
        <v>45</v>
      </c>
      <c r="E146" s="110" t="s">
        <v>45</v>
      </c>
      <c r="F146" s="111" t="s">
        <v>45</v>
      </c>
      <c r="G146" s="112">
        <v>32817</v>
      </c>
      <c r="H146" s="113">
        <v>32817</v>
      </c>
      <c r="I146" s="46"/>
      <c r="J146" s="49"/>
    </row>
    <row r="147" spans="2:13" ht="17.25" customHeight="1">
      <c r="B147" s="110" t="s">
        <v>31</v>
      </c>
      <c r="C147" s="110" t="s">
        <v>31</v>
      </c>
      <c r="D147" s="110" t="s">
        <v>31</v>
      </c>
      <c r="E147" s="110" t="s">
        <v>31</v>
      </c>
      <c r="F147" s="111" t="s">
        <v>31</v>
      </c>
      <c r="G147" s="112">
        <v>21328</v>
      </c>
      <c r="H147" s="113">
        <v>21328</v>
      </c>
      <c r="I147" s="46"/>
      <c r="J147" s="49"/>
      <c r="L147"/>
    </row>
    <row r="148" spans="2:13" ht="18" customHeight="1" thickBot="1">
      <c r="B148" s="114" t="s">
        <v>32</v>
      </c>
      <c r="C148" s="114" t="s">
        <v>32</v>
      </c>
      <c r="D148" s="114" t="s">
        <v>32</v>
      </c>
      <c r="E148" s="114" t="s">
        <v>32</v>
      </c>
      <c r="F148" s="115" t="s">
        <v>32</v>
      </c>
      <c r="G148" s="116">
        <v>19859</v>
      </c>
      <c r="H148" s="117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26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4" t="s">
        <v>18</v>
      </c>
      <c r="C153" s="124"/>
      <c r="D153" s="124"/>
      <c r="E153" s="124"/>
      <c r="F153" s="125"/>
      <c r="G153" s="119" t="s">
        <v>5</v>
      </c>
      <c r="H153" s="119"/>
      <c r="I153" s="51"/>
      <c r="J153" s="51"/>
      <c r="K153"/>
      <c r="L153"/>
      <c r="M153"/>
    </row>
    <row r="154" spans="2:13" ht="17.25" customHeight="1">
      <c r="B154" s="120" t="s">
        <v>28</v>
      </c>
      <c r="C154" s="120" t="s">
        <v>28</v>
      </c>
      <c r="D154" s="120" t="s">
        <v>28</v>
      </c>
      <c r="E154" s="120" t="s">
        <v>28</v>
      </c>
      <c r="F154" s="121" t="s">
        <v>28</v>
      </c>
      <c r="G154" s="122">
        <v>12671</v>
      </c>
      <c r="H154" s="123">
        <v>12671</v>
      </c>
      <c r="I154" s="52"/>
      <c r="J154" s="49"/>
      <c r="K154" s="48"/>
      <c r="L154"/>
      <c r="M154"/>
    </row>
    <row r="155" spans="2:13" ht="17.25" customHeight="1">
      <c r="B155" s="110" t="s">
        <v>41</v>
      </c>
      <c r="C155" s="110" t="s">
        <v>41</v>
      </c>
      <c r="D155" s="110" t="s">
        <v>41</v>
      </c>
      <c r="E155" s="110" t="s">
        <v>41</v>
      </c>
      <c r="F155" s="111" t="s">
        <v>41</v>
      </c>
      <c r="G155" s="112">
        <v>11453</v>
      </c>
      <c r="H155" s="113">
        <v>11453</v>
      </c>
      <c r="I155" s="52"/>
      <c r="J155" s="49"/>
      <c r="K155" s="48"/>
      <c r="L155"/>
      <c r="M155"/>
    </row>
    <row r="156" spans="2:13" ht="17.25" customHeight="1">
      <c r="B156" s="110" t="s">
        <v>29</v>
      </c>
      <c r="C156" s="110" t="s">
        <v>29</v>
      </c>
      <c r="D156" s="110" t="s">
        <v>29</v>
      </c>
      <c r="E156" s="110" t="s">
        <v>29</v>
      </c>
      <c r="F156" s="111" t="s">
        <v>29</v>
      </c>
      <c r="G156" s="112">
        <v>11194</v>
      </c>
      <c r="H156" s="113">
        <v>11194</v>
      </c>
      <c r="I156" s="52"/>
      <c r="J156" s="49"/>
      <c r="K156" s="48"/>
      <c r="L156"/>
      <c r="M156"/>
    </row>
    <row r="157" spans="2:13" ht="17.25">
      <c r="B157" s="110" t="s">
        <v>40</v>
      </c>
      <c r="C157" s="110" t="s">
        <v>40</v>
      </c>
      <c r="D157" s="110" t="s">
        <v>40</v>
      </c>
      <c r="E157" s="110" t="s">
        <v>40</v>
      </c>
      <c r="F157" s="111" t="s">
        <v>40</v>
      </c>
      <c r="G157" s="112">
        <v>10216</v>
      </c>
      <c r="H157" s="113">
        <v>10216</v>
      </c>
      <c r="I157" s="52"/>
      <c r="J157" s="49"/>
      <c r="K157" s="48"/>
      <c r="L157"/>
      <c r="M157"/>
    </row>
    <row r="158" spans="2:13" ht="17.25" customHeight="1">
      <c r="B158" s="110" t="s">
        <v>39</v>
      </c>
      <c r="C158" s="110" t="s">
        <v>39</v>
      </c>
      <c r="D158" s="110" t="s">
        <v>39</v>
      </c>
      <c r="E158" s="110" t="s">
        <v>39</v>
      </c>
      <c r="F158" s="111" t="s">
        <v>39</v>
      </c>
      <c r="G158" s="112">
        <v>8668</v>
      </c>
      <c r="H158" s="113">
        <v>8668</v>
      </c>
      <c r="I158" s="52"/>
      <c r="J158" s="49"/>
      <c r="K158" s="48"/>
      <c r="L158"/>
      <c r="M158"/>
    </row>
    <row r="159" spans="2:13" ht="17.25" customHeight="1">
      <c r="B159" s="110" t="s">
        <v>42</v>
      </c>
      <c r="C159" s="110" t="s">
        <v>42</v>
      </c>
      <c r="D159" s="110" t="s">
        <v>42</v>
      </c>
      <c r="E159" s="110" t="s">
        <v>42</v>
      </c>
      <c r="F159" s="111" t="s">
        <v>42</v>
      </c>
      <c r="G159" s="112">
        <v>4034</v>
      </c>
      <c r="H159" s="113">
        <v>4034</v>
      </c>
      <c r="I159" s="53"/>
      <c r="J159" s="49"/>
      <c r="K159" s="48"/>
      <c r="L159"/>
      <c r="M159"/>
    </row>
    <row r="160" spans="2:13" ht="17.25" customHeight="1">
      <c r="B160" s="110" t="s">
        <v>30</v>
      </c>
      <c r="C160" s="110" t="s">
        <v>30</v>
      </c>
      <c r="D160" s="110" t="s">
        <v>30</v>
      </c>
      <c r="E160" s="110" t="s">
        <v>30</v>
      </c>
      <c r="F160" s="111" t="s">
        <v>30</v>
      </c>
      <c r="G160" s="112">
        <v>2784</v>
      </c>
      <c r="H160" s="113">
        <v>2784</v>
      </c>
      <c r="I160" s="52"/>
      <c r="J160" s="49"/>
      <c r="K160" s="48"/>
      <c r="L160"/>
      <c r="M160"/>
    </row>
    <row r="161" spans="2:13" ht="17.25" customHeight="1">
      <c r="B161" s="110" t="s">
        <v>43</v>
      </c>
      <c r="C161" s="110" t="s">
        <v>43</v>
      </c>
      <c r="D161" s="110" t="s">
        <v>43</v>
      </c>
      <c r="E161" s="110" t="s">
        <v>43</v>
      </c>
      <c r="F161" s="111" t="s">
        <v>43</v>
      </c>
      <c r="G161" s="112">
        <v>2282</v>
      </c>
      <c r="H161" s="113">
        <v>2282</v>
      </c>
      <c r="I161" s="52"/>
      <c r="J161" s="49"/>
      <c r="K161" s="48"/>
      <c r="L161"/>
      <c r="M161"/>
    </row>
    <row r="162" spans="2:13" ht="17.25" customHeight="1">
      <c r="B162" s="110" t="s">
        <v>44</v>
      </c>
      <c r="C162" s="110" t="s">
        <v>44</v>
      </c>
      <c r="D162" s="110" t="s">
        <v>44</v>
      </c>
      <c r="E162" s="110" t="s">
        <v>44</v>
      </c>
      <c r="F162" s="111" t="s">
        <v>44</v>
      </c>
      <c r="G162" s="112">
        <v>1595</v>
      </c>
      <c r="H162" s="113">
        <v>1595</v>
      </c>
      <c r="I162" s="52"/>
      <c r="J162" s="49"/>
      <c r="K162" s="48"/>
      <c r="L162"/>
      <c r="M162"/>
    </row>
    <row r="163" spans="2:13" ht="18" customHeight="1" thickBot="1">
      <c r="B163" s="114" t="s">
        <v>31</v>
      </c>
      <c r="C163" s="114" t="s">
        <v>31</v>
      </c>
      <c r="D163" s="114" t="s">
        <v>31</v>
      </c>
      <c r="E163" s="114" t="s">
        <v>31</v>
      </c>
      <c r="F163" s="115" t="s">
        <v>31</v>
      </c>
      <c r="G163" s="116">
        <v>1361</v>
      </c>
      <c r="H163" s="117">
        <v>1361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27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24" t="s">
        <v>18</v>
      </c>
      <c r="C168" s="124"/>
      <c r="D168" s="124"/>
      <c r="E168" s="124"/>
      <c r="F168" s="125"/>
      <c r="G168" s="119" t="s">
        <v>8</v>
      </c>
      <c r="H168" s="119"/>
      <c r="I168" s="2"/>
      <c r="J168" s="2"/>
    </row>
    <row r="169" spans="2:13" ht="17.25" customHeight="1">
      <c r="B169" s="120" t="s">
        <v>29</v>
      </c>
      <c r="C169" s="120" t="s">
        <v>29</v>
      </c>
      <c r="D169" s="120" t="s">
        <v>29</v>
      </c>
      <c r="E169" s="120" t="s">
        <v>29</v>
      </c>
      <c r="F169" s="121" t="s">
        <v>29</v>
      </c>
      <c r="G169" s="122">
        <v>1510923077142.53</v>
      </c>
      <c r="H169" s="123">
        <v>1510923077142.53</v>
      </c>
      <c r="I169" s="54"/>
      <c r="J169" s="55"/>
    </row>
    <row r="170" spans="2:13" ht="17.25" customHeight="1">
      <c r="B170" s="110" t="s">
        <v>39</v>
      </c>
      <c r="C170" s="110" t="s">
        <v>39</v>
      </c>
      <c r="D170" s="110" t="s">
        <v>39</v>
      </c>
      <c r="E170" s="110" t="s">
        <v>39</v>
      </c>
      <c r="F170" s="111" t="s">
        <v>39</v>
      </c>
      <c r="G170" s="112">
        <v>1062611598090.67</v>
      </c>
      <c r="H170" s="113">
        <v>1062611598090.67</v>
      </c>
      <c r="I170" s="54"/>
      <c r="J170" s="55"/>
    </row>
    <row r="171" spans="2:13" ht="17.25" customHeight="1">
      <c r="B171" s="110" t="s">
        <v>38</v>
      </c>
      <c r="C171" s="110" t="s">
        <v>38</v>
      </c>
      <c r="D171" s="110" t="s">
        <v>38</v>
      </c>
      <c r="E171" s="110" t="s">
        <v>38</v>
      </c>
      <c r="F171" s="111" t="s">
        <v>38</v>
      </c>
      <c r="G171" s="112">
        <v>938024560689.43994</v>
      </c>
      <c r="H171" s="113">
        <v>938024560689.43994</v>
      </c>
      <c r="I171" s="54"/>
      <c r="J171" s="55"/>
    </row>
    <row r="172" spans="2:13" ht="17.25" customHeight="1">
      <c r="B172" s="110" t="s">
        <v>51</v>
      </c>
      <c r="C172" s="110" t="s">
        <v>51</v>
      </c>
      <c r="D172" s="110" t="s">
        <v>51</v>
      </c>
      <c r="E172" s="110" t="s">
        <v>51</v>
      </c>
      <c r="F172" s="111" t="s">
        <v>51</v>
      </c>
      <c r="G172" s="112">
        <v>661091684340.82996</v>
      </c>
      <c r="H172" s="113">
        <v>661091684340.82996</v>
      </c>
      <c r="I172" s="54"/>
      <c r="J172" s="55"/>
    </row>
    <row r="173" spans="2:13" ht="17.25" customHeight="1">
      <c r="B173" s="110" t="s">
        <v>28</v>
      </c>
      <c r="C173" s="110" t="s">
        <v>28</v>
      </c>
      <c r="D173" s="110" t="s">
        <v>28</v>
      </c>
      <c r="E173" s="110" t="s">
        <v>28</v>
      </c>
      <c r="F173" s="111" t="s">
        <v>28</v>
      </c>
      <c r="G173" s="112">
        <v>484023806812.40997</v>
      </c>
      <c r="H173" s="113">
        <v>484023806812.40997</v>
      </c>
      <c r="I173" s="56"/>
      <c r="J173" s="49"/>
    </row>
    <row r="174" spans="2:13" ht="17.25" customHeight="1">
      <c r="B174" s="110" t="s">
        <v>46</v>
      </c>
      <c r="C174" s="110" t="s">
        <v>46</v>
      </c>
      <c r="D174" s="110" t="s">
        <v>46</v>
      </c>
      <c r="E174" s="110" t="s">
        <v>46</v>
      </c>
      <c r="F174" s="111" t="s">
        <v>46</v>
      </c>
      <c r="G174" s="112">
        <v>382979990756.71997</v>
      </c>
      <c r="H174" s="113">
        <v>382979990756.71997</v>
      </c>
      <c r="I174" s="54"/>
      <c r="J174" s="55"/>
    </row>
    <row r="175" spans="2:13" ht="17.25" customHeight="1">
      <c r="B175" s="110" t="s">
        <v>41</v>
      </c>
      <c r="C175" s="110" t="s">
        <v>41</v>
      </c>
      <c r="D175" s="110" t="s">
        <v>41</v>
      </c>
      <c r="E175" s="110" t="s">
        <v>41</v>
      </c>
      <c r="F175" s="111" t="s">
        <v>41</v>
      </c>
      <c r="G175" s="112">
        <v>347619439988.81</v>
      </c>
      <c r="H175" s="113">
        <v>347619439988.81</v>
      </c>
      <c r="I175" s="54"/>
      <c r="J175" s="55"/>
    </row>
    <row r="176" spans="2:13" ht="17.25" customHeight="1">
      <c r="B176" s="110" t="s">
        <v>44</v>
      </c>
      <c r="C176" s="110" t="s">
        <v>44</v>
      </c>
      <c r="D176" s="110" t="s">
        <v>44</v>
      </c>
      <c r="E176" s="110" t="s">
        <v>44</v>
      </c>
      <c r="F176" s="111" t="s">
        <v>44</v>
      </c>
      <c r="G176" s="112">
        <v>326502280995.03998</v>
      </c>
      <c r="H176" s="113">
        <v>326502280995.03998</v>
      </c>
      <c r="I176" s="54"/>
      <c r="J176" s="55"/>
    </row>
    <row r="177" spans="2:10" ht="17.25" customHeight="1">
      <c r="B177" s="110" t="s">
        <v>33</v>
      </c>
      <c r="C177" s="110" t="s">
        <v>33</v>
      </c>
      <c r="D177" s="110" t="s">
        <v>33</v>
      </c>
      <c r="E177" s="110" t="s">
        <v>33</v>
      </c>
      <c r="F177" s="111" t="s">
        <v>33</v>
      </c>
      <c r="G177" s="112">
        <v>324747065629.53998</v>
      </c>
      <c r="H177" s="113">
        <v>324747065629.53998</v>
      </c>
      <c r="I177" s="54"/>
      <c r="J177" s="55"/>
    </row>
    <row r="178" spans="2:10" ht="18" customHeight="1" thickBot="1">
      <c r="B178" s="114" t="s">
        <v>52</v>
      </c>
      <c r="C178" s="114" t="s">
        <v>52</v>
      </c>
      <c r="D178" s="114" t="s">
        <v>52</v>
      </c>
      <c r="E178" s="114" t="s">
        <v>52</v>
      </c>
      <c r="F178" s="115" t="s">
        <v>52</v>
      </c>
      <c r="G178" s="116">
        <v>321000506527.79999</v>
      </c>
      <c r="H178" s="117">
        <v>321000506527.79999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178:F178"/>
    <mergeCell ref="G178:H178"/>
    <mergeCell ref="B175:F175"/>
    <mergeCell ref="G175:H175"/>
    <mergeCell ref="B176:F176"/>
    <mergeCell ref="G176:H176"/>
    <mergeCell ref="B177:F177"/>
    <mergeCell ref="G177:H177"/>
    <mergeCell ref="B172:F172"/>
    <mergeCell ref="G172:H172"/>
    <mergeCell ref="B173:F173"/>
    <mergeCell ref="G173:H173"/>
    <mergeCell ref="B174:F174"/>
    <mergeCell ref="G174:H174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68:F168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54625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54625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3">
    <pageSetUpPr fitToPage="1"/>
  </sheetPr>
  <dimension ref="B2:N180"/>
  <sheetViews>
    <sheetView topLeftCell="A16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55" t="s">
        <v>14</v>
      </c>
      <c r="C2" s="155"/>
      <c r="D2" s="155"/>
      <c r="E2" s="155"/>
      <c r="F2" s="155"/>
      <c r="G2" s="155"/>
      <c r="H2" s="155"/>
    </row>
    <row r="3" spans="2:14" s="1" customFormat="1" ht="21" thickBot="1">
      <c r="B3" s="156">
        <v>42582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19</v>
      </c>
      <c r="C6" s="62">
        <f>B3</f>
        <v>42582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34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57" t="s">
        <v>17</v>
      </c>
      <c r="C11" s="157"/>
      <c r="D11" s="158"/>
      <c r="E11" s="67">
        <f>EDATE(B3,-1)</f>
        <v>42551</v>
      </c>
      <c r="F11" s="67">
        <f>B3</f>
        <v>42582</v>
      </c>
      <c r="G11" s="44" t="s">
        <v>9</v>
      </c>
      <c r="H11" s="44" t="s">
        <v>10</v>
      </c>
      <c r="J11" s="71"/>
    </row>
    <row r="12" spans="2:14" s="70" customFormat="1" ht="17.25">
      <c r="B12" s="153" t="s">
        <v>0</v>
      </c>
      <c r="C12" s="153"/>
      <c r="D12" s="154"/>
      <c r="E12" s="72">
        <f>June!F12</f>
        <v>1352100</v>
      </c>
      <c r="F12" s="78">
        <v>1578129</v>
      </c>
      <c r="G12" s="11">
        <f>F12-E12</f>
        <v>226029</v>
      </c>
      <c r="H12" s="58">
        <f t="shared" ref="H12:H18" si="0">F12/E12-1</f>
        <v>0.16716884845795432</v>
      </c>
      <c r="I12" s="79"/>
      <c r="J12" s="80"/>
    </row>
    <row r="13" spans="2:14" s="70" customFormat="1" ht="17.25">
      <c r="B13" s="147" t="s">
        <v>1</v>
      </c>
      <c r="C13" s="147"/>
      <c r="D13" s="148"/>
      <c r="E13" s="72">
        <f>June!F13</f>
        <v>30939</v>
      </c>
      <c r="F13" s="78">
        <v>33580</v>
      </c>
      <c r="G13" s="11">
        <f t="shared" ref="G13:G18" si="1">F13-E13</f>
        <v>2641</v>
      </c>
      <c r="H13" s="58">
        <f t="shared" si="0"/>
        <v>8.5361517825398359E-2</v>
      </c>
      <c r="I13" s="79"/>
      <c r="J13" s="80"/>
    </row>
    <row r="14" spans="2:14" s="70" customFormat="1" ht="17.25">
      <c r="B14" s="147" t="s">
        <v>48</v>
      </c>
      <c r="C14" s="147"/>
      <c r="D14" s="148"/>
      <c r="E14" s="72">
        <f>June!F14</f>
        <v>14056</v>
      </c>
      <c r="F14" s="78">
        <v>15262</v>
      </c>
      <c r="G14" s="11">
        <f t="shared" si="1"/>
        <v>1206</v>
      </c>
      <c r="H14" s="58">
        <f t="shared" si="0"/>
        <v>8.5799658508821874E-2</v>
      </c>
      <c r="I14" s="79"/>
      <c r="J14" s="80"/>
    </row>
    <row r="15" spans="2:14" s="70" customFormat="1" ht="17.25">
      <c r="B15" s="149" t="s">
        <v>49</v>
      </c>
      <c r="C15" s="149"/>
      <c r="D15" s="150"/>
      <c r="E15" s="72">
        <f>June!F15</f>
        <v>5906</v>
      </c>
      <c r="F15" s="78">
        <v>7030</v>
      </c>
      <c r="G15" s="11">
        <f t="shared" si="1"/>
        <v>1124</v>
      </c>
      <c r="H15" s="58">
        <f t="shared" si="0"/>
        <v>0.19031493396545884</v>
      </c>
      <c r="I15" s="79"/>
      <c r="J15" s="80"/>
    </row>
    <row r="16" spans="2:14" s="70" customFormat="1" ht="17.25">
      <c r="B16" s="151" t="s">
        <v>50</v>
      </c>
      <c r="C16" s="151"/>
      <c r="D16" s="152"/>
      <c r="E16" s="72">
        <f>June!F16</f>
        <v>8150</v>
      </c>
      <c r="F16" s="78">
        <v>8232</v>
      </c>
      <c r="G16" s="11">
        <f t="shared" si="1"/>
        <v>82</v>
      </c>
      <c r="H16" s="58">
        <f t="shared" si="0"/>
        <v>1.0061349693251564E-2</v>
      </c>
      <c r="I16" s="79"/>
      <c r="J16" s="80"/>
    </row>
    <row r="17" spans="2:10" s="70" customFormat="1" ht="18" customHeight="1" thickBot="1">
      <c r="B17" s="145" t="s">
        <v>2</v>
      </c>
      <c r="C17" s="145"/>
      <c r="D17" s="146"/>
      <c r="E17" s="72">
        <f>June!F17</f>
        <v>13590</v>
      </c>
      <c r="F17" s="78">
        <v>19136</v>
      </c>
      <c r="G17" s="11">
        <f t="shared" si="1"/>
        <v>5546</v>
      </c>
      <c r="H17" s="58">
        <f t="shared" si="0"/>
        <v>0.40809418690213395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f>June!F18</f>
        <v>1410685</v>
      </c>
      <c r="F18" s="66">
        <v>1646107</v>
      </c>
      <c r="G18" s="66">
        <f t="shared" si="1"/>
        <v>235422</v>
      </c>
      <c r="H18" s="63">
        <f t="shared" si="0"/>
        <v>0.16688488216717401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35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57" t="s">
        <v>17</v>
      </c>
      <c r="C22" s="157"/>
      <c r="D22" s="158"/>
      <c r="E22" s="67">
        <f>EDATE(B3,-1)</f>
        <v>42551</v>
      </c>
      <c r="F22" s="67">
        <f>F11</f>
        <v>42582</v>
      </c>
      <c r="G22" s="44" t="s">
        <v>9</v>
      </c>
      <c r="H22" s="44" t="s">
        <v>10</v>
      </c>
      <c r="J22" s="71"/>
    </row>
    <row r="23" spans="2:10" s="70" customFormat="1" ht="17.25">
      <c r="B23" s="153" t="s">
        <v>0</v>
      </c>
      <c r="C23" s="153"/>
      <c r="D23" s="154"/>
      <c r="E23" s="72">
        <f>June!F23</f>
        <v>1028991</v>
      </c>
      <c r="F23" s="78">
        <v>1033667</v>
      </c>
      <c r="G23" s="11">
        <f>F23-E23</f>
        <v>4676</v>
      </c>
      <c r="H23" s="58">
        <f>F23/E23-1</f>
        <v>4.5442574327667629E-3</v>
      </c>
      <c r="I23" s="80"/>
    </row>
    <row r="24" spans="2:10" s="70" customFormat="1" ht="17.25">
      <c r="B24" s="147" t="s">
        <v>1</v>
      </c>
      <c r="C24" s="147"/>
      <c r="D24" s="148"/>
      <c r="E24" s="72">
        <f>June!F24</f>
        <v>19118</v>
      </c>
      <c r="F24" s="78">
        <v>19019</v>
      </c>
      <c r="G24" s="11">
        <f t="shared" ref="G24:G29" si="2">F24-E24</f>
        <v>-99</v>
      </c>
      <c r="H24" s="58">
        <f t="shared" ref="H24:H29" si="3">F24/E24-1</f>
        <v>-5.1783659378595859E-3</v>
      </c>
      <c r="I24" s="80"/>
    </row>
    <row r="25" spans="2:10" s="70" customFormat="1" ht="17.25">
      <c r="B25" s="147" t="s">
        <v>48</v>
      </c>
      <c r="C25" s="147"/>
      <c r="D25" s="148"/>
      <c r="E25" s="72">
        <f>June!F25</f>
        <v>9251</v>
      </c>
      <c r="F25" s="78">
        <v>8797</v>
      </c>
      <c r="G25" s="11">
        <f t="shared" si="2"/>
        <v>-454</v>
      </c>
      <c r="H25" s="58">
        <f t="shared" si="3"/>
        <v>-4.9075775591827964E-2</v>
      </c>
      <c r="I25" s="80"/>
    </row>
    <row r="26" spans="2:10" s="70" customFormat="1" ht="17.25">
      <c r="B26" s="149" t="s">
        <v>49</v>
      </c>
      <c r="C26" s="149"/>
      <c r="D26" s="150"/>
      <c r="E26" s="72">
        <f>June!F26</f>
        <v>5517</v>
      </c>
      <c r="F26" s="78">
        <v>5304</v>
      </c>
      <c r="G26" s="11">
        <f t="shared" si="2"/>
        <v>-213</v>
      </c>
      <c r="H26" s="58">
        <f t="shared" si="3"/>
        <v>-3.8607939097335509E-2</v>
      </c>
      <c r="I26" s="80"/>
    </row>
    <row r="27" spans="2:10" s="70" customFormat="1" ht="17.25">
      <c r="B27" s="151" t="s">
        <v>50</v>
      </c>
      <c r="C27" s="151"/>
      <c r="D27" s="152"/>
      <c r="E27" s="72">
        <f>June!F27</f>
        <v>3734</v>
      </c>
      <c r="F27" s="78">
        <v>3493</v>
      </c>
      <c r="G27" s="11">
        <f t="shared" si="2"/>
        <v>-241</v>
      </c>
      <c r="H27" s="58">
        <f t="shared" si="3"/>
        <v>-6.4542046063203018E-2</v>
      </c>
      <c r="I27" s="80"/>
    </row>
    <row r="28" spans="2:10" s="70" customFormat="1" ht="18" customHeight="1" thickBot="1">
      <c r="B28" s="145" t="s">
        <v>2</v>
      </c>
      <c r="C28" s="145"/>
      <c r="D28" s="146"/>
      <c r="E28" s="72">
        <f>June!F28</f>
        <v>1412</v>
      </c>
      <c r="F28" s="78">
        <v>1620</v>
      </c>
      <c r="G28" s="11">
        <f t="shared" si="2"/>
        <v>208</v>
      </c>
      <c r="H28" s="58">
        <f t="shared" si="3"/>
        <v>0.14730878186968832</v>
      </c>
      <c r="I28" s="80"/>
    </row>
    <row r="29" spans="2:10" s="64" customFormat="1" ht="18" thickBot="1">
      <c r="B29" s="59" t="s">
        <v>3</v>
      </c>
      <c r="C29" s="59"/>
      <c r="D29" s="60"/>
      <c r="E29" s="66">
        <f>June!F29</f>
        <v>1058772</v>
      </c>
      <c r="F29" s="66">
        <v>1063103</v>
      </c>
      <c r="G29" s="66">
        <f t="shared" si="2"/>
        <v>4331</v>
      </c>
      <c r="H29" s="63">
        <f t="shared" si="3"/>
        <v>4.0905879641697229E-3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15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4" t="s">
        <v>17</v>
      </c>
      <c r="C33" s="124"/>
      <c r="D33" s="125"/>
      <c r="E33" s="67">
        <f>EDATE(B3,-1)</f>
        <v>42551</v>
      </c>
      <c r="F33" s="67">
        <f>F11</f>
        <v>42582</v>
      </c>
      <c r="G33" s="16" t="s">
        <v>9</v>
      </c>
      <c r="H33" s="16" t="s">
        <v>10</v>
      </c>
    </row>
    <row r="34" spans="2:9" ht="17.25">
      <c r="B34" s="153" t="s">
        <v>0</v>
      </c>
      <c r="C34" s="153"/>
      <c r="D34" s="154"/>
      <c r="E34" s="72">
        <f>June!F34</f>
        <v>72090</v>
      </c>
      <c r="F34" s="72">
        <v>72824</v>
      </c>
      <c r="G34" s="11">
        <f t="shared" ref="G34:G40" si="4">F34-E34</f>
        <v>734</v>
      </c>
      <c r="H34" s="58">
        <f t="shared" ref="H34:H40" si="5">F34/E34-1</f>
        <v>1.0181717297822246E-2</v>
      </c>
      <c r="I34" s="57"/>
    </row>
    <row r="35" spans="2:9" ht="17.25">
      <c r="B35" s="147" t="s">
        <v>1</v>
      </c>
      <c r="C35" s="147"/>
      <c r="D35" s="148"/>
      <c r="E35" s="72">
        <f>June!F35</f>
        <v>1092</v>
      </c>
      <c r="F35" s="72">
        <v>1031</v>
      </c>
      <c r="G35" s="11">
        <f t="shared" si="4"/>
        <v>-61</v>
      </c>
      <c r="H35" s="58">
        <f t="shared" si="5"/>
        <v>-5.5860805860805884E-2</v>
      </c>
      <c r="I35" s="57"/>
    </row>
    <row r="36" spans="2:9" ht="17.25">
      <c r="B36" s="147" t="s">
        <v>48</v>
      </c>
      <c r="C36" s="147"/>
      <c r="D36" s="148"/>
      <c r="E36" s="72">
        <f>June!F36</f>
        <v>673</v>
      </c>
      <c r="F36" s="72">
        <v>622</v>
      </c>
      <c r="G36" s="11">
        <f t="shared" si="4"/>
        <v>-51</v>
      </c>
      <c r="H36" s="58">
        <f t="shared" si="5"/>
        <v>-7.5780089153046015E-2</v>
      </c>
      <c r="I36" s="57"/>
    </row>
    <row r="37" spans="2:9" ht="17.25">
      <c r="B37" s="149" t="s">
        <v>49</v>
      </c>
      <c r="C37" s="149"/>
      <c r="D37" s="150"/>
      <c r="E37" s="72">
        <f>June!F37</f>
        <v>334</v>
      </c>
      <c r="F37" s="72">
        <v>324</v>
      </c>
      <c r="G37" s="11">
        <f t="shared" si="4"/>
        <v>-10</v>
      </c>
      <c r="H37" s="58">
        <f t="shared" si="5"/>
        <v>-2.9940119760479056E-2</v>
      </c>
      <c r="I37" s="57"/>
    </row>
    <row r="38" spans="2:9" ht="17.25">
      <c r="B38" s="151" t="s">
        <v>50</v>
      </c>
      <c r="C38" s="151"/>
      <c r="D38" s="152"/>
      <c r="E38" s="72">
        <f>June!F38</f>
        <v>339</v>
      </c>
      <c r="F38" s="72">
        <v>298</v>
      </c>
      <c r="G38" s="11">
        <f t="shared" si="4"/>
        <v>-41</v>
      </c>
      <c r="H38" s="58">
        <f t="shared" si="5"/>
        <v>-0.12094395280235992</v>
      </c>
      <c r="I38" s="57"/>
    </row>
    <row r="39" spans="2:9" ht="18" customHeight="1" thickBot="1">
      <c r="B39" s="145" t="s">
        <v>2</v>
      </c>
      <c r="C39" s="145"/>
      <c r="D39" s="146"/>
      <c r="E39" s="72">
        <f>June!F39</f>
        <v>474</v>
      </c>
      <c r="F39" s="72">
        <v>712</v>
      </c>
      <c r="G39" s="11">
        <f t="shared" si="4"/>
        <v>238</v>
      </c>
      <c r="H39" s="58">
        <f t="shared" si="5"/>
        <v>0.5021097046413503</v>
      </c>
      <c r="I39" s="57"/>
    </row>
    <row r="40" spans="2:9" s="64" customFormat="1" ht="18" thickBot="1">
      <c r="B40" s="59" t="s">
        <v>3</v>
      </c>
      <c r="C40" s="59"/>
      <c r="D40" s="60"/>
      <c r="E40" s="66">
        <f>June!F40</f>
        <v>74329</v>
      </c>
      <c r="F40" s="66">
        <v>75189</v>
      </c>
      <c r="G40" s="66">
        <f t="shared" si="4"/>
        <v>860</v>
      </c>
      <c r="H40" s="63">
        <f t="shared" si="5"/>
        <v>1.1570181221326914E-2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16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36</v>
      </c>
      <c r="C48" s="23"/>
      <c r="D48" s="23"/>
      <c r="E48" s="23"/>
      <c r="F48" s="23"/>
      <c r="G48" s="23"/>
      <c r="H48" s="128" t="s">
        <v>12</v>
      </c>
      <c r="I48" s="128"/>
    </row>
    <row r="49" spans="2:9" ht="15.75" thickBot="1">
      <c r="B49" s="124" t="s">
        <v>17</v>
      </c>
      <c r="C49" s="124"/>
      <c r="D49" s="125"/>
      <c r="E49" s="67">
        <v>40908</v>
      </c>
      <c r="F49" s="67">
        <v>41274</v>
      </c>
      <c r="G49" s="67">
        <v>41639</v>
      </c>
      <c r="H49" s="67">
        <v>42004</v>
      </c>
      <c r="I49" s="67">
        <v>42369</v>
      </c>
    </row>
    <row r="50" spans="2:9" ht="17.25">
      <c r="B50" s="129" t="s">
        <v>0</v>
      </c>
      <c r="C50" s="129"/>
      <c r="D50" s="130"/>
      <c r="E50" s="74">
        <v>772175</v>
      </c>
      <c r="F50" s="74">
        <v>805549</v>
      </c>
      <c r="G50" s="74">
        <v>881844</v>
      </c>
      <c r="H50" s="74">
        <v>944559</v>
      </c>
      <c r="I50" s="74">
        <v>1006751</v>
      </c>
    </row>
    <row r="51" spans="2:9" ht="17.25">
      <c r="B51" s="131" t="s">
        <v>1</v>
      </c>
      <c r="C51" s="131"/>
      <c r="D51" s="132"/>
      <c r="E51" s="75">
        <v>16850</v>
      </c>
      <c r="F51" s="75">
        <v>17821</v>
      </c>
      <c r="G51" s="75">
        <v>19539</v>
      </c>
      <c r="H51" s="75">
        <v>20178</v>
      </c>
      <c r="I51" s="75">
        <v>20753</v>
      </c>
    </row>
    <row r="52" spans="2:9" ht="17.25">
      <c r="B52" s="133" t="s">
        <v>48</v>
      </c>
      <c r="C52" s="133"/>
      <c r="D52" s="134"/>
      <c r="E52" s="77">
        <v>5058</v>
      </c>
      <c r="F52" s="77">
        <v>5876</v>
      </c>
      <c r="G52" s="77">
        <v>6957</v>
      </c>
      <c r="H52" s="77">
        <v>7486</v>
      </c>
      <c r="I52" s="77">
        <v>8729</v>
      </c>
    </row>
    <row r="53" spans="2:9" ht="18" thickBot="1">
      <c r="B53" s="135" t="s">
        <v>2</v>
      </c>
      <c r="C53" s="135"/>
      <c r="D53" s="136"/>
      <c r="E53" s="73">
        <v>5242</v>
      </c>
      <c r="F53" s="73">
        <v>5261</v>
      </c>
      <c r="G53" s="73">
        <v>5182</v>
      </c>
      <c r="H53" s="73">
        <v>5142</v>
      </c>
      <c r="I53" s="73">
        <v>3836</v>
      </c>
    </row>
    <row r="54" spans="2:9" s="65" customFormat="1" ht="18" thickBot="1">
      <c r="B54" s="137" t="s">
        <v>3</v>
      </c>
      <c r="C54" s="137"/>
      <c r="D54" s="138"/>
      <c r="E54" s="76">
        <v>799325</v>
      </c>
      <c r="F54" s="76">
        <v>834507</v>
      </c>
      <c r="G54" s="76">
        <v>913522</v>
      </c>
      <c r="H54" s="76">
        <v>977365</v>
      </c>
      <c r="I54" s="76">
        <v>1040069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37</v>
      </c>
      <c r="C82" s="23"/>
      <c r="D82" s="23"/>
      <c r="E82" s="23"/>
      <c r="F82" s="23"/>
      <c r="G82" s="23"/>
      <c r="H82" s="98" t="s">
        <v>11</v>
      </c>
      <c r="I82"/>
      <c r="J82"/>
      <c r="K82"/>
    </row>
    <row r="83" spans="2:11" ht="15.75" thickBot="1">
      <c r="B83" s="31" t="s">
        <v>17</v>
      </c>
      <c r="C83" s="67">
        <f>EDATE(D83,-1)</f>
        <v>42429</v>
      </c>
      <c r="D83" s="67">
        <f>EDATE(E83,-1)</f>
        <v>42459</v>
      </c>
      <c r="E83" s="67">
        <f>EDATE(F83,-1)</f>
        <v>42490</v>
      </c>
      <c r="F83" s="67">
        <f>EDATE(G83,-1)</f>
        <v>42520</v>
      </c>
      <c r="G83" s="67">
        <f>EDATE(H83,-1)</f>
        <v>42551</v>
      </c>
      <c r="H83" s="67">
        <f>EDATE(E11,1)</f>
        <v>42581</v>
      </c>
      <c r="I83"/>
      <c r="J83"/>
    </row>
    <row r="84" spans="2:11" ht="16.5" customHeight="1">
      <c r="B84" s="24" t="s">
        <v>0</v>
      </c>
      <c r="C84" s="74">
        <v>1006765</v>
      </c>
      <c r="D84" s="74">
        <v>1008379</v>
      </c>
      <c r="E84" s="74">
        <v>1014752</v>
      </c>
      <c r="F84" s="74">
        <v>1018892</v>
      </c>
      <c r="G84" s="74">
        <v>1028991</v>
      </c>
      <c r="H84" s="74">
        <v>1033667</v>
      </c>
    </row>
    <row r="85" spans="2:11" ht="16.5" customHeight="1">
      <c r="B85" s="25" t="s">
        <v>1</v>
      </c>
      <c r="C85" s="75">
        <v>18908</v>
      </c>
      <c r="D85" s="75">
        <v>19035</v>
      </c>
      <c r="E85" s="75">
        <v>19023</v>
      </c>
      <c r="F85" s="75">
        <v>19023</v>
      </c>
      <c r="G85" s="75">
        <v>19118</v>
      </c>
      <c r="H85" s="75">
        <v>19019</v>
      </c>
    </row>
    <row r="86" spans="2:11" ht="16.5" customHeight="1">
      <c r="B86" s="26" t="s">
        <v>48</v>
      </c>
      <c r="C86" s="77">
        <v>8657</v>
      </c>
      <c r="D86" s="77">
        <v>8480</v>
      </c>
      <c r="E86" s="77">
        <v>8800</v>
      </c>
      <c r="F86" s="77">
        <v>8928</v>
      </c>
      <c r="G86" s="77">
        <v>9251</v>
      </c>
      <c r="H86" s="77">
        <v>8797</v>
      </c>
    </row>
    <row r="87" spans="2:11" ht="16.5" customHeight="1" thickBot="1">
      <c r="B87" s="27" t="s">
        <v>2</v>
      </c>
      <c r="C87" s="73">
        <v>2930</v>
      </c>
      <c r="D87" s="73">
        <v>2548</v>
      </c>
      <c r="E87" s="73">
        <v>1422</v>
      </c>
      <c r="F87" s="73">
        <v>1400</v>
      </c>
      <c r="G87" s="73">
        <v>1412</v>
      </c>
      <c r="H87" s="73">
        <v>1620</v>
      </c>
    </row>
    <row r="88" spans="2:11" s="65" customFormat="1" ht="18" thickBot="1">
      <c r="B88" s="99" t="s">
        <v>3</v>
      </c>
      <c r="C88" s="76">
        <v>1037260</v>
      </c>
      <c r="D88" s="76">
        <v>1038442</v>
      </c>
      <c r="E88" s="76">
        <v>1043997</v>
      </c>
      <c r="F88" s="76">
        <v>1048243</v>
      </c>
      <c r="G88" s="76">
        <v>1058772</v>
      </c>
      <c r="H88" s="76">
        <v>1063103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22</v>
      </c>
      <c r="C124" s="83">
        <f>B3</f>
        <v>42582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5" t="s">
        <v>23</v>
      </c>
      <c r="C128" s="139"/>
      <c r="D128" s="139"/>
      <c r="E128" s="139"/>
      <c r="F128" s="139"/>
      <c r="G128" s="140" t="s">
        <v>4</v>
      </c>
      <c r="H128" s="141"/>
    </row>
    <row r="129" spans="2:10" ht="18" customHeight="1" thickBot="1">
      <c r="B129" s="115" t="s">
        <v>21</v>
      </c>
      <c r="C129" s="142"/>
      <c r="D129" s="142"/>
      <c r="E129" s="142"/>
      <c r="F129" s="142"/>
      <c r="G129" s="143">
        <v>352</v>
      </c>
      <c r="H129" s="144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20</v>
      </c>
      <c r="C133" s="32"/>
      <c r="D133" s="32"/>
      <c r="E133" s="33"/>
      <c r="F133" s="85">
        <f>C6</f>
        <v>42582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24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25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26" t="s">
        <v>18</v>
      </c>
      <c r="C138" s="126"/>
      <c r="D138" s="126"/>
      <c r="E138" s="126"/>
      <c r="F138" s="127"/>
      <c r="G138" s="118" t="s">
        <v>5</v>
      </c>
      <c r="H138" s="119"/>
      <c r="I138"/>
    </row>
    <row r="139" spans="2:10" ht="17.25" customHeight="1">
      <c r="B139" s="120" t="s">
        <v>40</v>
      </c>
      <c r="C139" s="120" t="s">
        <v>40</v>
      </c>
      <c r="D139" s="120" t="s">
        <v>40</v>
      </c>
      <c r="E139" s="120" t="s">
        <v>40</v>
      </c>
      <c r="F139" s="121" t="s">
        <v>40</v>
      </c>
      <c r="G139" s="122">
        <v>237807</v>
      </c>
      <c r="H139" s="123">
        <v>237807</v>
      </c>
      <c r="I139" s="46"/>
      <c r="J139" s="49"/>
    </row>
    <row r="140" spans="2:10" ht="13.5" customHeight="1">
      <c r="B140" s="110" t="s">
        <v>28</v>
      </c>
      <c r="C140" s="110" t="s">
        <v>28</v>
      </c>
      <c r="D140" s="110" t="s">
        <v>28</v>
      </c>
      <c r="E140" s="110" t="s">
        <v>28</v>
      </c>
      <c r="F140" s="111" t="s">
        <v>28</v>
      </c>
      <c r="G140" s="112">
        <v>185729</v>
      </c>
      <c r="H140" s="113">
        <v>185729</v>
      </c>
      <c r="I140" s="46"/>
      <c r="J140" s="49"/>
    </row>
    <row r="141" spans="2:10" ht="17.25" customHeight="1">
      <c r="B141" s="110" t="s">
        <v>29</v>
      </c>
      <c r="C141" s="110" t="s">
        <v>29</v>
      </c>
      <c r="D141" s="110" t="s">
        <v>29</v>
      </c>
      <c r="E141" s="110" t="s">
        <v>29</v>
      </c>
      <c r="F141" s="111" t="s">
        <v>29</v>
      </c>
      <c r="G141" s="112">
        <v>154003</v>
      </c>
      <c r="H141" s="113">
        <v>154003</v>
      </c>
      <c r="I141" s="46"/>
      <c r="J141" s="49"/>
    </row>
    <row r="142" spans="2:10" ht="17.25" customHeight="1">
      <c r="B142" s="110" t="s">
        <v>41</v>
      </c>
      <c r="C142" s="110" t="s">
        <v>41</v>
      </c>
      <c r="D142" s="110" t="s">
        <v>41</v>
      </c>
      <c r="E142" s="110" t="s">
        <v>41</v>
      </c>
      <c r="F142" s="111" t="s">
        <v>41</v>
      </c>
      <c r="G142" s="112">
        <v>152985</v>
      </c>
      <c r="H142" s="113">
        <v>152985</v>
      </c>
      <c r="I142" s="46"/>
      <c r="J142" s="49"/>
    </row>
    <row r="143" spans="2:10" ht="17.25" customHeight="1">
      <c r="B143" s="110" t="s">
        <v>39</v>
      </c>
      <c r="C143" s="110" t="s">
        <v>39</v>
      </c>
      <c r="D143" s="110" t="s">
        <v>39</v>
      </c>
      <c r="E143" s="110" t="s">
        <v>39</v>
      </c>
      <c r="F143" s="111" t="s">
        <v>39</v>
      </c>
      <c r="G143" s="112">
        <v>82537</v>
      </c>
      <c r="H143" s="113">
        <v>82537</v>
      </c>
      <c r="I143" s="46"/>
      <c r="J143" s="49"/>
    </row>
    <row r="144" spans="2:10" ht="13.5" customHeight="1">
      <c r="B144" s="110" t="s">
        <v>42</v>
      </c>
      <c r="C144" s="110" t="s">
        <v>42</v>
      </c>
      <c r="D144" s="110" t="s">
        <v>42</v>
      </c>
      <c r="E144" s="110" t="s">
        <v>42</v>
      </c>
      <c r="F144" s="111" t="s">
        <v>42</v>
      </c>
      <c r="G144" s="112">
        <v>62133</v>
      </c>
      <c r="H144" s="113">
        <v>62133</v>
      </c>
      <c r="I144" s="50"/>
      <c r="J144" s="49"/>
    </row>
    <row r="145" spans="2:13" ht="17.25" customHeight="1">
      <c r="B145" s="110" t="s">
        <v>30</v>
      </c>
      <c r="C145" s="110" t="s">
        <v>30</v>
      </c>
      <c r="D145" s="110" t="s">
        <v>30</v>
      </c>
      <c r="E145" s="110" t="s">
        <v>30</v>
      </c>
      <c r="F145" s="111" t="s">
        <v>30</v>
      </c>
      <c r="G145" s="112">
        <v>48750</v>
      </c>
      <c r="H145" s="113">
        <v>48750</v>
      </c>
      <c r="I145" s="46"/>
      <c r="J145" s="49"/>
    </row>
    <row r="146" spans="2:13" ht="17.25" customHeight="1">
      <c r="B146" s="110" t="s">
        <v>45</v>
      </c>
      <c r="C146" s="110" t="s">
        <v>45</v>
      </c>
      <c r="D146" s="110" t="s">
        <v>45</v>
      </c>
      <c r="E146" s="110" t="s">
        <v>45</v>
      </c>
      <c r="F146" s="111" t="s">
        <v>45</v>
      </c>
      <c r="G146" s="112">
        <v>32890</v>
      </c>
      <c r="H146" s="113">
        <v>32890</v>
      </c>
      <c r="I146" s="46"/>
      <c r="J146" s="49"/>
    </row>
    <row r="147" spans="2:13" ht="17.25" customHeight="1">
      <c r="B147" s="110" t="s">
        <v>31</v>
      </c>
      <c r="C147" s="110" t="s">
        <v>31</v>
      </c>
      <c r="D147" s="110" t="s">
        <v>31</v>
      </c>
      <c r="E147" s="110" t="s">
        <v>31</v>
      </c>
      <c r="F147" s="111" t="s">
        <v>31</v>
      </c>
      <c r="G147" s="112">
        <v>21367</v>
      </c>
      <c r="H147" s="113">
        <v>21367</v>
      </c>
      <c r="I147" s="46"/>
      <c r="J147" s="49"/>
      <c r="L147"/>
    </row>
    <row r="148" spans="2:13" ht="18" customHeight="1" thickBot="1">
      <c r="B148" s="114" t="s">
        <v>32</v>
      </c>
      <c r="C148" s="114" t="s">
        <v>32</v>
      </c>
      <c r="D148" s="114" t="s">
        <v>32</v>
      </c>
      <c r="E148" s="114" t="s">
        <v>32</v>
      </c>
      <c r="F148" s="115" t="s">
        <v>32</v>
      </c>
      <c r="G148" s="116">
        <v>19859</v>
      </c>
      <c r="H148" s="117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26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4" t="s">
        <v>18</v>
      </c>
      <c r="C153" s="124"/>
      <c r="D153" s="124"/>
      <c r="E153" s="124"/>
      <c r="F153" s="125"/>
      <c r="G153" s="119" t="s">
        <v>5</v>
      </c>
      <c r="H153" s="119"/>
      <c r="I153" s="51"/>
      <c r="J153" s="51"/>
      <c r="K153"/>
      <c r="L153"/>
      <c r="M153"/>
    </row>
    <row r="154" spans="2:13" ht="17.25" customHeight="1">
      <c r="B154" s="120" t="s">
        <v>28</v>
      </c>
      <c r="C154" s="120" t="s">
        <v>28</v>
      </c>
      <c r="D154" s="120" t="s">
        <v>28</v>
      </c>
      <c r="E154" s="120" t="s">
        <v>28</v>
      </c>
      <c r="F154" s="121" t="s">
        <v>28</v>
      </c>
      <c r="G154" s="122">
        <v>12947</v>
      </c>
      <c r="H154" s="123">
        <v>12947</v>
      </c>
      <c r="I154" s="52"/>
      <c r="J154" s="49"/>
      <c r="K154" s="48"/>
      <c r="L154"/>
      <c r="M154"/>
    </row>
    <row r="155" spans="2:13" ht="17.25" customHeight="1">
      <c r="B155" s="110" t="s">
        <v>29</v>
      </c>
      <c r="C155" s="110" t="s">
        <v>29</v>
      </c>
      <c r="D155" s="110" t="s">
        <v>29</v>
      </c>
      <c r="E155" s="110" t="s">
        <v>29</v>
      </c>
      <c r="F155" s="111" t="s">
        <v>29</v>
      </c>
      <c r="G155" s="112">
        <v>11391</v>
      </c>
      <c r="H155" s="113">
        <v>11391</v>
      </c>
      <c r="I155" s="52"/>
      <c r="J155" s="49"/>
      <c r="K155" s="48"/>
      <c r="L155"/>
      <c r="M155"/>
    </row>
    <row r="156" spans="2:13" ht="17.25" customHeight="1">
      <c r="B156" s="110" t="s">
        <v>41</v>
      </c>
      <c r="C156" s="110" t="s">
        <v>41</v>
      </c>
      <c r="D156" s="110" t="s">
        <v>41</v>
      </c>
      <c r="E156" s="110" t="s">
        <v>41</v>
      </c>
      <c r="F156" s="111" t="s">
        <v>41</v>
      </c>
      <c r="G156" s="112">
        <v>11325</v>
      </c>
      <c r="H156" s="113">
        <v>11325</v>
      </c>
      <c r="I156" s="52"/>
      <c r="J156" s="49"/>
      <c r="K156" s="48"/>
      <c r="L156"/>
      <c r="M156"/>
    </row>
    <row r="157" spans="2:13" ht="17.25">
      <c r="B157" s="110" t="s">
        <v>40</v>
      </c>
      <c r="C157" s="110" t="s">
        <v>40</v>
      </c>
      <c r="D157" s="110" t="s">
        <v>40</v>
      </c>
      <c r="E157" s="110" t="s">
        <v>40</v>
      </c>
      <c r="F157" s="111" t="s">
        <v>40</v>
      </c>
      <c r="G157" s="112">
        <v>10390</v>
      </c>
      <c r="H157" s="113">
        <v>10390</v>
      </c>
      <c r="I157" s="52"/>
      <c r="J157" s="49"/>
      <c r="K157" s="48"/>
      <c r="L157"/>
      <c r="M157"/>
    </row>
    <row r="158" spans="2:13" ht="17.25" customHeight="1">
      <c r="B158" s="110" t="s">
        <v>39</v>
      </c>
      <c r="C158" s="110" t="s">
        <v>39</v>
      </c>
      <c r="D158" s="110" t="s">
        <v>39</v>
      </c>
      <c r="E158" s="110" t="s">
        <v>39</v>
      </c>
      <c r="F158" s="111" t="s">
        <v>39</v>
      </c>
      <c r="G158" s="112">
        <v>8956</v>
      </c>
      <c r="H158" s="113">
        <v>8956</v>
      </c>
      <c r="I158" s="52"/>
      <c r="J158" s="49"/>
      <c r="K158" s="48"/>
      <c r="L158"/>
      <c r="M158"/>
    </row>
    <row r="159" spans="2:13" ht="17.25" customHeight="1">
      <c r="B159" s="110" t="s">
        <v>42</v>
      </c>
      <c r="C159" s="110" t="s">
        <v>42</v>
      </c>
      <c r="D159" s="110" t="s">
        <v>42</v>
      </c>
      <c r="E159" s="110" t="s">
        <v>42</v>
      </c>
      <c r="F159" s="111" t="s">
        <v>42</v>
      </c>
      <c r="G159" s="112">
        <v>3964</v>
      </c>
      <c r="H159" s="113">
        <v>3964</v>
      </c>
      <c r="I159" s="53"/>
      <c r="J159" s="49"/>
      <c r="K159" s="48"/>
      <c r="L159"/>
      <c r="M159"/>
    </row>
    <row r="160" spans="2:13" ht="17.25" customHeight="1">
      <c r="B160" s="110" t="s">
        <v>30</v>
      </c>
      <c r="C160" s="110" t="s">
        <v>30</v>
      </c>
      <c r="D160" s="110" t="s">
        <v>30</v>
      </c>
      <c r="E160" s="110" t="s">
        <v>30</v>
      </c>
      <c r="F160" s="111" t="s">
        <v>30</v>
      </c>
      <c r="G160" s="112">
        <v>2746</v>
      </c>
      <c r="H160" s="113">
        <v>2746</v>
      </c>
      <c r="I160" s="52"/>
      <c r="J160" s="49"/>
      <c r="K160" s="48"/>
      <c r="L160"/>
      <c r="M160"/>
    </row>
    <row r="161" spans="2:13" ht="17.25" customHeight="1">
      <c r="B161" s="110" t="s">
        <v>43</v>
      </c>
      <c r="C161" s="110" t="s">
        <v>43</v>
      </c>
      <c r="D161" s="110" t="s">
        <v>43</v>
      </c>
      <c r="E161" s="110" t="s">
        <v>43</v>
      </c>
      <c r="F161" s="111" t="s">
        <v>43</v>
      </c>
      <c r="G161" s="112">
        <v>2217</v>
      </c>
      <c r="H161" s="113">
        <v>2217</v>
      </c>
      <c r="I161" s="52"/>
      <c r="J161" s="49"/>
      <c r="K161" s="48"/>
      <c r="L161"/>
      <c r="M161"/>
    </row>
    <row r="162" spans="2:13" ht="17.25" customHeight="1">
      <c r="B162" s="110" t="s">
        <v>44</v>
      </c>
      <c r="C162" s="110" t="s">
        <v>44</v>
      </c>
      <c r="D162" s="110" t="s">
        <v>44</v>
      </c>
      <c r="E162" s="110" t="s">
        <v>44</v>
      </c>
      <c r="F162" s="111" t="s">
        <v>44</v>
      </c>
      <c r="G162" s="112">
        <v>1658</v>
      </c>
      <c r="H162" s="113">
        <v>1658</v>
      </c>
      <c r="I162" s="52"/>
      <c r="J162" s="49"/>
      <c r="K162" s="48"/>
      <c r="L162"/>
      <c r="M162"/>
    </row>
    <row r="163" spans="2:13" ht="18" customHeight="1" thickBot="1">
      <c r="B163" s="114" t="s">
        <v>31</v>
      </c>
      <c r="C163" s="114" t="s">
        <v>31</v>
      </c>
      <c r="D163" s="114" t="s">
        <v>31</v>
      </c>
      <c r="E163" s="114" t="s">
        <v>31</v>
      </c>
      <c r="F163" s="115" t="s">
        <v>31</v>
      </c>
      <c r="G163" s="116">
        <v>1321</v>
      </c>
      <c r="H163" s="117">
        <v>1321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27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24" t="s">
        <v>18</v>
      </c>
      <c r="C168" s="124"/>
      <c r="D168" s="124"/>
      <c r="E168" s="124"/>
      <c r="F168" s="125"/>
      <c r="G168" s="119" t="s">
        <v>8</v>
      </c>
      <c r="H168" s="119"/>
      <c r="I168" s="2"/>
      <c r="J168" s="2"/>
    </row>
    <row r="169" spans="2:13" ht="17.25" customHeight="1">
      <c r="B169" s="120" t="s">
        <v>29</v>
      </c>
      <c r="C169" s="120" t="s">
        <v>29</v>
      </c>
      <c r="D169" s="120" t="s">
        <v>29</v>
      </c>
      <c r="E169" s="120" t="s">
        <v>29</v>
      </c>
      <c r="F169" s="121" t="s">
        <v>29</v>
      </c>
      <c r="G169" s="122">
        <v>1403648660167.52</v>
      </c>
      <c r="H169" s="123">
        <v>1403648660167.52</v>
      </c>
      <c r="I169" s="54"/>
      <c r="J169" s="55"/>
    </row>
    <row r="170" spans="2:13" ht="17.25" customHeight="1">
      <c r="B170" s="110" t="s">
        <v>39</v>
      </c>
      <c r="C170" s="110" t="s">
        <v>39</v>
      </c>
      <c r="D170" s="110" t="s">
        <v>39</v>
      </c>
      <c r="E170" s="110" t="s">
        <v>39</v>
      </c>
      <c r="F170" s="111" t="s">
        <v>39</v>
      </c>
      <c r="G170" s="112">
        <v>980300616038.32996</v>
      </c>
      <c r="H170" s="113">
        <v>980300616038.32996</v>
      </c>
      <c r="I170" s="54"/>
      <c r="J170" s="55"/>
    </row>
    <row r="171" spans="2:13" ht="17.25" customHeight="1">
      <c r="B171" s="110" t="s">
        <v>38</v>
      </c>
      <c r="C171" s="110" t="s">
        <v>38</v>
      </c>
      <c r="D171" s="110" t="s">
        <v>38</v>
      </c>
      <c r="E171" s="110" t="s">
        <v>38</v>
      </c>
      <c r="F171" s="111" t="s">
        <v>38</v>
      </c>
      <c r="G171" s="112">
        <v>878430628524.58997</v>
      </c>
      <c r="H171" s="113">
        <v>878430628524.58997</v>
      </c>
      <c r="I171" s="54"/>
      <c r="J171" s="55"/>
    </row>
    <row r="172" spans="2:13" ht="17.25" customHeight="1">
      <c r="B172" s="110" t="s">
        <v>28</v>
      </c>
      <c r="C172" s="110" t="s">
        <v>28</v>
      </c>
      <c r="D172" s="110" t="s">
        <v>28</v>
      </c>
      <c r="E172" s="110" t="s">
        <v>28</v>
      </c>
      <c r="F172" s="111" t="s">
        <v>28</v>
      </c>
      <c r="G172" s="112">
        <v>502635769285.38</v>
      </c>
      <c r="H172" s="113">
        <v>502635769285.38</v>
      </c>
      <c r="I172" s="54"/>
      <c r="J172" s="55"/>
    </row>
    <row r="173" spans="2:13" ht="17.25" customHeight="1">
      <c r="B173" s="110" t="s">
        <v>51</v>
      </c>
      <c r="C173" s="110" t="s">
        <v>51</v>
      </c>
      <c r="D173" s="110" t="s">
        <v>51</v>
      </c>
      <c r="E173" s="110" t="s">
        <v>51</v>
      </c>
      <c r="F173" s="111" t="s">
        <v>51</v>
      </c>
      <c r="G173" s="112">
        <v>460525977205.29999</v>
      </c>
      <c r="H173" s="113">
        <v>460525977205.29999</v>
      </c>
      <c r="I173" s="56"/>
      <c r="J173" s="49"/>
    </row>
    <row r="174" spans="2:13" ht="17.25" customHeight="1">
      <c r="B174" s="110" t="s">
        <v>46</v>
      </c>
      <c r="C174" s="110" t="s">
        <v>46</v>
      </c>
      <c r="D174" s="110" t="s">
        <v>46</v>
      </c>
      <c r="E174" s="110" t="s">
        <v>46</v>
      </c>
      <c r="F174" s="111" t="s">
        <v>46</v>
      </c>
      <c r="G174" s="112">
        <v>440112504210.08002</v>
      </c>
      <c r="H174" s="113">
        <v>440112504210.08002</v>
      </c>
      <c r="I174" s="54"/>
      <c r="J174" s="55"/>
    </row>
    <row r="175" spans="2:13" ht="17.25" customHeight="1">
      <c r="B175" s="110" t="s">
        <v>44</v>
      </c>
      <c r="C175" s="110" t="s">
        <v>44</v>
      </c>
      <c r="D175" s="110" t="s">
        <v>44</v>
      </c>
      <c r="E175" s="110" t="s">
        <v>44</v>
      </c>
      <c r="F175" s="111" t="s">
        <v>44</v>
      </c>
      <c r="G175" s="112">
        <v>362535657022.59003</v>
      </c>
      <c r="H175" s="113">
        <v>362535657022.59003</v>
      </c>
      <c r="I175" s="54"/>
      <c r="J175" s="55"/>
    </row>
    <row r="176" spans="2:13" ht="17.25" customHeight="1">
      <c r="B176" s="110" t="s">
        <v>41</v>
      </c>
      <c r="C176" s="110" t="s">
        <v>41</v>
      </c>
      <c r="D176" s="110" t="s">
        <v>41</v>
      </c>
      <c r="E176" s="110" t="s">
        <v>41</v>
      </c>
      <c r="F176" s="111" t="s">
        <v>41</v>
      </c>
      <c r="G176" s="112">
        <v>357611897104.82001</v>
      </c>
      <c r="H176" s="113">
        <v>357611897104.82001</v>
      </c>
      <c r="I176" s="54"/>
      <c r="J176" s="55"/>
    </row>
    <row r="177" spans="2:10" ht="17.25" customHeight="1">
      <c r="B177" s="110" t="s">
        <v>33</v>
      </c>
      <c r="C177" s="110" t="s">
        <v>33</v>
      </c>
      <c r="D177" s="110" t="s">
        <v>33</v>
      </c>
      <c r="E177" s="110" t="s">
        <v>33</v>
      </c>
      <c r="F177" s="111" t="s">
        <v>33</v>
      </c>
      <c r="G177" s="112">
        <v>329883579409.97998</v>
      </c>
      <c r="H177" s="113">
        <v>329883579409.97998</v>
      </c>
      <c r="I177" s="54"/>
      <c r="J177" s="55"/>
    </row>
    <row r="178" spans="2:10" ht="18" customHeight="1" thickBot="1">
      <c r="B178" s="114" t="s">
        <v>53</v>
      </c>
      <c r="C178" s="114" t="s">
        <v>53</v>
      </c>
      <c r="D178" s="114" t="s">
        <v>53</v>
      </c>
      <c r="E178" s="114" t="s">
        <v>53</v>
      </c>
      <c r="F178" s="115" t="s">
        <v>53</v>
      </c>
      <c r="G178" s="116">
        <v>244055771451.44</v>
      </c>
      <c r="H178" s="117">
        <v>244055771451.44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178:F178"/>
    <mergeCell ref="G178:H178"/>
    <mergeCell ref="B175:F175"/>
    <mergeCell ref="G175:H175"/>
    <mergeCell ref="B176:F176"/>
    <mergeCell ref="G176:H176"/>
    <mergeCell ref="B177:F177"/>
    <mergeCell ref="G177:H177"/>
    <mergeCell ref="B172:F172"/>
    <mergeCell ref="G172:H172"/>
    <mergeCell ref="B173:F173"/>
    <mergeCell ref="G173:H173"/>
    <mergeCell ref="B174:F174"/>
    <mergeCell ref="G174:H174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68:F168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55649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55649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4">
    <pageSetUpPr fitToPage="1"/>
  </sheetPr>
  <dimension ref="B2:N180"/>
  <sheetViews>
    <sheetView topLeftCell="A10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55" t="s">
        <v>14</v>
      </c>
      <c r="C2" s="155"/>
      <c r="D2" s="155"/>
      <c r="E2" s="155"/>
      <c r="F2" s="155"/>
      <c r="G2" s="155"/>
      <c r="H2" s="155"/>
    </row>
    <row r="3" spans="2:14" s="1" customFormat="1" ht="21" thickBot="1">
      <c r="B3" s="156">
        <v>42613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19</v>
      </c>
      <c r="C6" s="62">
        <f>B3</f>
        <v>42613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34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57" t="s">
        <v>17</v>
      </c>
      <c r="C11" s="157"/>
      <c r="D11" s="158"/>
      <c r="E11" s="67">
        <f>EDATE(B3,-1)</f>
        <v>42582</v>
      </c>
      <c r="F11" s="67">
        <f>B3</f>
        <v>42613</v>
      </c>
      <c r="G11" s="44" t="s">
        <v>9</v>
      </c>
      <c r="H11" s="44" t="s">
        <v>10</v>
      </c>
      <c r="J11" s="71"/>
    </row>
    <row r="12" spans="2:14" s="70" customFormat="1" ht="17.25">
      <c r="B12" s="153" t="s">
        <v>0</v>
      </c>
      <c r="C12" s="153"/>
      <c r="D12" s="154"/>
      <c r="E12" s="72">
        <f>July!F12</f>
        <v>1578129</v>
      </c>
      <c r="F12" s="78">
        <v>1456699</v>
      </c>
      <c r="G12" s="11">
        <f>F12-E12</f>
        <v>-121430</v>
      </c>
      <c r="H12" s="58">
        <f t="shared" ref="H12:H18" si="0">F12/E12-1</f>
        <v>-7.6945547543958659E-2</v>
      </c>
      <c r="I12" s="79"/>
      <c r="J12" s="80"/>
    </row>
    <row r="13" spans="2:14" s="70" customFormat="1" ht="17.25">
      <c r="B13" s="147" t="s">
        <v>1</v>
      </c>
      <c r="C13" s="147"/>
      <c r="D13" s="148"/>
      <c r="E13" s="72">
        <f>July!F13</f>
        <v>33580</v>
      </c>
      <c r="F13" s="78">
        <v>31859</v>
      </c>
      <c r="G13" s="11">
        <f t="shared" ref="G13:G18" si="1">F13-E13</f>
        <v>-1721</v>
      </c>
      <c r="H13" s="58">
        <f t="shared" si="0"/>
        <v>-5.1250744490768274E-2</v>
      </c>
      <c r="I13" s="79"/>
      <c r="J13" s="80"/>
    </row>
    <row r="14" spans="2:14" s="70" customFormat="1" ht="17.25">
      <c r="B14" s="147" t="s">
        <v>48</v>
      </c>
      <c r="C14" s="147"/>
      <c r="D14" s="148"/>
      <c r="E14" s="72">
        <f>July!F14</f>
        <v>15262</v>
      </c>
      <c r="F14" s="78">
        <v>13766</v>
      </c>
      <c r="G14" s="11">
        <f t="shared" si="1"/>
        <v>-1496</v>
      </c>
      <c r="H14" s="58">
        <f t="shared" si="0"/>
        <v>-9.8021229196697646E-2</v>
      </c>
      <c r="I14" s="79"/>
      <c r="J14" s="80"/>
    </row>
    <row r="15" spans="2:14" s="70" customFormat="1" ht="17.25">
      <c r="B15" s="149" t="s">
        <v>49</v>
      </c>
      <c r="C15" s="149"/>
      <c r="D15" s="150"/>
      <c r="E15" s="72">
        <f>July!F15</f>
        <v>7030</v>
      </c>
      <c r="F15" s="78">
        <v>5890</v>
      </c>
      <c r="G15" s="11">
        <f t="shared" si="1"/>
        <v>-1140</v>
      </c>
      <c r="H15" s="58">
        <f t="shared" si="0"/>
        <v>-0.16216216216216217</v>
      </c>
      <c r="I15" s="79"/>
      <c r="J15" s="80"/>
    </row>
    <row r="16" spans="2:14" s="70" customFormat="1" ht="17.25">
      <c r="B16" s="151" t="s">
        <v>50</v>
      </c>
      <c r="C16" s="151"/>
      <c r="D16" s="152"/>
      <c r="E16" s="72">
        <f>July!F16</f>
        <v>8232</v>
      </c>
      <c r="F16" s="78">
        <v>7876</v>
      </c>
      <c r="G16" s="11">
        <f t="shared" si="1"/>
        <v>-356</v>
      </c>
      <c r="H16" s="58">
        <f t="shared" si="0"/>
        <v>-4.3245869776482038E-2</v>
      </c>
      <c r="I16" s="79"/>
      <c r="J16" s="80"/>
    </row>
    <row r="17" spans="2:10" s="70" customFormat="1" ht="18" customHeight="1" thickBot="1">
      <c r="B17" s="145" t="s">
        <v>2</v>
      </c>
      <c r="C17" s="145"/>
      <c r="D17" s="146"/>
      <c r="E17" s="72">
        <f>July!F17</f>
        <v>19136</v>
      </c>
      <c r="F17" s="78">
        <v>20000</v>
      </c>
      <c r="G17" s="11">
        <f t="shared" si="1"/>
        <v>864</v>
      </c>
      <c r="H17" s="58">
        <f t="shared" si="0"/>
        <v>4.5150501672240884E-2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f>July!F18</f>
        <v>1646107</v>
      </c>
      <c r="F18" s="66">
        <v>1522324</v>
      </c>
      <c r="G18" s="66">
        <f t="shared" si="1"/>
        <v>-123783</v>
      </c>
      <c r="H18" s="63">
        <f t="shared" si="0"/>
        <v>-7.5197420337803078E-2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35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57" t="s">
        <v>17</v>
      </c>
      <c r="C22" s="157"/>
      <c r="D22" s="158"/>
      <c r="E22" s="67">
        <f>EDATE(B3,-1)</f>
        <v>42582</v>
      </c>
      <c r="F22" s="67">
        <f>F11</f>
        <v>42613</v>
      </c>
      <c r="G22" s="44" t="s">
        <v>9</v>
      </c>
      <c r="H22" s="44" t="s">
        <v>10</v>
      </c>
      <c r="J22" s="71"/>
    </row>
    <row r="23" spans="2:10" s="70" customFormat="1" ht="17.25">
      <c r="B23" s="153" t="s">
        <v>0</v>
      </c>
      <c r="C23" s="153"/>
      <c r="D23" s="154"/>
      <c r="E23" s="72">
        <f>July!F23</f>
        <v>1033667</v>
      </c>
      <c r="F23" s="78">
        <v>1040684</v>
      </c>
      <c r="G23" s="11">
        <f>F23-E23</f>
        <v>7017</v>
      </c>
      <c r="H23" s="58">
        <f>F23/E23-1</f>
        <v>6.7884531478705767E-3</v>
      </c>
      <c r="I23" s="80"/>
    </row>
    <row r="24" spans="2:10" s="70" customFormat="1" ht="17.25">
      <c r="B24" s="147" t="s">
        <v>1</v>
      </c>
      <c r="C24" s="147"/>
      <c r="D24" s="148"/>
      <c r="E24" s="72">
        <f>July!F24</f>
        <v>19019</v>
      </c>
      <c r="F24" s="78">
        <v>19083</v>
      </c>
      <c r="G24" s="11">
        <f t="shared" ref="G24:G29" si="2">F24-E24</f>
        <v>64</v>
      </c>
      <c r="H24" s="58">
        <f t="shared" ref="H24:H29" si="3">F24/E24-1</f>
        <v>3.3650559966349469E-3</v>
      </c>
      <c r="I24" s="80"/>
    </row>
    <row r="25" spans="2:10" s="70" customFormat="1" ht="17.25">
      <c r="B25" s="147" t="s">
        <v>48</v>
      </c>
      <c r="C25" s="147"/>
      <c r="D25" s="148"/>
      <c r="E25" s="72">
        <f>July!F25</f>
        <v>8797</v>
      </c>
      <c r="F25" s="78">
        <v>8850</v>
      </c>
      <c r="G25" s="11">
        <f t="shared" si="2"/>
        <v>53</v>
      </c>
      <c r="H25" s="58">
        <f t="shared" si="3"/>
        <v>6.0247811754006175E-3</v>
      </c>
      <c r="I25" s="80"/>
    </row>
    <row r="26" spans="2:10" s="70" customFormat="1" ht="17.25">
      <c r="B26" s="149" t="s">
        <v>49</v>
      </c>
      <c r="C26" s="149"/>
      <c r="D26" s="150"/>
      <c r="E26" s="72">
        <f>July!F26</f>
        <v>5304</v>
      </c>
      <c r="F26" s="78">
        <v>5398</v>
      </c>
      <c r="G26" s="11">
        <f t="shared" si="2"/>
        <v>94</v>
      </c>
      <c r="H26" s="58">
        <f t="shared" si="3"/>
        <v>1.7722473604826483E-2</v>
      </c>
      <c r="I26" s="80"/>
    </row>
    <row r="27" spans="2:10" s="70" customFormat="1" ht="17.25">
      <c r="B27" s="151" t="s">
        <v>50</v>
      </c>
      <c r="C27" s="151"/>
      <c r="D27" s="152"/>
      <c r="E27" s="72">
        <f>July!F27</f>
        <v>3493</v>
      </c>
      <c r="F27" s="78">
        <v>3452</v>
      </c>
      <c r="G27" s="11">
        <f t="shared" si="2"/>
        <v>-41</v>
      </c>
      <c r="H27" s="58">
        <f t="shared" si="3"/>
        <v>-1.1737761236759181E-2</v>
      </c>
      <c r="I27" s="80"/>
    </row>
    <row r="28" spans="2:10" s="70" customFormat="1" ht="18" customHeight="1" thickBot="1">
      <c r="B28" s="145" t="s">
        <v>2</v>
      </c>
      <c r="C28" s="145"/>
      <c r="D28" s="146"/>
      <c r="E28" s="72">
        <f>July!F28</f>
        <v>1620</v>
      </c>
      <c r="F28" s="78">
        <v>2017</v>
      </c>
      <c r="G28" s="11">
        <f t="shared" si="2"/>
        <v>397</v>
      </c>
      <c r="H28" s="58">
        <f t="shared" si="3"/>
        <v>0.2450617283950618</v>
      </c>
      <c r="I28" s="80"/>
    </row>
    <row r="29" spans="2:10" s="64" customFormat="1" ht="18" thickBot="1">
      <c r="B29" s="59" t="s">
        <v>3</v>
      </c>
      <c r="C29" s="59"/>
      <c r="D29" s="60"/>
      <c r="E29" s="66">
        <f>July!F29</f>
        <v>1063103</v>
      </c>
      <c r="F29" s="66">
        <v>1070634</v>
      </c>
      <c r="G29" s="66">
        <f t="shared" si="2"/>
        <v>7531</v>
      </c>
      <c r="H29" s="63">
        <f t="shared" si="3"/>
        <v>7.0839796332058391E-3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15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4" t="s">
        <v>17</v>
      </c>
      <c r="C33" s="124"/>
      <c r="D33" s="125"/>
      <c r="E33" s="67">
        <f>EDATE(B3,-1)</f>
        <v>42582</v>
      </c>
      <c r="F33" s="67">
        <f>F11</f>
        <v>42613</v>
      </c>
      <c r="G33" s="16" t="s">
        <v>9</v>
      </c>
      <c r="H33" s="16" t="s">
        <v>10</v>
      </c>
    </row>
    <row r="34" spans="2:9" ht="17.25">
      <c r="B34" s="153" t="s">
        <v>0</v>
      </c>
      <c r="C34" s="153"/>
      <c r="D34" s="154"/>
      <c r="E34" s="72">
        <f>July!F34</f>
        <v>72824</v>
      </c>
      <c r="F34" s="72">
        <v>74793</v>
      </c>
      <c r="G34" s="11">
        <f t="shared" ref="G34:G40" si="4">F34-E34</f>
        <v>1969</v>
      </c>
      <c r="H34" s="58">
        <f t="shared" ref="H34:H40" si="5">F34/E34-1</f>
        <v>2.7037789739646323E-2</v>
      </c>
      <c r="I34" s="57"/>
    </row>
    <row r="35" spans="2:9" ht="17.25">
      <c r="B35" s="147" t="s">
        <v>1</v>
      </c>
      <c r="C35" s="147"/>
      <c r="D35" s="148"/>
      <c r="E35" s="72">
        <f>July!F35</f>
        <v>1031</v>
      </c>
      <c r="F35" s="72">
        <v>1084</v>
      </c>
      <c r="G35" s="11">
        <f t="shared" si="4"/>
        <v>53</v>
      </c>
      <c r="H35" s="58">
        <f t="shared" si="5"/>
        <v>5.1406401551891356E-2</v>
      </c>
      <c r="I35" s="57"/>
    </row>
    <row r="36" spans="2:9" ht="17.25">
      <c r="B36" s="147" t="s">
        <v>48</v>
      </c>
      <c r="C36" s="147"/>
      <c r="D36" s="148"/>
      <c r="E36" s="72">
        <f>July!F36</f>
        <v>622</v>
      </c>
      <c r="F36" s="72">
        <v>623</v>
      </c>
      <c r="G36" s="11">
        <f t="shared" si="4"/>
        <v>1</v>
      </c>
      <c r="H36" s="58">
        <f t="shared" si="5"/>
        <v>1.607717041800738E-3</v>
      </c>
      <c r="I36" s="57"/>
    </row>
    <row r="37" spans="2:9" ht="17.25">
      <c r="B37" s="149" t="s">
        <v>49</v>
      </c>
      <c r="C37" s="149"/>
      <c r="D37" s="150"/>
      <c r="E37" s="72">
        <f>July!F37</f>
        <v>324</v>
      </c>
      <c r="F37" s="72">
        <v>322</v>
      </c>
      <c r="G37" s="11">
        <f t="shared" si="4"/>
        <v>-2</v>
      </c>
      <c r="H37" s="58">
        <f t="shared" si="5"/>
        <v>-6.1728395061728669E-3</v>
      </c>
      <c r="I37" s="57"/>
    </row>
    <row r="38" spans="2:9" ht="17.25">
      <c r="B38" s="151" t="s">
        <v>50</v>
      </c>
      <c r="C38" s="151"/>
      <c r="D38" s="152"/>
      <c r="E38" s="72">
        <f>July!F38</f>
        <v>298</v>
      </c>
      <c r="F38" s="72">
        <v>301</v>
      </c>
      <c r="G38" s="11">
        <f t="shared" si="4"/>
        <v>3</v>
      </c>
      <c r="H38" s="58">
        <f t="shared" si="5"/>
        <v>1.0067114093959662E-2</v>
      </c>
      <c r="I38" s="57"/>
    </row>
    <row r="39" spans="2:9" ht="18" customHeight="1" thickBot="1">
      <c r="B39" s="145" t="s">
        <v>2</v>
      </c>
      <c r="C39" s="145"/>
      <c r="D39" s="146"/>
      <c r="E39" s="72">
        <f>July!F39</f>
        <v>712</v>
      </c>
      <c r="F39" s="72">
        <v>1068</v>
      </c>
      <c r="G39" s="11">
        <f t="shared" si="4"/>
        <v>356</v>
      </c>
      <c r="H39" s="58">
        <f t="shared" si="5"/>
        <v>0.5</v>
      </c>
      <c r="I39" s="57"/>
    </row>
    <row r="40" spans="2:9" s="64" customFormat="1" ht="18" thickBot="1">
      <c r="B40" s="59" t="s">
        <v>3</v>
      </c>
      <c r="C40" s="59"/>
      <c r="D40" s="60"/>
      <c r="E40" s="66">
        <f>July!F40</f>
        <v>75189</v>
      </c>
      <c r="F40" s="66">
        <v>77568</v>
      </c>
      <c r="G40" s="66">
        <f t="shared" si="4"/>
        <v>2379</v>
      </c>
      <c r="H40" s="63">
        <f t="shared" si="5"/>
        <v>3.1640266528348615E-2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16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36</v>
      </c>
      <c r="C48" s="23"/>
      <c r="D48" s="23"/>
      <c r="E48" s="23"/>
      <c r="F48" s="23"/>
      <c r="G48" s="23"/>
      <c r="H48" s="128" t="s">
        <v>12</v>
      </c>
      <c r="I48" s="128"/>
    </row>
    <row r="49" spans="2:9" ht="15.75" thickBot="1">
      <c r="B49" s="124" t="s">
        <v>17</v>
      </c>
      <c r="C49" s="124"/>
      <c r="D49" s="125"/>
      <c r="E49" s="67">
        <v>40908</v>
      </c>
      <c r="F49" s="67">
        <v>41274</v>
      </c>
      <c r="G49" s="67">
        <v>41639</v>
      </c>
      <c r="H49" s="67">
        <v>42004</v>
      </c>
      <c r="I49" s="67">
        <v>42369</v>
      </c>
    </row>
    <row r="50" spans="2:9" ht="17.25">
      <c r="B50" s="129" t="s">
        <v>0</v>
      </c>
      <c r="C50" s="129"/>
      <c r="D50" s="130"/>
      <c r="E50" s="74">
        <v>772175</v>
      </c>
      <c r="F50" s="74">
        <v>805549</v>
      </c>
      <c r="G50" s="74">
        <v>881844</v>
      </c>
      <c r="H50" s="74">
        <v>944559</v>
      </c>
      <c r="I50" s="74">
        <v>1006751</v>
      </c>
    </row>
    <row r="51" spans="2:9" ht="17.25">
      <c r="B51" s="131" t="s">
        <v>1</v>
      </c>
      <c r="C51" s="131"/>
      <c r="D51" s="132"/>
      <c r="E51" s="75">
        <v>16850</v>
      </c>
      <c r="F51" s="75">
        <v>17821</v>
      </c>
      <c r="G51" s="75">
        <v>19539</v>
      </c>
      <c r="H51" s="75">
        <v>20178</v>
      </c>
      <c r="I51" s="75">
        <v>20753</v>
      </c>
    </row>
    <row r="52" spans="2:9" ht="17.25">
      <c r="B52" s="133" t="s">
        <v>48</v>
      </c>
      <c r="C52" s="133"/>
      <c r="D52" s="134"/>
      <c r="E52" s="77">
        <v>5058</v>
      </c>
      <c r="F52" s="77">
        <v>5876</v>
      </c>
      <c r="G52" s="77">
        <v>6957</v>
      </c>
      <c r="H52" s="77">
        <v>7486</v>
      </c>
      <c r="I52" s="77">
        <v>8729</v>
      </c>
    </row>
    <row r="53" spans="2:9" ht="18" thickBot="1">
      <c r="B53" s="135" t="s">
        <v>2</v>
      </c>
      <c r="C53" s="135"/>
      <c r="D53" s="136"/>
      <c r="E53" s="73">
        <v>5242</v>
      </c>
      <c r="F53" s="73">
        <v>5261</v>
      </c>
      <c r="G53" s="73">
        <v>5182</v>
      </c>
      <c r="H53" s="73">
        <v>5142</v>
      </c>
      <c r="I53" s="73">
        <v>3836</v>
      </c>
    </row>
    <row r="54" spans="2:9" s="65" customFormat="1" ht="18" thickBot="1">
      <c r="B54" s="137" t="s">
        <v>3</v>
      </c>
      <c r="C54" s="137"/>
      <c r="D54" s="138"/>
      <c r="E54" s="76">
        <v>799325</v>
      </c>
      <c r="F54" s="76">
        <v>834507</v>
      </c>
      <c r="G54" s="76">
        <v>913522</v>
      </c>
      <c r="H54" s="76">
        <v>977365</v>
      </c>
      <c r="I54" s="76">
        <v>1040069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37</v>
      </c>
      <c r="C82" s="23"/>
      <c r="D82" s="23"/>
      <c r="E82" s="23"/>
      <c r="F82" s="23"/>
      <c r="G82" s="23"/>
      <c r="H82" s="100" t="s">
        <v>11</v>
      </c>
      <c r="I82"/>
      <c r="J82"/>
      <c r="K82"/>
    </row>
    <row r="83" spans="2:11" ht="15.75" thickBot="1">
      <c r="B83" s="31" t="s">
        <v>17</v>
      </c>
      <c r="C83" s="67">
        <f>EDATE(D83,-1)</f>
        <v>42459</v>
      </c>
      <c r="D83" s="67">
        <f>EDATE(E83,-1)</f>
        <v>42490</v>
      </c>
      <c r="E83" s="67">
        <f>EDATE(F83,-1)</f>
        <v>42520</v>
      </c>
      <c r="F83" s="67">
        <f>EDATE(G83,-1)</f>
        <v>42551</v>
      </c>
      <c r="G83" s="67">
        <f>EDATE(H83,-1)</f>
        <v>42582</v>
      </c>
      <c r="H83" s="67">
        <f>EDATE(E11,1)</f>
        <v>42613</v>
      </c>
      <c r="I83"/>
      <c r="J83"/>
    </row>
    <row r="84" spans="2:11" ht="16.5" customHeight="1">
      <c r="B84" s="24" t="s">
        <v>0</v>
      </c>
      <c r="C84" s="74">
        <v>1008379</v>
      </c>
      <c r="D84" s="74">
        <v>1014752</v>
      </c>
      <c r="E84" s="74">
        <v>1018892</v>
      </c>
      <c r="F84" s="74">
        <v>1028991</v>
      </c>
      <c r="G84" s="74">
        <v>1033667</v>
      </c>
      <c r="H84" s="74">
        <v>1040684</v>
      </c>
    </row>
    <row r="85" spans="2:11" ht="16.5" customHeight="1">
      <c r="B85" s="25" t="s">
        <v>1</v>
      </c>
      <c r="C85" s="75">
        <v>19035</v>
      </c>
      <c r="D85" s="75">
        <v>19023</v>
      </c>
      <c r="E85" s="75">
        <v>19023</v>
      </c>
      <c r="F85" s="75">
        <v>19118</v>
      </c>
      <c r="G85" s="75">
        <v>19019</v>
      </c>
      <c r="H85" s="75">
        <v>19083</v>
      </c>
    </row>
    <row r="86" spans="2:11" ht="16.5" customHeight="1">
      <c r="B86" s="26" t="s">
        <v>48</v>
      </c>
      <c r="C86" s="77">
        <v>8480</v>
      </c>
      <c r="D86" s="77">
        <v>8800</v>
      </c>
      <c r="E86" s="77">
        <v>8928</v>
      </c>
      <c r="F86" s="77">
        <v>9251</v>
      </c>
      <c r="G86" s="77">
        <v>8797</v>
      </c>
      <c r="H86" s="77">
        <v>8850</v>
      </c>
    </row>
    <row r="87" spans="2:11" ht="16.5" customHeight="1" thickBot="1">
      <c r="B87" s="27" t="s">
        <v>2</v>
      </c>
      <c r="C87" s="73">
        <v>2548</v>
      </c>
      <c r="D87" s="73">
        <v>1422</v>
      </c>
      <c r="E87" s="73">
        <v>1400</v>
      </c>
      <c r="F87" s="73">
        <v>1412</v>
      </c>
      <c r="G87" s="73">
        <v>1620</v>
      </c>
      <c r="H87" s="73">
        <v>2017</v>
      </c>
    </row>
    <row r="88" spans="2:11" s="65" customFormat="1" ht="18" thickBot="1">
      <c r="B88" s="101" t="s">
        <v>3</v>
      </c>
      <c r="C88" s="76">
        <v>1038442</v>
      </c>
      <c r="D88" s="76">
        <v>1043997</v>
      </c>
      <c r="E88" s="76">
        <v>1048243</v>
      </c>
      <c r="F88" s="76">
        <v>1058772</v>
      </c>
      <c r="G88" s="76">
        <v>1063103</v>
      </c>
      <c r="H88" s="76">
        <v>1070634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22</v>
      </c>
      <c r="C124" s="83">
        <f>B3</f>
        <v>42613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5" t="s">
        <v>23</v>
      </c>
      <c r="C128" s="139"/>
      <c r="D128" s="139"/>
      <c r="E128" s="139"/>
      <c r="F128" s="139"/>
      <c r="G128" s="140" t="s">
        <v>4</v>
      </c>
      <c r="H128" s="141"/>
    </row>
    <row r="129" spans="2:10" ht="18" customHeight="1" thickBot="1">
      <c r="B129" s="115" t="s">
        <v>21</v>
      </c>
      <c r="C129" s="142"/>
      <c r="D129" s="142"/>
      <c r="E129" s="142"/>
      <c r="F129" s="142"/>
      <c r="G129" s="143">
        <v>350</v>
      </c>
      <c r="H129" s="144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20</v>
      </c>
      <c r="C133" s="32"/>
      <c r="D133" s="32"/>
      <c r="E133" s="33"/>
      <c r="F133" s="85">
        <f>C6</f>
        <v>42613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24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25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26" t="s">
        <v>18</v>
      </c>
      <c r="C138" s="126"/>
      <c r="D138" s="126"/>
      <c r="E138" s="126"/>
      <c r="F138" s="127"/>
      <c r="G138" s="118" t="s">
        <v>5</v>
      </c>
      <c r="H138" s="119"/>
      <c r="I138"/>
    </row>
    <row r="139" spans="2:10" ht="17.25" customHeight="1">
      <c r="B139" s="120" t="s">
        <v>40</v>
      </c>
      <c r="C139" s="120" t="s">
        <v>40</v>
      </c>
      <c r="D139" s="120" t="s">
        <v>40</v>
      </c>
      <c r="E139" s="120" t="s">
        <v>40</v>
      </c>
      <c r="F139" s="121" t="s">
        <v>40</v>
      </c>
      <c r="G139" s="122">
        <v>239833</v>
      </c>
      <c r="H139" s="123">
        <v>239833</v>
      </c>
      <c r="I139" s="46"/>
      <c r="J139" s="49"/>
    </row>
    <row r="140" spans="2:10" ht="13.5" customHeight="1">
      <c r="B140" s="110" t="s">
        <v>28</v>
      </c>
      <c r="C140" s="110" t="s">
        <v>28</v>
      </c>
      <c r="D140" s="110" t="s">
        <v>28</v>
      </c>
      <c r="E140" s="110" t="s">
        <v>28</v>
      </c>
      <c r="F140" s="111" t="s">
        <v>28</v>
      </c>
      <c r="G140" s="112">
        <v>185374</v>
      </c>
      <c r="H140" s="113">
        <v>185374</v>
      </c>
      <c r="I140" s="46"/>
      <c r="J140" s="49"/>
    </row>
    <row r="141" spans="2:10" ht="17.25" customHeight="1">
      <c r="B141" s="110" t="s">
        <v>29</v>
      </c>
      <c r="C141" s="110" t="s">
        <v>29</v>
      </c>
      <c r="D141" s="110" t="s">
        <v>29</v>
      </c>
      <c r="E141" s="110" t="s">
        <v>29</v>
      </c>
      <c r="F141" s="111" t="s">
        <v>29</v>
      </c>
      <c r="G141" s="112">
        <v>156304</v>
      </c>
      <c r="H141" s="113">
        <v>156304</v>
      </c>
      <c r="I141" s="46"/>
      <c r="J141" s="49"/>
    </row>
    <row r="142" spans="2:10" ht="17.25" customHeight="1">
      <c r="B142" s="110" t="s">
        <v>41</v>
      </c>
      <c r="C142" s="110" t="s">
        <v>41</v>
      </c>
      <c r="D142" s="110" t="s">
        <v>41</v>
      </c>
      <c r="E142" s="110" t="s">
        <v>41</v>
      </c>
      <c r="F142" s="111" t="s">
        <v>41</v>
      </c>
      <c r="G142" s="112">
        <v>154223</v>
      </c>
      <c r="H142" s="113">
        <v>154223</v>
      </c>
      <c r="I142" s="46"/>
      <c r="J142" s="49"/>
    </row>
    <row r="143" spans="2:10" ht="17.25" customHeight="1">
      <c r="B143" s="110" t="s">
        <v>39</v>
      </c>
      <c r="C143" s="110" t="s">
        <v>39</v>
      </c>
      <c r="D143" s="110" t="s">
        <v>39</v>
      </c>
      <c r="E143" s="110" t="s">
        <v>39</v>
      </c>
      <c r="F143" s="111" t="s">
        <v>39</v>
      </c>
      <c r="G143" s="112">
        <v>84138</v>
      </c>
      <c r="H143" s="113">
        <v>84138</v>
      </c>
      <c r="I143" s="46"/>
      <c r="J143" s="49"/>
    </row>
    <row r="144" spans="2:10" ht="13.5" customHeight="1">
      <c r="B144" s="110" t="s">
        <v>42</v>
      </c>
      <c r="C144" s="110" t="s">
        <v>42</v>
      </c>
      <c r="D144" s="110" t="s">
        <v>42</v>
      </c>
      <c r="E144" s="110" t="s">
        <v>42</v>
      </c>
      <c r="F144" s="111" t="s">
        <v>42</v>
      </c>
      <c r="G144" s="112">
        <v>61312</v>
      </c>
      <c r="H144" s="113">
        <v>61312</v>
      </c>
      <c r="I144" s="50"/>
      <c r="J144" s="49"/>
    </row>
    <row r="145" spans="2:13" ht="17.25" customHeight="1">
      <c r="B145" s="110" t="s">
        <v>30</v>
      </c>
      <c r="C145" s="110" t="s">
        <v>30</v>
      </c>
      <c r="D145" s="110" t="s">
        <v>30</v>
      </c>
      <c r="E145" s="110" t="s">
        <v>30</v>
      </c>
      <c r="F145" s="111" t="s">
        <v>30</v>
      </c>
      <c r="G145" s="112">
        <v>48909</v>
      </c>
      <c r="H145" s="113">
        <v>48909</v>
      </c>
      <c r="I145" s="46"/>
      <c r="J145" s="49"/>
    </row>
    <row r="146" spans="2:13" ht="17.25" customHeight="1">
      <c r="B146" s="110" t="s">
        <v>45</v>
      </c>
      <c r="C146" s="110" t="s">
        <v>45</v>
      </c>
      <c r="D146" s="110" t="s">
        <v>45</v>
      </c>
      <c r="E146" s="110" t="s">
        <v>45</v>
      </c>
      <c r="F146" s="111" t="s">
        <v>45</v>
      </c>
      <c r="G146" s="112">
        <v>32911</v>
      </c>
      <c r="H146" s="113">
        <v>32911</v>
      </c>
      <c r="I146" s="46"/>
      <c r="J146" s="49"/>
    </row>
    <row r="147" spans="2:13" ht="17.25" customHeight="1">
      <c r="B147" s="110" t="s">
        <v>31</v>
      </c>
      <c r="C147" s="110" t="s">
        <v>31</v>
      </c>
      <c r="D147" s="110" t="s">
        <v>31</v>
      </c>
      <c r="E147" s="110" t="s">
        <v>31</v>
      </c>
      <c r="F147" s="111" t="s">
        <v>31</v>
      </c>
      <c r="G147" s="112">
        <v>21432</v>
      </c>
      <c r="H147" s="113">
        <v>21432</v>
      </c>
      <c r="I147" s="46"/>
      <c r="J147" s="49"/>
      <c r="L147"/>
    </row>
    <row r="148" spans="2:13" ht="18" customHeight="1" thickBot="1">
      <c r="B148" s="114" t="s">
        <v>32</v>
      </c>
      <c r="C148" s="114" t="s">
        <v>32</v>
      </c>
      <c r="D148" s="114" t="s">
        <v>32</v>
      </c>
      <c r="E148" s="114" t="s">
        <v>32</v>
      </c>
      <c r="F148" s="115" t="s">
        <v>32</v>
      </c>
      <c r="G148" s="116">
        <v>19859</v>
      </c>
      <c r="H148" s="117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26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4" t="s">
        <v>18</v>
      </c>
      <c r="C153" s="124"/>
      <c r="D153" s="124"/>
      <c r="E153" s="124"/>
      <c r="F153" s="125"/>
      <c r="G153" s="119" t="s">
        <v>5</v>
      </c>
      <c r="H153" s="119"/>
      <c r="I153" s="51"/>
      <c r="J153" s="51"/>
      <c r="K153"/>
      <c r="L153"/>
      <c r="M153"/>
    </row>
    <row r="154" spans="2:13" ht="17.25" customHeight="1">
      <c r="B154" s="120" t="s">
        <v>28</v>
      </c>
      <c r="C154" s="120" t="s">
        <v>28</v>
      </c>
      <c r="D154" s="120" t="s">
        <v>28</v>
      </c>
      <c r="E154" s="120" t="s">
        <v>28</v>
      </c>
      <c r="F154" s="121" t="s">
        <v>28</v>
      </c>
      <c r="G154" s="122">
        <v>12979</v>
      </c>
      <c r="H154" s="123">
        <v>12979</v>
      </c>
      <c r="I154" s="52"/>
      <c r="J154" s="49"/>
      <c r="K154" s="48"/>
      <c r="L154"/>
      <c r="M154"/>
    </row>
    <row r="155" spans="2:13" ht="17.25" customHeight="1">
      <c r="B155" s="110" t="s">
        <v>29</v>
      </c>
      <c r="C155" s="110" t="s">
        <v>29</v>
      </c>
      <c r="D155" s="110" t="s">
        <v>29</v>
      </c>
      <c r="E155" s="110" t="s">
        <v>29</v>
      </c>
      <c r="F155" s="111" t="s">
        <v>29</v>
      </c>
      <c r="G155" s="112">
        <v>11627</v>
      </c>
      <c r="H155" s="113">
        <v>11627</v>
      </c>
      <c r="I155" s="52"/>
      <c r="J155" s="49"/>
      <c r="K155" s="48"/>
      <c r="L155"/>
      <c r="M155"/>
    </row>
    <row r="156" spans="2:13" ht="17.25" customHeight="1">
      <c r="B156" s="110" t="s">
        <v>41</v>
      </c>
      <c r="C156" s="110" t="s">
        <v>41</v>
      </c>
      <c r="D156" s="110" t="s">
        <v>41</v>
      </c>
      <c r="E156" s="110" t="s">
        <v>41</v>
      </c>
      <c r="F156" s="111" t="s">
        <v>41</v>
      </c>
      <c r="G156" s="112">
        <v>11602</v>
      </c>
      <c r="H156" s="113">
        <v>11602</v>
      </c>
      <c r="I156" s="52"/>
      <c r="J156" s="49"/>
      <c r="K156" s="48"/>
      <c r="L156"/>
      <c r="M156"/>
    </row>
    <row r="157" spans="2:13" ht="17.25">
      <c r="B157" s="110" t="s">
        <v>40</v>
      </c>
      <c r="C157" s="110" t="s">
        <v>40</v>
      </c>
      <c r="D157" s="110" t="s">
        <v>40</v>
      </c>
      <c r="E157" s="110" t="s">
        <v>40</v>
      </c>
      <c r="F157" s="111" t="s">
        <v>40</v>
      </c>
      <c r="G157" s="112">
        <v>10333</v>
      </c>
      <c r="H157" s="113">
        <v>10333</v>
      </c>
      <c r="I157" s="52"/>
      <c r="J157" s="49"/>
      <c r="K157" s="48"/>
      <c r="L157"/>
      <c r="M157"/>
    </row>
    <row r="158" spans="2:13" ht="17.25" customHeight="1">
      <c r="B158" s="110" t="s">
        <v>39</v>
      </c>
      <c r="C158" s="110" t="s">
        <v>39</v>
      </c>
      <c r="D158" s="110" t="s">
        <v>39</v>
      </c>
      <c r="E158" s="110" t="s">
        <v>39</v>
      </c>
      <c r="F158" s="111" t="s">
        <v>39</v>
      </c>
      <c r="G158" s="112">
        <v>9289</v>
      </c>
      <c r="H158" s="113">
        <v>9289</v>
      </c>
      <c r="I158" s="52"/>
      <c r="J158" s="49"/>
      <c r="K158" s="48"/>
      <c r="L158"/>
      <c r="M158"/>
    </row>
    <row r="159" spans="2:13" ht="17.25" customHeight="1">
      <c r="B159" s="110" t="s">
        <v>42</v>
      </c>
      <c r="C159" s="110" t="s">
        <v>42</v>
      </c>
      <c r="D159" s="110" t="s">
        <v>42</v>
      </c>
      <c r="E159" s="110" t="s">
        <v>42</v>
      </c>
      <c r="F159" s="111" t="s">
        <v>42</v>
      </c>
      <c r="G159" s="112">
        <v>4045</v>
      </c>
      <c r="H159" s="113">
        <v>4045</v>
      </c>
      <c r="I159" s="53"/>
      <c r="J159" s="49"/>
      <c r="K159" s="48"/>
      <c r="L159"/>
      <c r="M159"/>
    </row>
    <row r="160" spans="2:13" ht="17.25" customHeight="1">
      <c r="B160" s="110" t="s">
        <v>30</v>
      </c>
      <c r="C160" s="110" t="s">
        <v>30</v>
      </c>
      <c r="D160" s="110" t="s">
        <v>30</v>
      </c>
      <c r="E160" s="110" t="s">
        <v>30</v>
      </c>
      <c r="F160" s="111" t="s">
        <v>30</v>
      </c>
      <c r="G160" s="112">
        <v>2776</v>
      </c>
      <c r="H160" s="113">
        <v>2776</v>
      </c>
      <c r="I160" s="52"/>
      <c r="J160" s="49"/>
      <c r="K160" s="48"/>
      <c r="L160"/>
      <c r="M160"/>
    </row>
    <row r="161" spans="2:13" ht="17.25" customHeight="1">
      <c r="B161" s="110" t="s">
        <v>43</v>
      </c>
      <c r="C161" s="110" t="s">
        <v>43</v>
      </c>
      <c r="D161" s="110" t="s">
        <v>43</v>
      </c>
      <c r="E161" s="110" t="s">
        <v>43</v>
      </c>
      <c r="F161" s="111" t="s">
        <v>43</v>
      </c>
      <c r="G161" s="112">
        <v>2195</v>
      </c>
      <c r="H161" s="113">
        <v>2195</v>
      </c>
      <c r="I161" s="52"/>
      <c r="J161" s="49"/>
      <c r="K161" s="48"/>
      <c r="L161"/>
      <c r="M161"/>
    </row>
    <row r="162" spans="2:13" ht="17.25" customHeight="1">
      <c r="B162" s="110" t="s">
        <v>44</v>
      </c>
      <c r="C162" s="110" t="s">
        <v>44</v>
      </c>
      <c r="D162" s="110" t="s">
        <v>44</v>
      </c>
      <c r="E162" s="110" t="s">
        <v>44</v>
      </c>
      <c r="F162" s="111" t="s">
        <v>44</v>
      </c>
      <c r="G162" s="112">
        <v>1771</v>
      </c>
      <c r="H162" s="113">
        <v>1771</v>
      </c>
      <c r="I162" s="52"/>
      <c r="J162" s="49"/>
      <c r="K162" s="48"/>
      <c r="L162"/>
      <c r="M162"/>
    </row>
    <row r="163" spans="2:13" ht="18" customHeight="1" thickBot="1">
      <c r="B163" s="114" t="s">
        <v>31</v>
      </c>
      <c r="C163" s="114" t="s">
        <v>31</v>
      </c>
      <c r="D163" s="114" t="s">
        <v>31</v>
      </c>
      <c r="E163" s="114" t="s">
        <v>31</v>
      </c>
      <c r="F163" s="115" t="s">
        <v>31</v>
      </c>
      <c r="G163" s="116">
        <v>1384</v>
      </c>
      <c r="H163" s="117">
        <v>1384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5.75" customHeight="1" thickBot="1">
      <c r="B167" s="82" t="s">
        <v>27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24" t="s">
        <v>18</v>
      </c>
      <c r="C168" s="124"/>
      <c r="D168" s="124"/>
      <c r="E168" s="124"/>
      <c r="F168" s="125"/>
      <c r="G168" s="119" t="s">
        <v>8</v>
      </c>
      <c r="H168" s="119"/>
      <c r="I168" s="2"/>
      <c r="J168" s="2"/>
    </row>
    <row r="169" spans="2:13" ht="17.25" customHeight="1">
      <c r="B169" s="120" t="s">
        <v>29</v>
      </c>
      <c r="C169" s="120" t="s">
        <v>29</v>
      </c>
      <c r="D169" s="120" t="s">
        <v>29</v>
      </c>
      <c r="E169" s="120" t="s">
        <v>29</v>
      </c>
      <c r="F169" s="121" t="s">
        <v>29</v>
      </c>
      <c r="G169" s="122">
        <v>1436968590939.5701</v>
      </c>
      <c r="H169" s="123">
        <v>1436968590939.5701</v>
      </c>
      <c r="I169" s="54"/>
      <c r="J169" s="55"/>
    </row>
    <row r="170" spans="2:13" ht="17.25" customHeight="1">
      <c r="B170" s="110" t="s">
        <v>39</v>
      </c>
      <c r="C170" s="110" t="s">
        <v>39</v>
      </c>
      <c r="D170" s="110" t="s">
        <v>39</v>
      </c>
      <c r="E170" s="110" t="s">
        <v>39</v>
      </c>
      <c r="F170" s="111" t="s">
        <v>39</v>
      </c>
      <c r="G170" s="112">
        <v>1320967397566.1499</v>
      </c>
      <c r="H170" s="113">
        <v>1320967397566.1499</v>
      </c>
      <c r="I170" s="54"/>
      <c r="J170" s="55"/>
    </row>
    <row r="171" spans="2:13" ht="17.25" customHeight="1">
      <c r="B171" s="110" t="s">
        <v>38</v>
      </c>
      <c r="C171" s="110" t="s">
        <v>38</v>
      </c>
      <c r="D171" s="110" t="s">
        <v>38</v>
      </c>
      <c r="E171" s="110" t="s">
        <v>38</v>
      </c>
      <c r="F171" s="111" t="s">
        <v>38</v>
      </c>
      <c r="G171" s="112">
        <v>904323437987.96997</v>
      </c>
      <c r="H171" s="113">
        <v>904323437987.96997</v>
      </c>
      <c r="I171" s="54"/>
      <c r="J171" s="55"/>
    </row>
    <row r="172" spans="2:13" ht="17.25" customHeight="1">
      <c r="B172" s="110" t="s">
        <v>44</v>
      </c>
      <c r="C172" s="110" t="s">
        <v>44</v>
      </c>
      <c r="D172" s="110" t="s">
        <v>44</v>
      </c>
      <c r="E172" s="110" t="s">
        <v>44</v>
      </c>
      <c r="F172" s="111" t="s">
        <v>44</v>
      </c>
      <c r="G172" s="112">
        <v>515553059541.21002</v>
      </c>
      <c r="H172" s="113">
        <v>515553059541.21002</v>
      </c>
      <c r="I172" s="54"/>
      <c r="J172" s="55"/>
    </row>
    <row r="173" spans="2:13" ht="17.25" customHeight="1">
      <c r="B173" s="110" t="s">
        <v>51</v>
      </c>
      <c r="C173" s="110" t="s">
        <v>51</v>
      </c>
      <c r="D173" s="110" t="s">
        <v>51</v>
      </c>
      <c r="E173" s="110" t="s">
        <v>51</v>
      </c>
      <c r="F173" s="111" t="s">
        <v>51</v>
      </c>
      <c r="G173" s="112">
        <v>490302700894.10101</v>
      </c>
      <c r="H173" s="113">
        <v>490302700894.10101</v>
      </c>
      <c r="I173" s="56"/>
      <c r="J173" s="49"/>
    </row>
    <row r="174" spans="2:13" ht="17.25" customHeight="1">
      <c r="B174" s="110" t="s">
        <v>28</v>
      </c>
      <c r="C174" s="110" t="s">
        <v>28</v>
      </c>
      <c r="D174" s="110" t="s">
        <v>28</v>
      </c>
      <c r="E174" s="110" t="s">
        <v>28</v>
      </c>
      <c r="F174" s="111" t="s">
        <v>28</v>
      </c>
      <c r="G174" s="112">
        <v>438180365163.53998</v>
      </c>
      <c r="H174" s="113">
        <v>438180365163.53998</v>
      </c>
      <c r="I174" s="54"/>
      <c r="J174" s="55"/>
    </row>
    <row r="175" spans="2:13" ht="17.25" customHeight="1">
      <c r="B175" s="110" t="s">
        <v>46</v>
      </c>
      <c r="C175" s="110" t="s">
        <v>46</v>
      </c>
      <c r="D175" s="110" t="s">
        <v>46</v>
      </c>
      <c r="E175" s="110" t="s">
        <v>46</v>
      </c>
      <c r="F175" s="111" t="s">
        <v>46</v>
      </c>
      <c r="G175" s="112">
        <v>430101935734.22998</v>
      </c>
      <c r="H175" s="113">
        <v>430101935734.22998</v>
      </c>
      <c r="I175" s="54"/>
      <c r="J175" s="55"/>
    </row>
    <row r="176" spans="2:13" ht="17.25" customHeight="1">
      <c r="B176" s="110" t="s">
        <v>41</v>
      </c>
      <c r="C176" s="110" t="s">
        <v>41</v>
      </c>
      <c r="D176" s="110" t="s">
        <v>41</v>
      </c>
      <c r="E176" s="110" t="s">
        <v>41</v>
      </c>
      <c r="F176" s="111" t="s">
        <v>41</v>
      </c>
      <c r="G176" s="112">
        <v>387537005448.35999</v>
      </c>
      <c r="H176" s="113">
        <v>387537005448.35999</v>
      </c>
      <c r="I176" s="54"/>
      <c r="J176" s="55"/>
    </row>
    <row r="177" spans="2:10" ht="17.25" customHeight="1">
      <c r="B177" s="110" t="s">
        <v>33</v>
      </c>
      <c r="C177" s="110" t="s">
        <v>33</v>
      </c>
      <c r="D177" s="110" t="s">
        <v>33</v>
      </c>
      <c r="E177" s="110" t="s">
        <v>33</v>
      </c>
      <c r="F177" s="111" t="s">
        <v>33</v>
      </c>
      <c r="G177" s="112">
        <v>319599805909.28802</v>
      </c>
      <c r="H177" s="113">
        <v>319599805909.28802</v>
      </c>
      <c r="I177" s="54"/>
      <c r="J177" s="55"/>
    </row>
    <row r="178" spans="2:10" ht="18" customHeight="1" thickBot="1">
      <c r="B178" s="114" t="s">
        <v>54</v>
      </c>
      <c r="C178" s="114" t="s">
        <v>54</v>
      </c>
      <c r="D178" s="114" t="s">
        <v>54</v>
      </c>
      <c r="E178" s="114" t="s">
        <v>54</v>
      </c>
      <c r="F178" s="115" t="s">
        <v>54</v>
      </c>
      <c r="G178" s="116">
        <v>298076129406.89001</v>
      </c>
      <c r="H178" s="117">
        <v>298076129406.89001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G168:H168"/>
    <mergeCell ref="B169:F169"/>
    <mergeCell ref="G169:H169"/>
    <mergeCell ref="B170:F170"/>
    <mergeCell ref="G170:H170"/>
    <mergeCell ref="B168:F168"/>
    <mergeCell ref="B172:F172"/>
    <mergeCell ref="G172:H172"/>
    <mergeCell ref="B173:F173"/>
    <mergeCell ref="G173:H173"/>
    <mergeCell ref="B174:F174"/>
    <mergeCell ref="G174:H174"/>
    <mergeCell ref="B178:F178"/>
    <mergeCell ref="G178:H178"/>
    <mergeCell ref="B175:F175"/>
    <mergeCell ref="G175:H175"/>
    <mergeCell ref="B176:F176"/>
    <mergeCell ref="G176:H176"/>
    <mergeCell ref="B177:F177"/>
    <mergeCell ref="G177:H177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56673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56673"/>
      </mc:Fallback>
    </mc:AlternateContent>
  </oleObjec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5">
    <pageSetUpPr fitToPage="1"/>
  </sheetPr>
  <dimension ref="B2:N180"/>
  <sheetViews>
    <sheetView topLeftCell="A13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55" t="s">
        <v>14</v>
      </c>
      <c r="C2" s="155"/>
      <c r="D2" s="155"/>
      <c r="E2" s="155"/>
      <c r="F2" s="155"/>
      <c r="G2" s="155"/>
      <c r="H2" s="155"/>
    </row>
    <row r="3" spans="2:14" s="1" customFormat="1" ht="21" thickBot="1">
      <c r="B3" s="156">
        <v>42643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19</v>
      </c>
      <c r="C6" s="62">
        <f>B3</f>
        <v>42643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34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57" t="s">
        <v>17</v>
      </c>
      <c r="C11" s="157"/>
      <c r="D11" s="158"/>
      <c r="E11" s="67">
        <f>EDATE(B3,-1)</f>
        <v>42612</v>
      </c>
      <c r="F11" s="67">
        <f>B3</f>
        <v>42643</v>
      </c>
      <c r="G11" s="44" t="s">
        <v>9</v>
      </c>
      <c r="H11" s="44" t="s">
        <v>10</v>
      </c>
      <c r="J11" s="71"/>
    </row>
    <row r="12" spans="2:14" s="70" customFormat="1" ht="17.25">
      <c r="B12" s="153" t="s">
        <v>0</v>
      </c>
      <c r="C12" s="153"/>
      <c r="D12" s="154"/>
      <c r="E12" s="72">
        <f>August!F12</f>
        <v>1456699</v>
      </c>
      <c r="F12" s="78">
        <v>1401262</v>
      </c>
      <c r="G12" s="11">
        <f>F12-E12</f>
        <v>-55437</v>
      </c>
      <c r="H12" s="58">
        <f t="shared" ref="H12:H18" si="0">F12/E12-1</f>
        <v>-3.8056592336508821E-2</v>
      </c>
      <c r="I12" s="79"/>
      <c r="J12" s="80"/>
    </row>
    <row r="13" spans="2:14" s="70" customFormat="1" ht="17.25">
      <c r="B13" s="147" t="s">
        <v>1</v>
      </c>
      <c r="C13" s="147"/>
      <c r="D13" s="148"/>
      <c r="E13" s="72">
        <f>August!F13</f>
        <v>31859</v>
      </c>
      <c r="F13" s="78">
        <v>30895</v>
      </c>
      <c r="G13" s="11">
        <f t="shared" ref="G13:G18" si="1">F13-E13</f>
        <v>-964</v>
      </c>
      <c r="H13" s="58">
        <f t="shared" si="0"/>
        <v>-3.0258325747826387E-2</v>
      </c>
      <c r="I13" s="79"/>
      <c r="J13" s="80"/>
    </row>
    <row r="14" spans="2:14" s="70" customFormat="1" ht="17.25">
      <c r="B14" s="147" t="s">
        <v>48</v>
      </c>
      <c r="C14" s="147"/>
      <c r="D14" s="148"/>
      <c r="E14" s="72">
        <f>August!F14</f>
        <v>13766</v>
      </c>
      <c r="F14" s="78">
        <v>13958</v>
      </c>
      <c r="G14" s="11">
        <f t="shared" si="1"/>
        <v>192</v>
      </c>
      <c r="H14" s="58">
        <f t="shared" si="0"/>
        <v>1.3947406654075234E-2</v>
      </c>
      <c r="I14" s="79"/>
      <c r="J14" s="80"/>
    </row>
    <row r="15" spans="2:14" s="70" customFormat="1" ht="17.25">
      <c r="B15" s="149" t="s">
        <v>49</v>
      </c>
      <c r="C15" s="149"/>
      <c r="D15" s="150"/>
      <c r="E15" s="72">
        <f>August!F15</f>
        <v>5890</v>
      </c>
      <c r="F15" s="78">
        <v>6050</v>
      </c>
      <c r="G15" s="11">
        <f t="shared" si="1"/>
        <v>160</v>
      </c>
      <c r="H15" s="58">
        <f t="shared" si="0"/>
        <v>2.7164685908319219E-2</v>
      </c>
      <c r="I15" s="79"/>
      <c r="J15" s="80"/>
    </row>
    <row r="16" spans="2:14" s="70" customFormat="1" ht="17.25">
      <c r="B16" s="151" t="s">
        <v>50</v>
      </c>
      <c r="C16" s="151"/>
      <c r="D16" s="152"/>
      <c r="E16" s="72">
        <f>August!F16</f>
        <v>7876</v>
      </c>
      <c r="F16" s="78">
        <v>7908</v>
      </c>
      <c r="G16" s="11">
        <f t="shared" si="1"/>
        <v>32</v>
      </c>
      <c r="H16" s="58">
        <f t="shared" si="0"/>
        <v>4.0629761300152722E-3</v>
      </c>
      <c r="I16" s="79"/>
      <c r="J16" s="80"/>
    </row>
    <row r="17" spans="2:10" s="70" customFormat="1" ht="18" customHeight="1" thickBot="1">
      <c r="B17" s="145" t="s">
        <v>2</v>
      </c>
      <c r="C17" s="145"/>
      <c r="D17" s="146"/>
      <c r="E17" s="72">
        <f>August!F17</f>
        <v>20000</v>
      </c>
      <c r="F17" s="78">
        <v>22333</v>
      </c>
      <c r="G17" s="11">
        <f t="shared" si="1"/>
        <v>2333</v>
      </c>
      <c r="H17" s="58">
        <f t="shared" si="0"/>
        <v>0.11664999999999992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f>August!F18</f>
        <v>1522324</v>
      </c>
      <c r="F18" s="66">
        <v>1468448</v>
      </c>
      <c r="G18" s="66">
        <f t="shared" si="1"/>
        <v>-53876</v>
      </c>
      <c r="H18" s="63">
        <f t="shared" si="0"/>
        <v>-3.5390626436947681E-2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35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57" t="s">
        <v>17</v>
      </c>
      <c r="C22" s="157"/>
      <c r="D22" s="158"/>
      <c r="E22" s="67">
        <f>EDATE(B3,-1)</f>
        <v>42612</v>
      </c>
      <c r="F22" s="67">
        <f>F11</f>
        <v>42643</v>
      </c>
      <c r="G22" s="44" t="s">
        <v>9</v>
      </c>
      <c r="H22" s="44" t="s">
        <v>10</v>
      </c>
      <c r="J22" s="71"/>
    </row>
    <row r="23" spans="2:10" s="70" customFormat="1" ht="17.25">
      <c r="B23" s="153" t="s">
        <v>0</v>
      </c>
      <c r="C23" s="153"/>
      <c r="D23" s="154"/>
      <c r="E23" s="72">
        <f>August!F23</f>
        <v>1040684</v>
      </c>
      <c r="F23" s="78">
        <v>1049230</v>
      </c>
      <c r="G23" s="11">
        <f>F23-E23</f>
        <v>8546</v>
      </c>
      <c r="H23" s="58">
        <f>F23/E23-1</f>
        <v>8.2119067843842153E-3</v>
      </c>
      <c r="I23" s="80"/>
    </row>
    <row r="24" spans="2:10" s="70" customFormat="1" ht="17.25">
      <c r="B24" s="147" t="s">
        <v>1</v>
      </c>
      <c r="C24" s="147"/>
      <c r="D24" s="148"/>
      <c r="E24" s="72">
        <f>August!F24</f>
        <v>19083</v>
      </c>
      <c r="F24" s="78">
        <v>19110</v>
      </c>
      <c r="G24" s="11">
        <f t="shared" ref="G24:G29" si="2">F24-E24</f>
        <v>27</v>
      </c>
      <c r="H24" s="58">
        <f t="shared" ref="H24:H29" si="3">F24/E24-1</f>
        <v>1.4148718754913858E-3</v>
      </c>
      <c r="I24" s="80"/>
    </row>
    <row r="25" spans="2:10" s="70" customFormat="1" ht="17.25">
      <c r="B25" s="147" t="s">
        <v>48</v>
      </c>
      <c r="C25" s="147"/>
      <c r="D25" s="148"/>
      <c r="E25" s="72">
        <f>August!F25</f>
        <v>8850</v>
      </c>
      <c r="F25" s="78">
        <v>8966</v>
      </c>
      <c r="G25" s="11">
        <f t="shared" si="2"/>
        <v>116</v>
      </c>
      <c r="H25" s="58">
        <f t="shared" si="3"/>
        <v>1.3107344632768303E-2</v>
      </c>
      <c r="I25" s="80"/>
    </row>
    <row r="26" spans="2:10" s="70" customFormat="1" ht="17.25">
      <c r="B26" s="149" t="s">
        <v>49</v>
      </c>
      <c r="C26" s="149"/>
      <c r="D26" s="150"/>
      <c r="E26" s="72">
        <f>August!F26</f>
        <v>5398</v>
      </c>
      <c r="F26" s="78">
        <v>5512</v>
      </c>
      <c r="G26" s="11">
        <f t="shared" si="2"/>
        <v>114</v>
      </c>
      <c r="H26" s="58">
        <f t="shared" si="3"/>
        <v>2.1118932938125168E-2</v>
      </c>
      <c r="I26" s="80"/>
    </row>
    <row r="27" spans="2:10" s="70" customFormat="1" ht="17.25">
      <c r="B27" s="151" t="s">
        <v>50</v>
      </c>
      <c r="C27" s="151"/>
      <c r="D27" s="152"/>
      <c r="E27" s="72">
        <f>August!F27</f>
        <v>3452</v>
      </c>
      <c r="F27" s="78">
        <v>3454</v>
      </c>
      <c r="G27" s="11">
        <f t="shared" si="2"/>
        <v>2</v>
      </c>
      <c r="H27" s="58">
        <f t="shared" si="3"/>
        <v>5.7937427578225176E-4</v>
      </c>
      <c r="I27" s="80"/>
    </row>
    <row r="28" spans="2:10" s="70" customFormat="1" ht="18" customHeight="1" thickBot="1">
      <c r="B28" s="145" t="s">
        <v>2</v>
      </c>
      <c r="C28" s="145"/>
      <c r="D28" s="146"/>
      <c r="E28" s="72">
        <f>August!F28</f>
        <v>2017</v>
      </c>
      <c r="F28" s="78">
        <v>2602</v>
      </c>
      <c r="G28" s="11">
        <f t="shared" si="2"/>
        <v>585</v>
      </c>
      <c r="H28" s="58">
        <f t="shared" si="3"/>
        <v>0.29003470500743678</v>
      </c>
      <c r="I28" s="80"/>
    </row>
    <row r="29" spans="2:10" s="64" customFormat="1" ht="18" thickBot="1">
      <c r="B29" s="59" t="s">
        <v>3</v>
      </c>
      <c r="C29" s="59"/>
      <c r="D29" s="60"/>
      <c r="E29" s="66">
        <f>August!F29</f>
        <v>1070634</v>
      </c>
      <c r="F29" s="66">
        <v>1079908</v>
      </c>
      <c r="G29" s="66">
        <f t="shared" si="2"/>
        <v>9274</v>
      </c>
      <c r="H29" s="63">
        <f t="shared" si="3"/>
        <v>8.662157189104791E-3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15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4" t="s">
        <v>17</v>
      </c>
      <c r="C33" s="124"/>
      <c r="D33" s="125"/>
      <c r="E33" s="67">
        <f>EDATE(B3,-1)</f>
        <v>42612</v>
      </c>
      <c r="F33" s="67">
        <f>F11</f>
        <v>42643</v>
      </c>
      <c r="G33" s="16" t="s">
        <v>9</v>
      </c>
      <c r="H33" s="16" t="s">
        <v>10</v>
      </c>
    </row>
    <row r="34" spans="2:9" ht="17.25">
      <c r="B34" s="153" t="s">
        <v>0</v>
      </c>
      <c r="C34" s="153"/>
      <c r="D34" s="154"/>
      <c r="E34" s="72">
        <f>August!F34</f>
        <v>74793</v>
      </c>
      <c r="F34" s="72">
        <v>77990</v>
      </c>
      <c r="G34" s="11">
        <f t="shared" ref="G34:G40" si="4">F34-E34</f>
        <v>3197</v>
      </c>
      <c r="H34" s="58">
        <f t="shared" ref="H34:H40" si="5">F34/E34-1</f>
        <v>4.2744641878250667E-2</v>
      </c>
      <c r="I34" s="57"/>
    </row>
    <row r="35" spans="2:9" ht="17.25">
      <c r="B35" s="147" t="s">
        <v>1</v>
      </c>
      <c r="C35" s="147"/>
      <c r="D35" s="148"/>
      <c r="E35" s="72">
        <f>August!F35</f>
        <v>1084</v>
      </c>
      <c r="F35" s="72">
        <v>1101</v>
      </c>
      <c r="G35" s="11">
        <f t="shared" si="4"/>
        <v>17</v>
      </c>
      <c r="H35" s="58">
        <f t="shared" si="5"/>
        <v>1.568265682656822E-2</v>
      </c>
      <c r="I35" s="57"/>
    </row>
    <row r="36" spans="2:9" ht="17.25">
      <c r="B36" s="147" t="s">
        <v>48</v>
      </c>
      <c r="C36" s="147"/>
      <c r="D36" s="148"/>
      <c r="E36" s="72">
        <f>August!F36</f>
        <v>623</v>
      </c>
      <c r="F36" s="72">
        <v>671</v>
      </c>
      <c r="G36" s="11">
        <f t="shared" si="4"/>
        <v>48</v>
      </c>
      <c r="H36" s="58">
        <f t="shared" si="5"/>
        <v>7.7046548956661409E-2</v>
      </c>
      <c r="I36" s="57"/>
    </row>
    <row r="37" spans="2:9" ht="17.25">
      <c r="B37" s="149" t="s">
        <v>49</v>
      </c>
      <c r="C37" s="149"/>
      <c r="D37" s="150"/>
      <c r="E37" s="72">
        <f>August!F37</f>
        <v>322</v>
      </c>
      <c r="F37" s="72">
        <v>362</v>
      </c>
      <c r="G37" s="11">
        <f t="shared" si="4"/>
        <v>40</v>
      </c>
      <c r="H37" s="58">
        <f t="shared" si="5"/>
        <v>0.12422360248447206</v>
      </c>
      <c r="I37" s="57"/>
    </row>
    <row r="38" spans="2:9" ht="17.25">
      <c r="B38" s="151" t="s">
        <v>50</v>
      </c>
      <c r="C38" s="151"/>
      <c r="D38" s="152"/>
      <c r="E38" s="72">
        <f>August!F38</f>
        <v>301</v>
      </c>
      <c r="F38" s="72">
        <v>309</v>
      </c>
      <c r="G38" s="11">
        <f t="shared" si="4"/>
        <v>8</v>
      </c>
      <c r="H38" s="58">
        <f t="shared" si="5"/>
        <v>2.6578073089700949E-2</v>
      </c>
      <c r="I38" s="57"/>
    </row>
    <row r="39" spans="2:9" ht="18" customHeight="1" thickBot="1">
      <c r="B39" s="145" t="s">
        <v>2</v>
      </c>
      <c r="C39" s="145"/>
      <c r="D39" s="146"/>
      <c r="E39" s="72">
        <f>August!F39</f>
        <v>1068</v>
      </c>
      <c r="F39" s="72">
        <v>1076</v>
      </c>
      <c r="G39" s="11">
        <f t="shared" si="4"/>
        <v>8</v>
      </c>
      <c r="H39" s="58">
        <f t="shared" si="5"/>
        <v>7.4906367041198685E-3</v>
      </c>
      <c r="I39" s="57"/>
    </row>
    <row r="40" spans="2:9" s="64" customFormat="1" ht="18" thickBot="1">
      <c r="B40" s="59" t="s">
        <v>3</v>
      </c>
      <c r="C40" s="59"/>
      <c r="D40" s="60"/>
      <c r="E40" s="66">
        <f>August!F40</f>
        <v>77568</v>
      </c>
      <c r="F40" s="66">
        <v>80838</v>
      </c>
      <c r="G40" s="66">
        <f t="shared" si="4"/>
        <v>3270</v>
      </c>
      <c r="H40" s="63">
        <f t="shared" si="5"/>
        <v>4.2156559405940541E-2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16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36</v>
      </c>
      <c r="C48" s="23"/>
      <c r="D48" s="23"/>
      <c r="E48" s="23"/>
      <c r="F48" s="23"/>
      <c r="G48" s="23"/>
      <c r="H48" s="128" t="s">
        <v>12</v>
      </c>
      <c r="I48" s="128"/>
    </row>
    <row r="49" spans="2:9" ht="15.75" thickBot="1">
      <c r="B49" s="124" t="s">
        <v>17</v>
      </c>
      <c r="C49" s="124"/>
      <c r="D49" s="125"/>
      <c r="E49" s="67">
        <v>40908</v>
      </c>
      <c r="F49" s="67">
        <v>41274</v>
      </c>
      <c r="G49" s="67">
        <v>41639</v>
      </c>
      <c r="H49" s="67">
        <v>42004</v>
      </c>
      <c r="I49" s="67">
        <v>42369</v>
      </c>
    </row>
    <row r="50" spans="2:9" ht="17.25">
      <c r="B50" s="129" t="s">
        <v>0</v>
      </c>
      <c r="C50" s="129"/>
      <c r="D50" s="130"/>
      <c r="E50" s="74">
        <v>772175</v>
      </c>
      <c r="F50" s="74">
        <v>805549</v>
      </c>
      <c r="G50" s="74">
        <v>881844</v>
      </c>
      <c r="H50" s="74">
        <v>944559</v>
      </c>
      <c r="I50" s="74">
        <v>1006751</v>
      </c>
    </row>
    <row r="51" spans="2:9" ht="17.25">
      <c r="B51" s="131" t="s">
        <v>1</v>
      </c>
      <c r="C51" s="131"/>
      <c r="D51" s="132"/>
      <c r="E51" s="75">
        <v>16850</v>
      </c>
      <c r="F51" s="75">
        <v>17821</v>
      </c>
      <c r="G51" s="75">
        <v>19539</v>
      </c>
      <c r="H51" s="75">
        <v>20178</v>
      </c>
      <c r="I51" s="75">
        <v>20753</v>
      </c>
    </row>
    <row r="52" spans="2:9" ht="17.25">
      <c r="B52" s="133" t="s">
        <v>48</v>
      </c>
      <c r="C52" s="133"/>
      <c r="D52" s="134"/>
      <c r="E52" s="77">
        <v>5058</v>
      </c>
      <c r="F52" s="77">
        <v>5876</v>
      </c>
      <c r="G52" s="77">
        <v>6957</v>
      </c>
      <c r="H52" s="77">
        <v>7486</v>
      </c>
      <c r="I52" s="77">
        <v>8729</v>
      </c>
    </row>
    <row r="53" spans="2:9" ht="18" thickBot="1">
      <c r="B53" s="135" t="s">
        <v>2</v>
      </c>
      <c r="C53" s="135"/>
      <c r="D53" s="136"/>
      <c r="E53" s="73">
        <v>5242</v>
      </c>
      <c r="F53" s="73">
        <v>5261</v>
      </c>
      <c r="G53" s="73">
        <v>5182</v>
      </c>
      <c r="H53" s="73">
        <v>5142</v>
      </c>
      <c r="I53" s="73">
        <v>3836</v>
      </c>
    </row>
    <row r="54" spans="2:9" s="65" customFormat="1" ht="18" thickBot="1">
      <c r="B54" s="137" t="s">
        <v>3</v>
      </c>
      <c r="C54" s="137"/>
      <c r="D54" s="138"/>
      <c r="E54" s="76">
        <v>799325</v>
      </c>
      <c r="F54" s="76">
        <v>834507</v>
      </c>
      <c r="G54" s="76">
        <v>913522</v>
      </c>
      <c r="H54" s="76">
        <v>977365</v>
      </c>
      <c r="I54" s="76">
        <v>1040069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37</v>
      </c>
      <c r="C82" s="23"/>
      <c r="D82" s="23"/>
      <c r="E82" s="23"/>
      <c r="F82" s="23"/>
      <c r="G82" s="23"/>
      <c r="H82" s="102" t="s">
        <v>11</v>
      </c>
      <c r="I82"/>
      <c r="J82"/>
      <c r="K82"/>
    </row>
    <row r="83" spans="2:11" ht="15.75" thickBot="1">
      <c r="B83" s="31" t="s">
        <v>17</v>
      </c>
      <c r="C83" s="67">
        <f>EDATE(D83,-1)</f>
        <v>42490</v>
      </c>
      <c r="D83" s="67">
        <f>EDATE(E83,-1)</f>
        <v>42520</v>
      </c>
      <c r="E83" s="67">
        <f>EDATE(F83,-1)</f>
        <v>42551</v>
      </c>
      <c r="F83" s="67">
        <f>EDATE(G83,-1)</f>
        <v>42581</v>
      </c>
      <c r="G83" s="67">
        <f>EDATE(H83,-1)</f>
        <v>42612</v>
      </c>
      <c r="H83" s="67">
        <f>EDATE(E11,1)</f>
        <v>42643</v>
      </c>
      <c r="I83"/>
      <c r="J83"/>
    </row>
    <row r="84" spans="2:11" ht="16.5" customHeight="1">
      <c r="B84" s="24" t="s">
        <v>0</v>
      </c>
      <c r="C84" s="74">
        <v>1014752</v>
      </c>
      <c r="D84" s="74">
        <v>1018892</v>
      </c>
      <c r="E84" s="74">
        <v>1028991</v>
      </c>
      <c r="F84" s="74">
        <v>1033667</v>
      </c>
      <c r="G84" s="74">
        <v>1040684</v>
      </c>
      <c r="H84" s="74">
        <v>1049230</v>
      </c>
    </row>
    <row r="85" spans="2:11" ht="16.5" customHeight="1">
      <c r="B85" s="25" t="s">
        <v>1</v>
      </c>
      <c r="C85" s="75">
        <v>19023</v>
      </c>
      <c r="D85" s="75">
        <v>19023</v>
      </c>
      <c r="E85" s="75">
        <v>19118</v>
      </c>
      <c r="F85" s="75">
        <v>19019</v>
      </c>
      <c r="G85" s="75">
        <v>19083</v>
      </c>
      <c r="H85" s="75">
        <v>19110</v>
      </c>
    </row>
    <row r="86" spans="2:11" ht="16.5" customHeight="1">
      <c r="B86" s="26" t="s">
        <v>48</v>
      </c>
      <c r="C86" s="77">
        <v>8800</v>
      </c>
      <c r="D86" s="77">
        <v>8928</v>
      </c>
      <c r="E86" s="77">
        <v>9251</v>
      </c>
      <c r="F86" s="77">
        <v>8797</v>
      </c>
      <c r="G86" s="77">
        <v>8850</v>
      </c>
      <c r="H86" s="77">
        <v>8966</v>
      </c>
    </row>
    <row r="87" spans="2:11" ht="16.5" customHeight="1" thickBot="1">
      <c r="B87" s="27" t="s">
        <v>2</v>
      </c>
      <c r="C87" s="73">
        <v>1422</v>
      </c>
      <c r="D87" s="73">
        <v>1400</v>
      </c>
      <c r="E87" s="73">
        <v>1412</v>
      </c>
      <c r="F87" s="73">
        <v>1620</v>
      </c>
      <c r="G87" s="73">
        <v>2017</v>
      </c>
      <c r="H87" s="73">
        <v>2602</v>
      </c>
    </row>
    <row r="88" spans="2:11" s="65" customFormat="1" ht="18" thickBot="1">
      <c r="B88" s="103" t="s">
        <v>3</v>
      </c>
      <c r="C88" s="76">
        <v>1043997</v>
      </c>
      <c r="D88" s="76">
        <v>1048243</v>
      </c>
      <c r="E88" s="76">
        <v>1058772</v>
      </c>
      <c r="F88" s="76">
        <v>1063103</v>
      </c>
      <c r="G88" s="76">
        <v>1070634</v>
      </c>
      <c r="H88" s="76">
        <v>1079908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22</v>
      </c>
      <c r="C124" s="83">
        <f>B3</f>
        <v>42643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5" t="s">
        <v>23</v>
      </c>
      <c r="C128" s="139"/>
      <c r="D128" s="139"/>
      <c r="E128" s="139"/>
      <c r="F128" s="139"/>
      <c r="G128" s="140" t="s">
        <v>4</v>
      </c>
      <c r="H128" s="141"/>
    </row>
    <row r="129" spans="2:10" ht="18" customHeight="1" thickBot="1">
      <c r="B129" s="115" t="s">
        <v>21</v>
      </c>
      <c r="C129" s="142"/>
      <c r="D129" s="142"/>
      <c r="E129" s="142"/>
      <c r="F129" s="142"/>
      <c r="G129" s="143">
        <v>352</v>
      </c>
      <c r="H129" s="144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20</v>
      </c>
      <c r="C133" s="32"/>
      <c r="D133" s="32"/>
      <c r="E133" s="33"/>
      <c r="F133" s="85">
        <f>C6</f>
        <v>42643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24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25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26" t="s">
        <v>18</v>
      </c>
      <c r="C138" s="126"/>
      <c r="D138" s="126"/>
      <c r="E138" s="126"/>
      <c r="F138" s="127"/>
      <c r="G138" s="118" t="s">
        <v>5</v>
      </c>
      <c r="H138" s="119"/>
      <c r="I138"/>
    </row>
    <row r="139" spans="2:10" ht="17.25" customHeight="1">
      <c r="B139" s="120" t="s">
        <v>40</v>
      </c>
      <c r="C139" s="120" t="s">
        <v>40</v>
      </c>
      <c r="D139" s="120" t="s">
        <v>40</v>
      </c>
      <c r="E139" s="120" t="s">
        <v>40</v>
      </c>
      <c r="F139" s="121" t="s">
        <v>40</v>
      </c>
      <c r="G139" s="122">
        <v>242051</v>
      </c>
      <c r="H139" s="123">
        <v>242051</v>
      </c>
      <c r="I139" s="46"/>
      <c r="J139" s="49"/>
    </row>
    <row r="140" spans="2:10" ht="13.5" customHeight="1">
      <c r="B140" s="110" t="s">
        <v>28</v>
      </c>
      <c r="C140" s="110" t="s">
        <v>28</v>
      </c>
      <c r="D140" s="110" t="s">
        <v>28</v>
      </c>
      <c r="E140" s="110" t="s">
        <v>28</v>
      </c>
      <c r="F140" s="111" t="s">
        <v>28</v>
      </c>
      <c r="G140" s="112">
        <v>187250</v>
      </c>
      <c r="H140" s="113">
        <v>187250</v>
      </c>
      <c r="I140" s="46"/>
      <c r="J140" s="49"/>
    </row>
    <row r="141" spans="2:10" ht="17.25" customHeight="1">
      <c r="B141" s="110" t="s">
        <v>29</v>
      </c>
      <c r="C141" s="110" t="s">
        <v>29</v>
      </c>
      <c r="D141" s="110" t="s">
        <v>29</v>
      </c>
      <c r="E141" s="110" t="s">
        <v>29</v>
      </c>
      <c r="F141" s="111" t="s">
        <v>29</v>
      </c>
      <c r="G141" s="112">
        <v>158474</v>
      </c>
      <c r="H141" s="113">
        <v>158474</v>
      </c>
      <c r="I141" s="46"/>
      <c r="J141" s="49"/>
    </row>
    <row r="142" spans="2:10" ht="17.25" customHeight="1">
      <c r="B142" s="110" t="s">
        <v>41</v>
      </c>
      <c r="C142" s="110" t="s">
        <v>41</v>
      </c>
      <c r="D142" s="110" t="s">
        <v>41</v>
      </c>
      <c r="E142" s="110" t="s">
        <v>41</v>
      </c>
      <c r="F142" s="111" t="s">
        <v>41</v>
      </c>
      <c r="G142" s="112">
        <v>155636</v>
      </c>
      <c r="H142" s="113">
        <v>155636</v>
      </c>
      <c r="I142" s="46"/>
      <c r="J142" s="49"/>
    </row>
    <row r="143" spans="2:10" ht="17.25" customHeight="1">
      <c r="B143" s="110" t="s">
        <v>39</v>
      </c>
      <c r="C143" s="110" t="s">
        <v>39</v>
      </c>
      <c r="D143" s="110" t="s">
        <v>39</v>
      </c>
      <c r="E143" s="110" t="s">
        <v>39</v>
      </c>
      <c r="F143" s="111" t="s">
        <v>39</v>
      </c>
      <c r="G143" s="112">
        <v>86071</v>
      </c>
      <c r="H143" s="113">
        <v>86071</v>
      </c>
      <c r="I143" s="46"/>
      <c r="J143" s="49"/>
    </row>
    <row r="144" spans="2:10" ht="13.5" customHeight="1">
      <c r="B144" s="110" t="s">
        <v>42</v>
      </c>
      <c r="C144" s="110" t="s">
        <v>42</v>
      </c>
      <c r="D144" s="110" t="s">
        <v>42</v>
      </c>
      <c r="E144" s="110" t="s">
        <v>42</v>
      </c>
      <c r="F144" s="111" t="s">
        <v>42</v>
      </c>
      <c r="G144" s="112">
        <v>61394</v>
      </c>
      <c r="H144" s="113">
        <v>61394</v>
      </c>
      <c r="I144" s="50"/>
      <c r="J144" s="49"/>
    </row>
    <row r="145" spans="2:13" ht="17.25" customHeight="1">
      <c r="B145" s="110" t="s">
        <v>30</v>
      </c>
      <c r="C145" s="110" t="s">
        <v>30</v>
      </c>
      <c r="D145" s="110" t="s">
        <v>30</v>
      </c>
      <c r="E145" s="110" t="s">
        <v>30</v>
      </c>
      <c r="F145" s="111" t="s">
        <v>30</v>
      </c>
      <c r="G145" s="112">
        <v>49061</v>
      </c>
      <c r="H145" s="113">
        <v>49061</v>
      </c>
      <c r="I145" s="46"/>
      <c r="J145" s="49"/>
    </row>
    <row r="146" spans="2:13" ht="17.25" customHeight="1">
      <c r="B146" s="110" t="s">
        <v>45</v>
      </c>
      <c r="C146" s="110" t="s">
        <v>45</v>
      </c>
      <c r="D146" s="110" t="s">
        <v>45</v>
      </c>
      <c r="E146" s="110" t="s">
        <v>45</v>
      </c>
      <c r="F146" s="111" t="s">
        <v>45</v>
      </c>
      <c r="G146" s="112">
        <v>32983</v>
      </c>
      <c r="H146" s="113">
        <v>32983</v>
      </c>
      <c r="I146" s="46"/>
      <c r="J146" s="49"/>
    </row>
    <row r="147" spans="2:13" ht="17.25" customHeight="1">
      <c r="B147" s="110" t="s">
        <v>31</v>
      </c>
      <c r="C147" s="110" t="s">
        <v>31</v>
      </c>
      <c r="D147" s="110" t="s">
        <v>31</v>
      </c>
      <c r="E147" s="110" t="s">
        <v>31</v>
      </c>
      <c r="F147" s="111" t="s">
        <v>31</v>
      </c>
      <c r="G147" s="112">
        <v>21491</v>
      </c>
      <c r="H147" s="113">
        <v>21491</v>
      </c>
      <c r="I147" s="46"/>
      <c r="J147" s="49"/>
      <c r="L147"/>
    </row>
    <row r="148" spans="2:13" ht="18" customHeight="1" thickBot="1">
      <c r="B148" s="114" t="s">
        <v>32</v>
      </c>
      <c r="C148" s="114" t="s">
        <v>32</v>
      </c>
      <c r="D148" s="114" t="s">
        <v>32</v>
      </c>
      <c r="E148" s="114" t="s">
        <v>32</v>
      </c>
      <c r="F148" s="115" t="s">
        <v>32</v>
      </c>
      <c r="G148" s="116">
        <v>19859</v>
      </c>
      <c r="H148" s="117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26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4" t="s">
        <v>18</v>
      </c>
      <c r="C153" s="124"/>
      <c r="D153" s="124"/>
      <c r="E153" s="124"/>
      <c r="F153" s="125"/>
      <c r="G153" s="119" t="s">
        <v>5</v>
      </c>
      <c r="H153" s="119"/>
      <c r="I153" s="51"/>
      <c r="J153" s="51"/>
      <c r="K153"/>
      <c r="L153"/>
      <c r="M153"/>
    </row>
    <row r="154" spans="2:13" ht="17.25" customHeight="1">
      <c r="B154" s="120" t="s">
        <v>28</v>
      </c>
      <c r="C154" s="120" t="s">
        <v>28</v>
      </c>
      <c r="D154" s="120" t="s">
        <v>28</v>
      </c>
      <c r="E154" s="120" t="s">
        <v>28</v>
      </c>
      <c r="F154" s="121" t="s">
        <v>28</v>
      </c>
      <c r="G154" s="122">
        <v>13266</v>
      </c>
      <c r="H154" s="123">
        <v>13266</v>
      </c>
      <c r="I154" s="52"/>
      <c r="J154" s="49"/>
      <c r="K154" s="48"/>
      <c r="L154"/>
      <c r="M154"/>
    </row>
    <row r="155" spans="2:13" ht="17.25" customHeight="1">
      <c r="B155" s="110" t="s">
        <v>29</v>
      </c>
      <c r="C155" s="110" t="s">
        <v>29</v>
      </c>
      <c r="D155" s="110" t="s">
        <v>29</v>
      </c>
      <c r="E155" s="110" t="s">
        <v>29</v>
      </c>
      <c r="F155" s="111" t="s">
        <v>29</v>
      </c>
      <c r="G155" s="112">
        <v>12008</v>
      </c>
      <c r="H155" s="113">
        <v>12008</v>
      </c>
      <c r="I155" s="52"/>
      <c r="J155" s="49"/>
      <c r="K155" s="48"/>
      <c r="L155"/>
      <c r="M155"/>
    </row>
    <row r="156" spans="2:13" ht="17.25" customHeight="1">
      <c r="B156" s="110" t="s">
        <v>41</v>
      </c>
      <c r="C156" s="110" t="s">
        <v>41</v>
      </c>
      <c r="D156" s="110" t="s">
        <v>41</v>
      </c>
      <c r="E156" s="110" t="s">
        <v>41</v>
      </c>
      <c r="F156" s="111" t="s">
        <v>41</v>
      </c>
      <c r="G156" s="112">
        <v>11970</v>
      </c>
      <c r="H156" s="113">
        <v>11970</v>
      </c>
      <c r="I156" s="52"/>
      <c r="J156" s="49"/>
      <c r="K156" s="48"/>
      <c r="L156"/>
      <c r="M156"/>
    </row>
    <row r="157" spans="2:13" ht="17.25">
      <c r="B157" s="110" t="s">
        <v>40</v>
      </c>
      <c r="C157" s="110" t="s">
        <v>40</v>
      </c>
      <c r="D157" s="110" t="s">
        <v>40</v>
      </c>
      <c r="E157" s="110" t="s">
        <v>40</v>
      </c>
      <c r="F157" s="111" t="s">
        <v>40</v>
      </c>
      <c r="G157" s="112">
        <v>10893</v>
      </c>
      <c r="H157" s="113">
        <v>10893</v>
      </c>
      <c r="I157" s="52"/>
      <c r="J157" s="49"/>
      <c r="K157" s="48"/>
      <c r="L157"/>
      <c r="M157"/>
    </row>
    <row r="158" spans="2:13" ht="17.25" customHeight="1">
      <c r="B158" s="110" t="s">
        <v>39</v>
      </c>
      <c r="C158" s="110" t="s">
        <v>39</v>
      </c>
      <c r="D158" s="110" t="s">
        <v>39</v>
      </c>
      <c r="E158" s="110" t="s">
        <v>39</v>
      </c>
      <c r="F158" s="111" t="s">
        <v>39</v>
      </c>
      <c r="G158" s="112">
        <v>9748</v>
      </c>
      <c r="H158" s="113">
        <v>9748</v>
      </c>
      <c r="I158" s="52"/>
      <c r="J158" s="49"/>
      <c r="K158" s="48"/>
      <c r="L158"/>
      <c r="M158"/>
    </row>
    <row r="159" spans="2:13" ht="17.25" customHeight="1">
      <c r="B159" s="110" t="s">
        <v>42</v>
      </c>
      <c r="C159" s="110" t="s">
        <v>42</v>
      </c>
      <c r="D159" s="110" t="s">
        <v>42</v>
      </c>
      <c r="E159" s="110" t="s">
        <v>42</v>
      </c>
      <c r="F159" s="111" t="s">
        <v>42</v>
      </c>
      <c r="G159" s="112">
        <v>4169</v>
      </c>
      <c r="H159" s="113">
        <v>4169</v>
      </c>
      <c r="I159" s="53"/>
      <c r="J159" s="49"/>
      <c r="K159" s="48"/>
      <c r="L159"/>
      <c r="M159"/>
    </row>
    <row r="160" spans="2:13" ht="17.25" customHeight="1">
      <c r="B160" s="110" t="s">
        <v>30</v>
      </c>
      <c r="C160" s="110" t="s">
        <v>30</v>
      </c>
      <c r="D160" s="110" t="s">
        <v>30</v>
      </c>
      <c r="E160" s="110" t="s">
        <v>30</v>
      </c>
      <c r="F160" s="111" t="s">
        <v>30</v>
      </c>
      <c r="G160" s="112">
        <v>2893</v>
      </c>
      <c r="H160" s="113">
        <v>2893</v>
      </c>
      <c r="I160" s="52"/>
      <c r="J160" s="49"/>
      <c r="K160" s="48"/>
      <c r="L160"/>
      <c r="M160"/>
    </row>
    <row r="161" spans="2:13" ht="17.25" customHeight="1">
      <c r="B161" s="110" t="s">
        <v>43</v>
      </c>
      <c r="C161" s="110" t="s">
        <v>43</v>
      </c>
      <c r="D161" s="110" t="s">
        <v>43</v>
      </c>
      <c r="E161" s="110" t="s">
        <v>43</v>
      </c>
      <c r="F161" s="111" t="s">
        <v>43</v>
      </c>
      <c r="G161" s="112">
        <v>2272</v>
      </c>
      <c r="H161" s="113">
        <v>2272</v>
      </c>
      <c r="I161" s="52"/>
      <c r="J161" s="49"/>
      <c r="K161" s="48"/>
      <c r="L161"/>
      <c r="M161"/>
    </row>
    <row r="162" spans="2:13" ht="17.25" customHeight="1">
      <c r="B162" s="110" t="s">
        <v>44</v>
      </c>
      <c r="C162" s="110" t="s">
        <v>44</v>
      </c>
      <c r="D162" s="110" t="s">
        <v>44</v>
      </c>
      <c r="E162" s="110" t="s">
        <v>44</v>
      </c>
      <c r="F162" s="111" t="s">
        <v>44</v>
      </c>
      <c r="G162" s="112">
        <v>1791</v>
      </c>
      <c r="H162" s="113">
        <v>1791</v>
      </c>
      <c r="I162" s="52"/>
      <c r="J162" s="49"/>
      <c r="K162" s="48"/>
      <c r="L162"/>
      <c r="M162"/>
    </row>
    <row r="163" spans="2:13" ht="18" customHeight="1" thickBot="1">
      <c r="B163" s="114" t="s">
        <v>55</v>
      </c>
      <c r="C163" s="114" t="s">
        <v>55</v>
      </c>
      <c r="D163" s="114" t="s">
        <v>55</v>
      </c>
      <c r="E163" s="114" t="s">
        <v>55</v>
      </c>
      <c r="F163" s="115" t="s">
        <v>55</v>
      </c>
      <c r="G163" s="116">
        <v>1761</v>
      </c>
      <c r="H163" s="117">
        <v>1761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27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26" t="s">
        <v>18</v>
      </c>
      <c r="C168" s="126"/>
      <c r="D168" s="126"/>
      <c r="E168" s="126"/>
      <c r="F168" s="127"/>
      <c r="G168" s="118" t="s">
        <v>8</v>
      </c>
      <c r="H168" s="119"/>
      <c r="I168" s="2"/>
      <c r="J168" s="2"/>
    </row>
    <row r="169" spans="2:13" ht="17.25" customHeight="1">
      <c r="B169" s="120" t="s">
        <v>29</v>
      </c>
      <c r="C169" s="120" t="s">
        <v>29</v>
      </c>
      <c r="D169" s="120" t="s">
        <v>29</v>
      </c>
      <c r="E169" s="120" t="s">
        <v>29</v>
      </c>
      <c r="F169" s="121" t="s">
        <v>29</v>
      </c>
      <c r="G169" s="122">
        <v>1436968590939.5701</v>
      </c>
      <c r="H169" s="123">
        <v>1436968590939.5701</v>
      </c>
      <c r="I169" s="54"/>
      <c r="J169" s="55"/>
    </row>
    <row r="170" spans="2:13" ht="17.25" customHeight="1">
      <c r="B170" s="110" t="s">
        <v>39</v>
      </c>
      <c r="C170" s="110" t="s">
        <v>39</v>
      </c>
      <c r="D170" s="110" t="s">
        <v>39</v>
      </c>
      <c r="E170" s="110" t="s">
        <v>39</v>
      </c>
      <c r="F170" s="111" t="s">
        <v>39</v>
      </c>
      <c r="G170" s="112">
        <v>1320967397566.1499</v>
      </c>
      <c r="H170" s="113">
        <v>1320967397566.1499</v>
      </c>
      <c r="I170" s="54"/>
      <c r="J170" s="55"/>
    </row>
    <row r="171" spans="2:13" ht="17.25" customHeight="1">
      <c r="B171" s="110" t="s">
        <v>38</v>
      </c>
      <c r="C171" s="110" t="s">
        <v>38</v>
      </c>
      <c r="D171" s="110" t="s">
        <v>38</v>
      </c>
      <c r="E171" s="110" t="s">
        <v>38</v>
      </c>
      <c r="F171" s="111" t="s">
        <v>38</v>
      </c>
      <c r="G171" s="112">
        <v>904323437987.96997</v>
      </c>
      <c r="H171" s="113">
        <v>904323437987.96997</v>
      </c>
      <c r="I171" s="54"/>
      <c r="J171" s="55"/>
    </row>
    <row r="172" spans="2:13" ht="17.25" customHeight="1">
      <c r="B172" s="110" t="s">
        <v>44</v>
      </c>
      <c r="C172" s="110" t="s">
        <v>44</v>
      </c>
      <c r="D172" s="110" t="s">
        <v>44</v>
      </c>
      <c r="E172" s="110" t="s">
        <v>44</v>
      </c>
      <c r="F172" s="111" t="s">
        <v>44</v>
      </c>
      <c r="G172" s="112">
        <v>515553059541.21002</v>
      </c>
      <c r="H172" s="113">
        <v>515553059541.21002</v>
      </c>
      <c r="I172" s="54"/>
      <c r="J172" s="55"/>
    </row>
    <row r="173" spans="2:13" ht="17.25" customHeight="1">
      <c r="B173" s="110" t="s">
        <v>51</v>
      </c>
      <c r="C173" s="110" t="s">
        <v>51</v>
      </c>
      <c r="D173" s="110" t="s">
        <v>51</v>
      </c>
      <c r="E173" s="110" t="s">
        <v>51</v>
      </c>
      <c r="F173" s="111" t="s">
        <v>51</v>
      </c>
      <c r="G173" s="112">
        <v>490302700894.10101</v>
      </c>
      <c r="H173" s="113">
        <v>490302700894.10101</v>
      </c>
      <c r="I173" s="56"/>
      <c r="J173" s="49"/>
    </row>
    <row r="174" spans="2:13" ht="17.25" customHeight="1">
      <c r="B174" s="110" t="s">
        <v>28</v>
      </c>
      <c r="C174" s="110" t="s">
        <v>28</v>
      </c>
      <c r="D174" s="110" t="s">
        <v>28</v>
      </c>
      <c r="E174" s="110" t="s">
        <v>28</v>
      </c>
      <c r="F174" s="111" t="s">
        <v>28</v>
      </c>
      <c r="G174" s="112">
        <v>438180365163.53998</v>
      </c>
      <c r="H174" s="113">
        <v>438180365163.53998</v>
      </c>
      <c r="I174" s="54"/>
      <c r="J174" s="55"/>
    </row>
    <row r="175" spans="2:13" ht="17.25" customHeight="1">
      <c r="B175" s="110" t="s">
        <v>46</v>
      </c>
      <c r="C175" s="110" t="s">
        <v>46</v>
      </c>
      <c r="D175" s="110" t="s">
        <v>46</v>
      </c>
      <c r="E175" s="110" t="s">
        <v>46</v>
      </c>
      <c r="F175" s="111" t="s">
        <v>46</v>
      </c>
      <c r="G175" s="112">
        <v>430101935734.22998</v>
      </c>
      <c r="H175" s="113">
        <v>430101935734.22998</v>
      </c>
      <c r="I175" s="54"/>
      <c r="J175" s="55"/>
    </row>
    <row r="176" spans="2:13" ht="17.25" customHeight="1">
      <c r="B176" s="110" t="s">
        <v>41</v>
      </c>
      <c r="C176" s="110" t="s">
        <v>41</v>
      </c>
      <c r="D176" s="110" t="s">
        <v>41</v>
      </c>
      <c r="E176" s="110" t="s">
        <v>41</v>
      </c>
      <c r="F176" s="111" t="s">
        <v>41</v>
      </c>
      <c r="G176" s="112">
        <v>387537005448.35999</v>
      </c>
      <c r="H176" s="113">
        <v>387537005448.35999</v>
      </c>
      <c r="I176" s="54"/>
      <c r="J176" s="55"/>
    </row>
    <row r="177" spans="2:10" ht="17.25" customHeight="1">
      <c r="B177" s="110" t="s">
        <v>33</v>
      </c>
      <c r="C177" s="110" t="s">
        <v>33</v>
      </c>
      <c r="D177" s="110" t="s">
        <v>33</v>
      </c>
      <c r="E177" s="110" t="s">
        <v>33</v>
      </c>
      <c r="F177" s="111" t="s">
        <v>33</v>
      </c>
      <c r="G177" s="112">
        <v>319599805909.28802</v>
      </c>
      <c r="H177" s="113">
        <v>319599805909.28802</v>
      </c>
      <c r="I177" s="54"/>
      <c r="J177" s="55"/>
    </row>
    <row r="178" spans="2:10" ht="18" customHeight="1" thickBot="1">
      <c r="B178" s="114" t="s">
        <v>54</v>
      </c>
      <c r="C178" s="114" t="s">
        <v>54</v>
      </c>
      <c r="D178" s="114" t="s">
        <v>54</v>
      </c>
      <c r="E178" s="114" t="s">
        <v>54</v>
      </c>
      <c r="F178" s="115" t="s">
        <v>54</v>
      </c>
      <c r="G178" s="116">
        <v>298076129406.89001</v>
      </c>
      <c r="H178" s="117">
        <v>298076129406.89001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23:D23"/>
    <mergeCell ref="B2:H2"/>
    <mergeCell ref="B3:H3"/>
    <mergeCell ref="I3:N3"/>
    <mergeCell ref="B11:D11"/>
    <mergeCell ref="B12:D12"/>
    <mergeCell ref="B13:D13"/>
    <mergeCell ref="B14:D14"/>
    <mergeCell ref="B15:D15"/>
    <mergeCell ref="B16:D16"/>
    <mergeCell ref="B17:D17"/>
    <mergeCell ref="B22:D22"/>
    <mergeCell ref="B39:D39"/>
    <mergeCell ref="B24:D24"/>
    <mergeCell ref="B25:D25"/>
    <mergeCell ref="B26:D26"/>
    <mergeCell ref="B27:D27"/>
    <mergeCell ref="B28:D28"/>
    <mergeCell ref="B33:D33"/>
    <mergeCell ref="B34:D34"/>
    <mergeCell ref="B35:D35"/>
    <mergeCell ref="B36:D36"/>
    <mergeCell ref="B37:D37"/>
    <mergeCell ref="B38:D38"/>
    <mergeCell ref="B138:F138"/>
    <mergeCell ref="G138:H138"/>
    <mergeCell ref="H48:I48"/>
    <mergeCell ref="B49:D49"/>
    <mergeCell ref="B50:D50"/>
    <mergeCell ref="B51:D51"/>
    <mergeCell ref="B52:D52"/>
    <mergeCell ref="B53:D53"/>
    <mergeCell ref="B54:D54"/>
    <mergeCell ref="B128:F128"/>
    <mergeCell ref="G128:H128"/>
    <mergeCell ref="B129:F129"/>
    <mergeCell ref="G129:H129"/>
    <mergeCell ref="B139:F139"/>
    <mergeCell ref="G139:H139"/>
    <mergeCell ref="B140:F140"/>
    <mergeCell ref="G140:H140"/>
    <mergeCell ref="B141:F141"/>
    <mergeCell ref="G141:H141"/>
    <mergeCell ref="B142:F142"/>
    <mergeCell ref="G142:H142"/>
    <mergeCell ref="B143:F143"/>
    <mergeCell ref="G143:H143"/>
    <mergeCell ref="B144:F144"/>
    <mergeCell ref="G144:H144"/>
    <mergeCell ref="B145:F145"/>
    <mergeCell ref="G145:H145"/>
    <mergeCell ref="B146:F146"/>
    <mergeCell ref="G146:H146"/>
    <mergeCell ref="B147:F147"/>
    <mergeCell ref="G147:H147"/>
    <mergeCell ref="B148:F148"/>
    <mergeCell ref="G148:H148"/>
    <mergeCell ref="B153:F153"/>
    <mergeCell ref="G153:H153"/>
    <mergeCell ref="B154:F154"/>
    <mergeCell ref="G154:H154"/>
    <mergeCell ref="B155:F155"/>
    <mergeCell ref="G155:H155"/>
    <mergeCell ref="B156:F156"/>
    <mergeCell ref="G156:H156"/>
    <mergeCell ref="B157:F157"/>
    <mergeCell ref="G157:H157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61:F161"/>
    <mergeCell ref="G161:H161"/>
    <mergeCell ref="B162:F162"/>
    <mergeCell ref="G162:H162"/>
    <mergeCell ref="B163:F163"/>
    <mergeCell ref="G163:H163"/>
    <mergeCell ref="B168:F168"/>
    <mergeCell ref="G168:H168"/>
    <mergeCell ref="B169:F169"/>
    <mergeCell ref="G169:H169"/>
    <mergeCell ref="B170:F170"/>
    <mergeCell ref="G170:H170"/>
    <mergeCell ref="B172:F172"/>
    <mergeCell ref="G172:H172"/>
    <mergeCell ref="B173:F173"/>
    <mergeCell ref="G173:H173"/>
    <mergeCell ref="B174:F174"/>
    <mergeCell ref="G174:H174"/>
    <mergeCell ref="B178:F178"/>
    <mergeCell ref="G178:H178"/>
    <mergeCell ref="B175:F175"/>
    <mergeCell ref="G175:H175"/>
    <mergeCell ref="B176:F176"/>
    <mergeCell ref="G176:H176"/>
    <mergeCell ref="B177:F177"/>
    <mergeCell ref="G177:H177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57697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57697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6">
    <pageSetUpPr fitToPage="1"/>
  </sheetPr>
  <dimension ref="B2:N180"/>
  <sheetViews>
    <sheetView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55" t="s">
        <v>14</v>
      </c>
      <c r="C2" s="155"/>
      <c r="D2" s="155"/>
      <c r="E2" s="155"/>
      <c r="F2" s="155"/>
      <c r="G2" s="155"/>
      <c r="H2" s="155"/>
    </row>
    <row r="3" spans="2:14" s="1" customFormat="1" ht="21" thickBot="1">
      <c r="B3" s="156">
        <v>42673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19</v>
      </c>
      <c r="C6" s="62">
        <f>B3</f>
        <v>42673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34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57" t="s">
        <v>17</v>
      </c>
      <c r="C11" s="157"/>
      <c r="D11" s="158"/>
      <c r="E11" s="67">
        <f>EDATE(B3,-1)</f>
        <v>42643</v>
      </c>
      <c r="F11" s="67">
        <f>B3</f>
        <v>42673</v>
      </c>
      <c r="G11" s="44" t="s">
        <v>9</v>
      </c>
      <c r="H11" s="44" t="s">
        <v>10</v>
      </c>
      <c r="J11" s="71"/>
    </row>
    <row r="12" spans="2:14" s="70" customFormat="1" ht="17.25">
      <c r="B12" s="153" t="s">
        <v>0</v>
      </c>
      <c r="C12" s="153"/>
      <c r="D12" s="154"/>
      <c r="E12" s="72">
        <f>September!F12</f>
        <v>1401262</v>
      </c>
      <c r="F12" s="78">
        <v>1432458</v>
      </c>
      <c r="G12" s="11">
        <f>F12-E12</f>
        <v>31196</v>
      </c>
      <c r="H12" s="58">
        <f t="shared" ref="H12:H18" si="0">F12/E12-1</f>
        <v>2.2262788828927071E-2</v>
      </c>
      <c r="I12" s="79"/>
      <c r="J12" s="80"/>
    </row>
    <row r="13" spans="2:14" s="70" customFormat="1" ht="17.25">
      <c r="B13" s="147" t="s">
        <v>1</v>
      </c>
      <c r="C13" s="147"/>
      <c r="D13" s="148"/>
      <c r="E13" s="72">
        <f>September!F13</f>
        <v>30895</v>
      </c>
      <c r="F13" s="78">
        <v>30842</v>
      </c>
      <c r="G13" s="11">
        <f t="shared" ref="G13:G18" si="1">F13-E13</f>
        <v>-53</v>
      </c>
      <c r="H13" s="58">
        <f t="shared" si="0"/>
        <v>-1.7154879430328895E-3</v>
      </c>
      <c r="I13" s="79"/>
      <c r="J13" s="80"/>
    </row>
    <row r="14" spans="2:14" s="70" customFormat="1" ht="17.25">
      <c r="B14" s="147" t="s">
        <v>48</v>
      </c>
      <c r="C14" s="147"/>
      <c r="D14" s="148"/>
      <c r="E14" s="72">
        <f>September!F14</f>
        <v>13958</v>
      </c>
      <c r="F14" s="78">
        <v>13811</v>
      </c>
      <c r="G14" s="11">
        <f t="shared" si="1"/>
        <v>-147</v>
      </c>
      <c r="H14" s="58">
        <f t="shared" si="0"/>
        <v>-1.053159478435306E-2</v>
      </c>
      <c r="I14" s="79"/>
      <c r="J14" s="80"/>
    </row>
    <row r="15" spans="2:14" s="70" customFormat="1" ht="17.25">
      <c r="B15" s="149" t="s">
        <v>49</v>
      </c>
      <c r="C15" s="149"/>
      <c r="D15" s="150"/>
      <c r="E15" s="72">
        <f>September!F15</f>
        <v>6050</v>
      </c>
      <c r="F15" s="78">
        <v>6153</v>
      </c>
      <c r="G15" s="11">
        <f t="shared" si="1"/>
        <v>103</v>
      </c>
      <c r="H15" s="58">
        <f t="shared" si="0"/>
        <v>1.7024793388429771E-2</v>
      </c>
      <c r="I15" s="79"/>
      <c r="J15" s="80"/>
    </row>
    <row r="16" spans="2:14" s="70" customFormat="1" ht="17.25">
      <c r="B16" s="151" t="s">
        <v>50</v>
      </c>
      <c r="C16" s="151"/>
      <c r="D16" s="152"/>
      <c r="E16" s="72">
        <f>September!F16</f>
        <v>7908</v>
      </c>
      <c r="F16" s="78">
        <v>7658</v>
      </c>
      <c r="G16" s="11">
        <f t="shared" si="1"/>
        <v>-250</v>
      </c>
      <c r="H16" s="58">
        <f t="shared" si="0"/>
        <v>-3.161355589276682E-2</v>
      </c>
      <c r="I16" s="79"/>
      <c r="J16" s="80"/>
    </row>
    <row r="17" spans="2:10" s="70" customFormat="1" ht="18" customHeight="1" thickBot="1">
      <c r="B17" s="145" t="s">
        <v>2</v>
      </c>
      <c r="C17" s="145"/>
      <c r="D17" s="146"/>
      <c r="E17" s="72">
        <f>September!F17</f>
        <v>22333</v>
      </c>
      <c r="F17" s="78">
        <v>26822</v>
      </c>
      <c r="G17" s="11">
        <f t="shared" si="1"/>
        <v>4489</v>
      </c>
      <c r="H17" s="58">
        <f t="shared" si="0"/>
        <v>0.20100300004477689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f>September!F18</f>
        <v>1468448</v>
      </c>
      <c r="F18" s="66">
        <v>1503933</v>
      </c>
      <c r="G18" s="66">
        <f t="shared" si="1"/>
        <v>35485</v>
      </c>
      <c r="H18" s="63">
        <f t="shared" si="0"/>
        <v>2.416496872888918E-2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35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57" t="s">
        <v>17</v>
      </c>
      <c r="C22" s="157"/>
      <c r="D22" s="158"/>
      <c r="E22" s="67">
        <f>EDATE(B3,-1)</f>
        <v>42643</v>
      </c>
      <c r="F22" s="67">
        <f>F11</f>
        <v>42673</v>
      </c>
      <c r="G22" s="44" t="s">
        <v>9</v>
      </c>
      <c r="H22" s="44" t="s">
        <v>10</v>
      </c>
      <c r="J22" s="71"/>
    </row>
    <row r="23" spans="2:10" s="70" customFormat="1" ht="17.25">
      <c r="B23" s="153" t="s">
        <v>0</v>
      </c>
      <c r="C23" s="153"/>
      <c r="D23" s="154"/>
      <c r="E23" s="72">
        <f>September!F23</f>
        <v>1049230</v>
      </c>
      <c r="F23" s="78">
        <v>1061843</v>
      </c>
      <c r="G23" s="11">
        <f>F23-E23</f>
        <v>12613</v>
      </c>
      <c r="H23" s="58">
        <f>F23/E23-1</f>
        <v>1.2021196496478259E-2</v>
      </c>
      <c r="I23" s="80"/>
    </row>
    <row r="24" spans="2:10" s="70" customFormat="1" ht="17.25">
      <c r="B24" s="147" t="s">
        <v>1</v>
      </c>
      <c r="C24" s="147"/>
      <c r="D24" s="148"/>
      <c r="E24" s="72">
        <f>September!F24</f>
        <v>19110</v>
      </c>
      <c r="F24" s="78">
        <v>18990</v>
      </c>
      <c r="G24" s="11">
        <f t="shared" ref="G24:G29" si="2">F24-E24</f>
        <v>-120</v>
      </c>
      <c r="H24" s="58">
        <f t="shared" ref="H24:H29" si="3">F24/E24-1</f>
        <v>-6.2794348508634634E-3</v>
      </c>
      <c r="I24" s="80"/>
    </row>
    <row r="25" spans="2:10" s="70" customFormat="1" ht="17.25">
      <c r="B25" s="147" t="s">
        <v>48</v>
      </c>
      <c r="C25" s="147"/>
      <c r="D25" s="148"/>
      <c r="E25" s="72">
        <f>September!F25</f>
        <v>8966</v>
      </c>
      <c r="F25" s="78">
        <v>9026</v>
      </c>
      <c r="G25" s="11">
        <f t="shared" si="2"/>
        <v>60</v>
      </c>
      <c r="H25" s="58">
        <f t="shared" si="3"/>
        <v>6.6919473566808829E-3</v>
      </c>
      <c r="I25" s="80"/>
    </row>
    <row r="26" spans="2:10" s="70" customFormat="1" ht="17.25">
      <c r="B26" s="149" t="s">
        <v>49</v>
      </c>
      <c r="C26" s="149"/>
      <c r="D26" s="150"/>
      <c r="E26" s="72">
        <f>September!F26</f>
        <v>5512</v>
      </c>
      <c r="F26" s="78">
        <v>5589</v>
      </c>
      <c r="G26" s="11">
        <f t="shared" si="2"/>
        <v>77</v>
      </c>
      <c r="H26" s="58">
        <f t="shared" si="3"/>
        <v>1.3969521044992828E-2</v>
      </c>
      <c r="I26" s="80"/>
    </row>
    <row r="27" spans="2:10" s="70" customFormat="1" ht="17.25">
      <c r="B27" s="151" t="s">
        <v>50</v>
      </c>
      <c r="C27" s="151"/>
      <c r="D27" s="152"/>
      <c r="E27" s="72">
        <f>September!F27</f>
        <v>3454</v>
      </c>
      <c r="F27" s="78">
        <v>3437</v>
      </c>
      <c r="G27" s="11">
        <f t="shared" si="2"/>
        <v>-17</v>
      </c>
      <c r="H27" s="58">
        <f t="shared" si="3"/>
        <v>-4.9218297625941432E-3</v>
      </c>
      <c r="I27" s="80"/>
    </row>
    <row r="28" spans="2:10" s="70" customFormat="1" ht="18" customHeight="1" thickBot="1">
      <c r="B28" s="145" t="s">
        <v>2</v>
      </c>
      <c r="C28" s="145"/>
      <c r="D28" s="146"/>
      <c r="E28" s="72">
        <f>September!F28</f>
        <v>2602</v>
      </c>
      <c r="F28" s="78">
        <v>7021</v>
      </c>
      <c r="G28" s="11">
        <f t="shared" si="2"/>
        <v>4419</v>
      </c>
      <c r="H28" s="58">
        <f t="shared" si="3"/>
        <v>1.6983089930822444</v>
      </c>
      <c r="I28" s="80"/>
    </row>
    <row r="29" spans="2:10" s="64" customFormat="1" ht="18" thickBot="1">
      <c r="B29" s="59" t="s">
        <v>3</v>
      </c>
      <c r="C29" s="59"/>
      <c r="D29" s="60"/>
      <c r="E29" s="66">
        <f>September!F29</f>
        <v>1079908</v>
      </c>
      <c r="F29" s="66">
        <v>1096880</v>
      </c>
      <c r="G29" s="66">
        <f t="shared" si="2"/>
        <v>16972</v>
      </c>
      <c r="H29" s="63">
        <f t="shared" si="3"/>
        <v>1.57161535982695E-2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15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4" t="s">
        <v>17</v>
      </c>
      <c r="C33" s="124"/>
      <c r="D33" s="125"/>
      <c r="E33" s="67">
        <f>EDATE(B3,-1)</f>
        <v>42643</v>
      </c>
      <c r="F33" s="67">
        <f>F11</f>
        <v>42673</v>
      </c>
      <c r="G33" s="16" t="s">
        <v>9</v>
      </c>
      <c r="H33" s="16" t="s">
        <v>10</v>
      </c>
    </row>
    <row r="34" spans="2:9" ht="17.25">
      <c r="B34" s="153" t="s">
        <v>0</v>
      </c>
      <c r="C34" s="153"/>
      <c r="D34" s="154"/>
      <c r="E34" s="72">
        <f>September!F34</f>
        <v>77990</v>
      </c>
      <c r="F34" s="72">
        <v>75984</v>
      </c>
      <c r="G34" s="11">
        <f t="shared" ref="G34:G40" si="4">F34-E34</f>
        <v>-2006</v>
      </c>
      <c r="H34" s="58">
        <f t="shared" ref="H34:H40" si="5">F34/E34-1</f>
        <v>-2.5721246313629931E-2</v>
      </c>
      <c r="I34" s="57"/>
    </row>
    <row r="35" spans="2:9" ht="17.25">
      <c r="B35" s="147" t="s">
        <v>1</v>
      </c>
      <c r="C35" s="147"/>
      <c r="D35" s="148"/>
      <c r="E35" s="72">
        <f>September!F35</f>
        <v>1101</v>
      </c>
      <c r="F35" s="72">
        <v>1066</v>
      </c>
      <c r="G35" s="11">
        <f t="shared" si="4"/>
        <v>-35</v>
      </c>
      <c r="H35" s="58">
        <f t="shared" si="5"/>
        <v>-3.1789282470481406E-2</v>
      </c>
      <c r="I35" s="57"/>
    </row>
    <row r="36" spans="2:9" ht="17.25">
      <c r="B36" s="147" t="s">
        <v>48</v>
      </c>
      <c r="C36" s="147"/>
      <c r="D36" s="148"/>
      <c r="E36" s="72">
        <f>September!F36</f>
        <v>671</v>
      </c>
      <c r="F36" s="72">
        <v>654</v>
      </c>
      <c r="G36" s="11">
        <f t="shared" si="4"/>
        <v>-17</v>
      </c>
      <c r="H36" s="58">
        <f t="shared" si="5"/>
        <v>-2.5335320417287588E-2</v>
      </c>
      <c r="I36" s="57"/>
    </row>
    <row r="37" spans="2:9" ht="17.25">
      <c r="B37" s="149" t="s">
        <v>49</v>
      </c>
      <c r="C37" s="149"/>
      <c r="D37" s="150"/>
      <c r="E37" s="72">
        <f>September!F37</f>
        <v>362</v>
      </c>
      <c r="F37" s="72">
        <v>334</v>
      </c>
      <c r="G37" s="11">
        <f t="shared" si="4"/>
        <v>-28</v>
      </c>
      <c r="H37" s="58">
        <f t="shared" si="5"/>
        <v>-7.7348066298342566E-2</v>
      </c>
      <c r="I37" s="57"/>
    </row>
    <row r="38" spans="2:9" ht="17.25">
      <c r="B38" s="151" t="s">
        <v>50</v>
      </c>
      <c r="C38" s="151"/>
      <c r="D38" s="152"/>
      <c r="E38" s="72">
        <f>September!F38</f>
        <v>309</v>
      </c>
      <c r="F38" s="72">
        <v>320</v>
      </c>
      <c r="G38" s="11">
        <f t="shared" si="4"/>
        <v>11</v>
      </c>
      <c r="H38" s="58">
        <f t="shared" si="5"/>
        <v>3.5598705501618033E-2</v>
      </c>
      <c r="I38" s="57"/>
    </row>
    <row r="39" spans="2:9" ht="18" customHeight="1" thickBot="1">
      <c r="B39" s="145" t="s">
        <v>2</v>
      </c>
      <c r="C39" s="145"/>
      <c r="D39" s="146"/>
      <c r="E39" s="72">
        <f>September!F39</f>
        <v>1076</v>
      </c>
      <c r="F39" s="72">
        <v>3423</v>
      </c>
      <c r="G39" s="11">
        <f t="shared" si="4"/>
        <v>2347</v>
      </c>
      <c r="H39" s="58">
        <f t="shared" si="5"/>
        <v>2.1812267657992566</v>
      </c>
      <c r="I39" s="57"/>
    </row>
    <row r="40" spans="2:9" s="64" customFormat="1" ht="18" thickBot="1">
      <c r="B40" s="59" t="s">
        <v>3</v>
      </c>
      <c r="C40" s="59"/>
      <c r="D40" s="60"/>
      <c r="E40" s="66">
        <f>September!F40</f>
        <v>80838</v>
      </c>
      <c r="F40" s="66">
        <v>81127</v>
      </c>
      <c r="G40" s="66">
        <f t="shared" si="4"/>
        <v>289</v>
      </c>
      <c r="H40" s="63">
        <f t="shared" si="5"/>
        <v>3.5750513372423409E-3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16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36</v>
      </c>
      <c r="C48" s="23"/>
      <c r="D48" s="23"/>
      <c r="E48" s="23"/>
      <c r="F48" s="23"/>
      <c r="G48" s="23"/>
      <c r="H48" s="128" t="s">
        <v>12</v>
      </c>
      <c r="I48" s="128"/>
    </row>
    <row r="49" spans="2:9" ht="15.75" thickBot="1">
      <c r="B49" s="124" t="s">
        <v>17</v>
      </c>
      <c r="C49" s="124"/>
      <c r="D49" s="125"/>
      <c r="E49" s="67">
        <v>40908</v>
      </c>
      <c r="F49" s="67">
        <v>41274</v>
      </c>
      <c r="G49" s="67">
        <v>41639</v>
      </c>
      <c r="H49" s="67">
        <v>42004</v>
      </c>
      <c r="I49" s="67">
        <v>42369</v>
      </c>
    </row>
    <row r="50" spans="2:9" ht="17.25">
      <c r="B50" s="129" t="s">
        <v>0</v>
      </c>
      <c r="C50" s="129"/>
      <c r="D50" s="130"/>
      <c r="E50" s="74">
        <v>772175</v>
      </c>
      <c r="F50" s="74">
        <v>805549</v>
      </c>
      <c r="G50" s="74">
        <v>881844</v>
      </c>
      <c r="H50" s="74">
        <v>944559</v>
      </c>
      <c r="I50" s="74">
        <v>1006751</v>
      </c>
    </row>
    <row r="51" spans="2:9" ht="17.25">
      <c r="B51" s="131" t="s">
        <v>1</v>
      </c>
      <c r="C51" s="131"/>
      <c r="D51" s="132"/>
      <c r="E51" s="75">
        <v>16850</v>
      </c>
      <c r="F51" s="75">
        <v>17821</v>
      </c>
      <c r="G51" s="75">
        <v>19539</v>
      </c>
      <c r="H51" s="75">
        <v>20178</v>
      </c>
      <c r="I51" s="75">
        <v>20753</v>
      </c>
    </row>
    <row r="52" spans="2:9" ht="17.25">
      <c r="B52" s="133" t="s">
        <v>48</v>
      </c>
      <c r="C52" s="133"/>
      <c r="D52" s="134"/>
      <c r="E52" s="77">
        <v>5058</v>
      </c>
      <c r="F52" s="77">
        <v>5876</v>
      </c>
      <c r="G52" s="77">
        <v>6957</v>
      </c>
      <c r="H52" s="77">
        <v>7486</v>
      </c>
      <c r="I52" s="77">
        <v>8729</v>
      </c>
    </row>
    <row r="53" spans="2:9" ht="18" thickBot="1">
      <c r="B53" s="135" t="s">
        <v>2</v>
      </c>
      <c r="C53" s="135"/>
      <c r="D53" s="136"/>
      <c r="E53" s="73">
        <v>5242</v>
      </c>
      <c r="F53" s="73">
        <v>5261</v>
      </c>
      <c r="G53" s="73">
        <v>5182</v>
      </c>
      <c r="H53" s="73">
        <v>5142</v>
      </c>
      <c r="I53" s="73">
        <v>3836</v>
      </c>
    </row>
    <row r="54" spans="2:9" s="65" customFormat="1" ht="18" thickBot="1">
      <c r="B54" s="137" t="s">
        <v>3</v>
      </c>
      <c r="C54" s="137"/>
      <c r="D54" s="138"/>
      <c r="E54" s="76">
        <v>799325</v>
      </c>
      <c r="F54" s="76">
        <v>834507</v>
      </c>
      <c r="G54" s="76">
        <v>913522</v>
      </c>
      <c r="H54" s="76">
        <v>977365</v>
      </c>
      <c r="I54" s="76">
        <v>1040069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37</v>
      </c>
      <c r="C82" s="23"/>
      <c r="D82" s="23"/>
      <c r="E82" s="23"/>
      <c r="F82" s="23"/>
      <c r="G82" s="23"/>
      <c r="H82" s="104" t="s">
        <v>11</v>
      </c>
      <c r="I82"/>
      <c r="J82"/>
      <c r="K82"/>
    </row>
    <row r="83" spans="2:11" ht="15.75" thickBot="1">
      <c r="B83" s="31" t="s">
        <v>17</v>
      </c>
      <c r="C83" s="67">
        <f>EDATE(D83,-1)</f>
        <v>42520</v>
      </c>
      <c r="D83" s="67">
        <f>EDATE(E83,-1)</f>
        <v>42551</v>
      </c>
      <c r="E83" s="67">
        <f>EDATE(F83,-1)</f>
        <v>42581</v>
      </c>
      <c r="F83" s="67">
        <f>EDATE(G83,-1)</f>
        <v>42612</v>
      </c>
      <c r="G83" s="67">
        <f>EDATE(H83,-1)</f>
        <v>42643</v>
      </c>
      <c r="H83" s="67">
        <f>EDATE(E11,1)</f>
        <v>42673</v>
      </c>
      <c r="I83"/>
      <c r="J83"/>
    </row>
    <row r="84" spans="2:11" ht="16.5" customHeight="1">
      <c r="B84" s="24" t="s">
        <v>0</v>
      </c>
      <c r="C84" s="74">
        <v>1018892</v>
      </c>
      <c r="D84" s="74">
        <v>1028991</v>
      </c>
      <c r="E84" s="74">
        <v>1033667</v>
      </c>
      <c r="F84" s="74">
        <v>1040684</v>
      </c>
      <c r="G84" s="74">
        <v>1049230</v>
      </c>
      <c r="H84" s="74">
        <v>1061843</v>
      </c>
    </row>
    <row r="85" spans="2:11" ht="16.5" customHeight="1">
      <c r="B85" s="25" t="s">
        <v>1</v>
      </c>
      <c r="C85" s="75">
        <v>19023</v>
      </c>
      <c r="D85" s="75">
        <v>19118</v>
      </c>
      <c r="E85" s="75">
        <v>19019</v>
      </c>
      <c r="F85" s="75">
        <v>19083</v>
      </c>
      <c r="G85" s="75">
        <v>19110</v>
      </c>
      <c r="H85" s="75">
        <v>18990</v>
      </c>
    </row>
    <row r="86" spans="2:11" ht="16.5" customHeight="1">
      <c r="B86" s="26" t="s">
        <v>48</v>
      </c>
      <c r="C86" s="77">
        <v>8928</v>
      </c>
      <c r="D86" s="77">
        <v>9251</v>
      </c>
      <c r="E86" s="77">
        <v>8797</v>
      </c>
      <c r="F86" s="77">
        <v>8850</v>
      </c>
      <c r="G86" s="77">
        <v>8966</v>
      </c>
      <c r="H86" s="77">
        <v>9026</v>
      </c>
    </row>
    <row r="87" spans="2:11" ht="16.5" customHeight="1" thickBot="1">
      <c r="B87" s="27" t="s">
        <v>2</v>
      </c>
      <c r="C87" s="73">
        <v>1400</v>
      </c>
      <c r="D87" s="73">
        <v>1412</v>
      </c>
      <c r="E87" s="73">
        <v>1620</v>
      </c>
      <c r="F87" s="73">
        <v>2017</v>
      </c>
      <c r="G87" s="73">
        <v>2602</v>
      </c>
      <c r="H87" s="73">
        <v>7021</v>
      </c>
    </row>
    <row r="88" spans="2:11" s="65" customFormat="1" ht="18" thickBot="1">
      <c r="B88" s="105" t="s">
        <v>3</v>
      </c>
      <c r="C88" s="76">
        <v>1048243</v>
      </c>
      <c r="D88" s="76">
        <v>1058772</v>
      </c>
      <c r="E88" s="76">
        <v>1063103</v>
      </c>
      <c r="F88" s="76">
        <v>1070634</v>
      </c>
      <c r="G88" s="76">
        <v>1079908</v>
      </c>
      <c r="H88" s="76">
        <v>1096880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22</v>
      </c>
      <c r="C124" s="83">
        <f>B3</f>
        <v>42673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5" t="s">
        <v>23</v>
      </c>
      <c r="C128" s="139"/>
      <c r="D128" s="139"/>
      <c r="E128" s="139"/>
      <c r="F128" s="139"/>
      <c r="G128" s="140" t="s">
        <v>4</v>
      </c>
      <c r="H128" s="141"/>
    </row>
    <row r="129" spans="2:10" ht="18" customHeight="1" thickBot="1">
      <c r="B129" s="115" t="s">
        <v>21</v>
      </c>
      <c r="C129" s="142"/>
      <c r="D129" s="142"/>
      <c r="E129" s="142"/>
      <c r="F129" s="142"/>
      <c r="G129" s="143">
        <v>350</v>
      </c>
      <c r="H129" s="144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20</v>
      </c>
      <c r="C133" s="32"/>
      <c r="D133" s="32"/>
      <c r="E133" s="33"/>
      <c r="F133" s="85">
        <f>C6</f>
        <v>42673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24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25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26" t="s">
        <v>18</v>
      </c>
      <c r="C138" s="126"/>
      <c r="D138" s="126"/>
      <c r="E138" s="126"/>
      <c r="F138" s="127"/>
      <c r="G138" s="118" t="s">
        <v>5</v>
      </c>
      <c r="H138" s="119"/>
      <c r="I138"/>
    </row>
    <row r="139" spans="2:10" ht="17.25" customHeight="1">
      <c r="B139" s="120" t="s">
        <v>40</v>
      </c>
      <c r="C139" s="120" t="s">
        <v>40</v>
      </c>
      <c r="D139" s="120" t="s">
        <v>40</v>
      </c>
      <c r="E139" s="120" t="s">
        <v>40</v>
      </c>
      <c r="F139" s="121" t="s">
        <v>40</v>
      </c>
      <c r="G139" s="122">
        <v>244155</v>
      </c>
      <c r="H139" s="123">
        <v>244155</v>
      </c>
      <c r="I139" s="46"/>
      <c r="J139" s="49"/>
    </row>
    <row r="140" spans="2:10" ht="13.5" customHeight="1">
      <c r="B140" s="110" t="s">
        <v>28</v>
      </c>
      <c r="C140" s="110" t="s">
        <v>28</v>
      </c>
      <c r="D140" s="110" t="s">
        <v>28</v>
      </c>
      <c r="E140" s="110" t="s">
        <v>28</v>
      </c>
      <c r="F140" s="111" t="s">
        <v>28</v>
      </c>
      <c r="G140" s="112">
        <v>189752</v>
      </c>
      <c r="H140" s="113">
        <v>189752</v>
      </c>
      <c r="I140" s="46"/>
      <c r="J140" s="49"/>
    </row>
    <row r="141" spans="2:10" ht="17.25" customHeight="1">
      <c r="B141" s="110" t="s">
        <v>29</v>
      </c>
      <c r="C141" s="110" t="s">
        <v>29</v>
      </c>
      <c r="D141" s="110" t="s">
        <v>29</v>
      </c>
      <c r="E141" s="110" t="s">
        <v>29</v>
      </c>
      <c r="F141" s="111" t="s">
        <v>29</v>
      </c>
      <c r="G141" s="112">
        <v>162846</v>
      </c>
      <c r="H141" s="113">
        <v>162846</v>
      </c>
      <c r="I141" s="46"/>
      <c r="J141" s="49"/>
    </row>
    <row r="142" spans="2:10" ht="17.25" customHeight="1">
      <c r="B142" s="110" t="s">
        <v>41</v>
      </c>
      <c r="C142" s="110" t="s">
        <v>41</v>
      </c>
      <c r="D142" s="110" t="s">
        <v>41</v>
      </c>
      <c r="E142" s="110" t="s">
        <v>41</v>
      </c>
      <c r="F142" s="111" t="s">
        <v>41</v>
      </c>
      <c r="G142" s="112">
        <v>157189</v>
      </c>
      <c r="H142" s="113">
        <v>157189</v>
      </c>
      <c r="I142" s="46"/>
      <c r="J142" s="49"/>
    </row>
    <row r="143" spans="2:10" ht="17.25" customHeight="1">
      <c r="B143" s="110" t="s">
        <v>39</v>
      </c>
      <c r="C143" s="110" t="s">
        <v>39</v>
      </c>
      <c r="D143" s="110" t="s">
        <v>39</v>
      </c>
      <c r="E143" s="110" t="s">
        <v>39</v>
      </c>
      <c r="F143" s="111" t="s">
        <v>39</v>
      </c>
      <c r="G143" s="112">
        <v>87739</v>
      </c>
      <c r="H143" s="113">
        <v>87739</v>
      </c>
      <c r="I143" s="46"/>
      <c r="J143" s="49"/>
    </row>
    <row r="144" spans="2:10" ht="13.5" customHeight="1">
      <c r="B144" s="110" t="s">
        <v>42</v>
      </c>
      <c r="C144" s="110" t="s">
        <v>42</v>
      </c>
      <c r="D144" s="110" t="s">
        <v>42</v>
      </c>
      <c r="E144" s="110" t="s">
        <v>42</v>
      </c>
      <c r="F144" s="111" t="s">
        <v>42</v>
      </c>
      <c r="G144" s="112">
        <v>61506</v>
      </c>
      <c r="H144" s="113">
        <v>61506</v>
      </c>
      <c r="I144" s="50"/>
      <c r="J144" s="49"/>
    </row>
    <row r="145" spans="2:13" ht="17.25" customHeight="1">
      <c r="B145" s="110" t="s">
        <v>30</v>
      </c>
      <c r="C145" s="110" t="s">
        <v>30</v>
      </c>
      <c r="D145" s="110" t="s">
        <v>30</v>
      </c>
      <c r="E145" s="110" t="s">
        <v>30</v>
      </c>
      <c r="F145" s="111" t="s">
        <v>30</v>
      </c>
      <c r="G145" s="112">
        <v>49237</v>
      </c>
      <c r="H145" s="113">
        <v>49237</v>
      </c>
      <c r="I145" s="46"/>
      <c r="J145" s="49"/>
    </row>
    <row r="146" spans="2:13" ht="17.25" customHeight="1">
      <c r="B146" s="110" t="s">
        <v>45</v>
      </c>
      <c r="C146" s="110" t="s">
        <v>45</v>
      </c>
      <c r="D146" s="110" t="s">
        <v>45</v>
      </c>
      <c r="E146" s="110" t="s">
        <v>45</v>
      </c>
      <c r="F146" s="111" t="s">
        <v>45</v>
      </c>
      <c r="G146" s="112">
        <v>33076</v>
      </c>
      <c r="H146" s="113">
        <v>33076</v>
      </c>
      <c r="I146" s="46"/>
      <c r="J146" s="49"/>
    </row>
    <row r="147" spans="2:13" ht="17.25" customHeight="1">
      <c r="B147" s="110" t="s">
        <v>31</v>
      </c>
      <c r="C147" s="110" t="s">
        <v>31</v>
      </c>
      <c r="D147" s="110" t="s">
        <v>31</v>
      </c>
      <c r="E147" s="110" t="s">
        <v>31</v>
      </c>
      <c r="F147" s="111" t="s">
        <v>31</v>
      </c>
      <c r="G147" s="112">
        <v>21603</v>
      </c>
      <c r="H147" s="113">
        <v>21603</v>
      </c>
      <c r="I147" s="46"/>
      <c r="J147" s="49"/>
      <c r="L147"/>
    </row>
    <row r="148" spans="2:13" ht="18" customHeight="1" thickBot="1">
      <c r="B148" s="114" t="s">
        <v>32</v>
      </c>
      <c r="C148" s="114" t="s">
        <v>32</v>
      </c>
      <c r="D148" s="114" t="s">
        <v>32</v>
      </c>
      <c r="E148" s="114" t="s">
        <v>32</v>
      </c>
      <c r="F148" s="115" t="s">
        <v>32</v>
      </c>
      <c r="G148" s="116">
        <v>19859</v>
      </c>
      <c r="H148" s="117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26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4" t="s">
        <v>18</v>
      </c>
      <c r="C153" s="124"/>
      <c r="D153" s="124"/>
      <c r="E153" s="124"/>
      <c r="F153" s="125"/>
      <c r="G153" s="119" t="s">
        <v>5</v>
      </c>
      <c r="H153" s="119"/>
      <c r="I153" s="51"/>
      <c r="J153" s="51"/>
      <c r="K153"/>
      <c r="L153"/>
      <c r="M153"/>
    </row>
    <row r="154" spans="2:13" ht="17.25" customHeight="1">
      <c r="B154" s="120" t="s">
        <v>28</v>
      </c>
      <c r="C154" s="120" t="s">
        <v>28</v>
      </c>
      <c r="D154" s="120" t="s">
        <v>28</v>
      </c>
      <c r="E154" s="120" t="s">
        <v>28</v>
      </c>
      <c r="F154" s="121" t="s">
        <v>28</v>
      </c>
      <c r="G154" s="122">
        <v>12271</v>
      </c>
      <c r="H154" s="123">
        <v>12271</v>
      </c>
      <c r="I154" s="52"/>
      <c r="J154" s="49"/>
      <c r="K154" s="48"/>
      <c r="L154"/>
      <c r="M154"/>
    </row>
    <row r="155" spans="2:13" ht="17.25" customHeight="1">
      <c r="B155" s="110" t="s">
        <v>41</v>
      </c>
      <c r="C155" s="110" t="s">
        <v>41</v>
      </c>
      <c r="D155" s="110" t="s">
        <v>41</v>
      </c>
      <c r="E155" s="110" t="s">
        <v>41</v>
      </c>
      <c r="F155" s="111" t="s">
        <v>41</v>
      </c>
      <c r="G155" s="112">
        <v>11904</v>
      </c>
      <c r="H155" s="113">
        <v>11904</v>
      </c>
      <c r="I155" s="52"/>
      <c r="J155" s="49"/>
      <c r="K155" s="48"/>
      <c r="L155"/>
      <c r="M155"/>
    </row>
    <row r="156" spans="2:13" ht="17.25" customHeight="1">
      <c r="B156" s="110" t="s">
        <v>29</v>
      </c>
      <c r="C156" s="110" t="s">
        <v>29</v>
      </c>
      <c r="D156" s="110" t="s">
        <v>29</v>
      </c>
      <c r="E156" s="110" t="s">
        <v>29</v>
      </c>
      <c r="F156" s="111" t="s">
        <v>29</v>
      </c>
      <c r="G156" s="112">
        <v>11576</v>
      </c>
      <c r="H156" s="113">
        <v>11576</v>
      </c>
      <c r="I156" s="52"/>
      <c r="J156" s="49"/>
      <c r="K156" s="48"/>
      <c r="L156"/>
      <c r="M156"/>
    </row>
    <row r="157" spans="2:13" ht="17.25">
      <c r="B157" s="110" t="s">
        <v>40</v>
      </c>
      <c r="C157" s="110" t="s">
        <v>40</v>
      </c>
      <c r="D157" s="110" t="s">
        <v>40</v>
      </c>
      <c r="E157" s="110" t="s">
        <v>40</v>
      </c>
      <c r="F157" s="111" t="s">
        <v>40</v>
      </c>
      <c r="G157" s="112">
        <v>11141</v>
      </c>
      <c r="H157" s="113">
        <v>11141</v>
      </c>
      <c r="I157" s="52"/>
      <c r="J157" s="49"/>
      <c r="K157" s="48"/>
      <c r="L157"/>
      <c r="M157"/>
    </row>
    <row r="158" spans="2:13" ht="17.25" customHeight="1">
      <c r="B158" s="110" t="s">
        <v>39</v>
      </c>
      <c r="C158" s="110" t="s">
        <v>39</v>
      </c>
      <c r="D158" s="110" t="s">
        <v>39</v>
      </c>
      <c r="E158" s="110" t="s">
        <v>39</v>
      </c>
      <c r="F158" s="111" t="s">
        <v>39</v>
      </c>
      <c r="G158" s="112">
        <v>9360</v>
      </c>
      <c r="H158" s="113">
        <v>9360</v>
      </c>
      <c r="I158" s="52"/>
      <c r="J158" s="49"/>
      <c r="K158" s="48"/>
      <c r="L158"/>
      <c r="M158"/>
    </row>
    <row r="159" spans="2:13" ht="17.25" customHeight="1">
      <c r="B159" s="110" t="s">
        <v>42</v>
      </c>
      <c r="C159" s="110" t="s">
        <v>42</v>
      </c>
      <c r="D159" s="110" t="s">
        <v>42</v>
      </c>
      <c r="E159" s="110" t="s">
        <v>42</v>
      </c>
      <c r="F159" s="111" t="s">
        <v>42</v>
      </c>
      <c r="G159" s="112">
        <v>3853</v>
      </c>
      <c r="H159" s="113">
        <v>3853</v>
      </c>
      <c r="I159" s="53"/>
      <c r="J159" s="49"/>
      <c r="K159" s="48"/>
      <c r="L159"/>
      <c r="M159"/>
    </row>
    <row r="160" spans="2:13" ht="17.25" customHeight="1">
      <c r="B160" s="110" t="s">
        <v>30</v>
      </c>
      <c r="C160" s="110" t="s">
        <v>30</v>
      </c>
      <c r="D160" s="110" t="s">
        <v>30</v>
      </c>
      <c r="E160" s="110" t="s">
        <v>30</v>
      </c>
      <c r="F160" s="111" t="s">
        <v>30</v>
      </c>
      <c r="G160" s="112">
        <v>2753</v>
      </c>
      <c r="H160" s="113">
        <v>2753</v>
      </c>
      <c r="I160" s="52"/>
      <c r="J160" s="49"/>
      <c r="K160" s="48"/>
      <c r="L160"/>
      <c r="M160"/>
    </row>
    <row r="161" spans="2:13" ht="17.25" customHeight="1">
      <c r="B161" s="110" t="s">
        <v>43</v>
      </c>
      <c r="C161" s="110" t="s">
        <v>43</v>
      </c>
      <c r="D161" s="110" t="s">
        <v>43</v>
      </c>
      <c r="E161" s="110" t="s">
        <v>43</v>
      </c>
      <c r="F161" s="111" t="s">
        <v>43</v>
      </c>
      <c r="G161" s="112">
        <v>2304</v>
      </c>
      <c r="H161" s="113">
        <v>2304</v>
      </c>
      <c r="I161" s="52"/>
      <c r="J161" s="49"/>
      <c r="K161" s="48"/>
      <c r="L161"/>
      <c r="M161"/>
    </row>
    <row r="162" spans="2:13" ht="17.25" customHeight="1">
      <c r="B162" s="110" t="s">
        <v>56</v>
      </c>
      <c r="C162" s="110" t="s">
        <v>56</v>
      </c>
      <c r="D162" s="110" t="s">
        <v>56</v>
      </c>
      <c r="E162" s="110" t="s">
        <v>56</v>
      </c>
      <c r="F162" s="111" t="s">
        <v>56</v>
      </c>
      <c r="G162" s="112">
        <v>2222</v>
      </c>
      <c r="H162" s="113">
        <v>2222</v>
      </c>
      <c r="I162" s="52"/>
      <c r="J162" s="49"/>
      <c r="K162" s="48"/>
      <c r="L162"/>
      <c r="M162"/>
    </row>
    <row r="163" spans="2:13" ht="18" customHeight="1" thickBot="1">
      <c r="B163" s="114" t="s">
        <v>44</v>
      </c>
      <c r="C163" s="114" t="s">
        <v>44</v>
      </c>
      <c r="D163" s="114" t="s">
        <v>44</v>
      </c>
      <c r="E163" s="114" t="s">
        <v>44</v>
      </c>
      <c r="F163" s="115" t="s">
        <v>44</v>
      </c>
      <c r="G163" s="116">
        <v>1845</v>
      </c>
      <c r="H163" s="117">
        <v>1845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27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26" t="s">
        <v>18</v>
      </c>
      <c r="C168" s="126"/>
      <c r="D168" s="126"/>
      <c r="E168" s="126"/>
      <c r="F168" s="127"/>
      <c r="G168" s="118" t="s">
        <v>8</v>
      </c>
      <c r="H168" s="119"/>
      <c r="I168" s="2"/>
      <c r="J168" s="2"/>
    </row>
    <row r="169" spans="2:13" ht="17.25" customHeight="1">
      <c r="B169" s="120" t="s">
        <v>39</v>
      </c>
      <c r="C169" s="120" t="s">
        <v>39</v>
      </c>
      <c r="D169" s="120" t="s">
        <v>39</v>
      </c>
      <c r="E169" s="120" t="s">
        <v>39</v>
      </c>
      <c r="F169" s="121" t="s">
        <v>39</v>
      </c>
      <c r="G169" s="122">
        <v>1739515728889.8301</v>
      </c>
      <c r="H169" s="123">
        <v>1739515728889.8301</v>
      </c>
      <c r="I169" s="54"/>
      <c r="J169" s="55"/>
    </row>
    <row r="170" spans="2:13" ht="17.25" customHeight="1">
      <c r="B170" s="110" t="s">
        <v>29</v>
      </c>
      <c r="C170" s="110" t="s">
        <v>29</v>
      </c>
      <c r="D170" s="110" t="s">
        <v>29</v>
      </c>
      <c r="E170" s="110" t="s">
        <v>29</v>
      </c>
      <c r="F170" s="111" t="s">
        <v>29</v>
      </c>
      <c r="G170" s="112">
        <v>1354600750295.73</v>
      </c>
      <c r="H170" s="113">
        <v>1354600750295.73</v>
      </c>
      <c r="I170" s="54"/>
      <c r="J170" s="55"/>
    </row>
    <row r="171" spans="2:13" ht="17.25" customHeight="1">
      <c r="B171" s="110" t="s">
        <v>38</v>
      </c>
      <c r="C171" s="110" t="s">
        <v>38</v>
      </c>
      <c r="D171" s="110" t="s">
        <v>38</v>
      </c>
      <c r="E171" s="110" t="s">
        <v>38</v>
      </c>
      <c r="F171" s="111" t="s">
        <v>38</v>
      </c>
      <c r="G171" s="112">
        <v>1070668418695.1801</v>
      </c>
      <c r="H171" s="113">
        <v>1070668418695.1801</v>
      </c>
      <c r="I171" s="54"/>
      <c r="J171" s="55"/>
    </row>
    <row r="172" spans="2:13" ht="17.25" customHeight="1">
      <c r="B172" s="110" t="s">
        <v>44</v>
      </c>
      <c r="C172" s="110" t="s">
        <v>44</v>
      </c>
      <c r="D172" s="110" t="s">
        <v>44</v>
      </c>
      <c r="E172" s="110" t="s">
        <v>44</v>
      </c>
      <c r="F172" s="111" t="s">
        <v>44</v>
      </c>
      <c r="G172" s="112">
        <v>576882860772.34998</v>
      </c>
      <c r="H172" s="113">
        <v>576882860772.34998</v>
      </c>
      <c r="I172" s="54"/>
      <c r="J172" s="55"/>
    </row>
    <row r="173" spans="2:13" ht="17.25" customHeight="1">
      <c r="B173" s="110" t="s">
        <v>51</v>
      </c>
      <c r="C173" s="110" t="s">
        <v>51</v>
      </c>
      <c r="D173" s="110" t="s">
        <v>51</v>
      </c>
      <c r="E173" s="110" t="s">
        <v>51</v>
      </c>
      <c r="F173" s="111" t="s">
        <v>51</v>
      </c>
      <c r="G173" s="112">
        <v>507189729827.97498</v>
      </c>
      <c r="H173" s="113">
        <v>507189729827.97498</v>
      </c>
      <c r="I173" s="56"/>
      <c r="J173" s="49"/>
    </row>
    <row r="174" spans="2:13" ht="17.25" customHeight="1">
      <c r="B174" s="110" t="s">
        <v>28</v>
      </c>
      <c r="C174" s="110" t="s">
        <v>28</v>
      </c>
      <c r="D174" s="110" t="s">
        <v>28</v>
      </c>
      <c r="E174" s="110" t="s">
        <v>28</v>
      </c>
      <c r="F174" s="111" t="s">
        <v>28</v>
      </c>
      <c r="G174" s="112">
        <v>465952895039.53998</v>
      </c>
      <c r="H174" s="113">
        <v>465952895039.53998</v>
      </c>
      <c r="I174" s="54"/>
      <c r="J174" s="55"/>
    </row>
    <row r="175" spans="2:13" ht="17.25" customHeight="1">
      <c r="B175" s="110" t="s">
        <v>46</v>
      </c>
      <c r="C175" s="110" t="s">
        <v>46</v>
      </c>
      <c r="D175" s="110" t="s">
        <v>46</v>
      </c>
      <c r="E175" s="110" t="s">
        <v>46</v>
      </c>
      <c r="F175" s="111" t="s">
        <v>46</v>
      </c>
      <c r="G175" s="112">
        <v>448705093242.35999</v>
      </c>
      <c r="H175" s="113">
        <v>448705093242.35999</v>
      </c>
      <c r="I175" s="54"/>
      <c r="J175" s="55"/>
    </row>
    <row r="176" spans="2:13" ht="17.25" customHeight="1">
      <c r="B176" s="110" t="s">
        <v>41</v>
      </c>
      <c r="C176" s="110" t="s">
        <v>41</v>
      </c>
      <c r="D176" s="110" t="s">
        <v>41</v>
      </c>
      <c r="E176" s="110" t="s">
        <v>41</v>
      </c>
      <c r="F176" s="111" t="s">
        <v>41</v>
      </c>
      <c r="G176" s="112">
        <v>385004758466.03998</v>
      </c>
      <c r="H176" s="113">
        <v>385004758466.03998</v>
      </c>
      <c r="I176" s="54"/>
      <c r="J176" s="55"/>
    </row>
    <row r="177" spans="2:10" ht="17.25" customHeight="1">
      <c r="B177" s="110" t="s">
        <v>52</v>
      </c>
      <c r="C177" s="110" t="s">
        <v>52</v>
      </c>
      <c r="D177" s="110" t="s">
        <v>52</v>
      </c>
      <c r="E177" s="110" t="s">
        <v>52</v>
      </c>
      <c r="F177" s="111" t="s">
        <v>52</v>
      </c>
      <c r="G177" s="112">
        <v>321350632625.03003</v>
      </c>
      <c r="H177" s="113">
        <v>321350632625.03003</v>
      </c>
      <c r="I177" s="54"/>
      <c r="J177" s="55"/>
    </row>
    <row r="178" spans="2:10" ht="18" customHeight="1" thickBot="1">
      <c r="B178" s="114" t="s">
        <v>33</v>
      </c>
      <c r="C178" s="114" t="s">
        <v>33</v>
      </c>
      <c r="D178" s="114" t="s">
        <v>33</v>
      </c>
      <c r="E178" s="114" t="s">
        <v>33</v>
      </c>
      <c r="F178" s="115" t="s">
        <v>33</v>
      </c>
      <c r="G178" s="116">
        <v>302439793282.547</v>
      </c>
      <c r="H178" s="117">
        <v>302439793282.547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2:H2"/>
    <mergeCell ref="B3:H3"/>
    <mergeCell ref="I3:N3"/>
    <mergeCell ref="B11:D11"/>
    <mergeCell ref="B12:D12"/>
    <mergeCell ref="B13:D13"/>
    <mergeCell ref="B24:D24"/>
    <mergeCell ref="B25:D25"/>
    <mergeCell ref="B26:D26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58721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58721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7">
    <pageSetUpPr fitToPage="1"/>
  </sheetPr>
  <dimension ref="B2:N180"/>
  <sheetViews>
    <sheetView topLeftCell="A19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55" t="s">
        <v>14</v>
      </c>
      <c r="C2" s="155"/>
      <c r="D2" s="155"/>
      <c r="E2" s="155"/>
      <c r="F2" s="155"/>
      <c r="G2" s="155"/>
      <c r="H2" s="155"/>
    </row>
    <row r="3" spans="2:14" s="1" customFormat="1" ht="21" thickBot="1">
      <c r="B3" s="156">
        <v>42704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19</v>
      </c>
      <c r="C6" s="62">
        <f>B3</f>
        <v>42704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34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57" t="s">
        <v>17</v>
      </c>
      <c r="C11" s="157"/>
      <c r="D11" s="158"/>
      <c r="E11" s="67">
        <f>EDATE(B3,-1)</f>
        <v>42673</v>
      </c>
      <c r="F11" s="67">
        <f>B3</f>
        <v>42704</v>
      </c>
      <c r="G11" s="44" t="s">
        <v>9</v>
      </c>
      <c r="H11" s="44" t="s">
        <v>10</v>
      </c>
      <c r="J11" s="71"/>
    </row>
    <row r="12" spans="2:14" s="70" customFormat="1" ht="17.25">
      <c r="B12" s="153" t="s">
        <v>0</v>
      </c>
      <c r="C12" s="153"/>
      <c r="D12" s="154"/>
      <c r="E12" s="72">
        <f>October!F12</f>
        <v>1432458</v>
      </c>
      <c r="F12" s="78">
        <v>1523242</v>
      </c>
      <c r="G12" s="11">
        <f>F12-E12</f>
        <v>90784</v>
      </c>
      <c r="H12" s="58">
        <f t="shared" ref="H12:H18" si="0">F12/E12-1</f>
        <v>6.3376378225399987E-2</v>
      </c>
      <c r="I12" s="79"/>
      <c r="J12" s="80"/>
    </row>
    <row r="13" spans="2:14" s="70" customFormat="1" ht="17.25">
      <c r="B13" s="147" t="s">
        <v>1</v>
      </c>
      <c r="C13" s="147"/>
      <c r="D13" s="148"/>
      <c r="E13" s="72">
        <f>October!F13</f>
        <v>30842</v>
      </c>
      <c r="F13" s="78">
        <v>32385</v>
      </c>
      <c r="G13" s="11">
        <f t="shared" ref="G13:G18" si="1">F13-E13</f>
        <v>1543</v>
      </c>
      <c r="H13" s="58">
        <f t="shared" si="0"/>
        <v>5.0029180986965738E-2</v>
      </c>
      <c r="I13" s="79"/>
      <c r="J13" s="80"/>
    </row>
    <row r="14" spans="2:14" s="70" customFormat="1" ht="17.25">
      <c r="B14" s="147" t="s">
        <v>48</v>
      </c>
      <c r="C14" s="147"/>
      <c r="D14" s="148"/>
      <c r="E14" s="72">
        <f>October!F14</f>
        <v>13811</v>
      </c>
      <c r="F14" s="78">
        <v>13790</v>
      </c>
      <c r="G14" s="11">
        <f t="shared" si="1"/>
        <v>-21</v>
      </c>
      <c r="H14" s="58">
        <f t="shared" si="0"/>
        <v>-1.5205271160668721E-3</v>
      </c>
      <c r="I14" s="79"/>
      <c r="J14" s="80"/>
    </row>
    <row r="15" spans="2:14" s="70" customFormat="1" ht="17.25">
      <c r="B15" s="149" t="s">
        <v>49</v>
      </c>
      <c r="C15" s="149"/>
      <c r="D15" s="150"/>
      <c r="E15" s="72">
        <f>October!F15</f>
        <v>6153</v>
      </c>
      <c r="F15" s="78">
        <v>6200</v>
      </c>
      <c r="G15" s="11">
        <f t="shared" si="1"/>
        <v>47</v>
      </c>
      <c r="H15" s="58">
        <f t="shared" si="0"/>
        <v>7.6385503006664024E-3</v>
      </c>
      <c r="I15" s="79"/>
      <c r="J15" s="80"/>
    </row>
    <row r="16" spans="2:14" s="70" customFormat="1" ht="17.25">
      <c r="B16" s="151" t="s">
        <v>50</v>
      </c>
      <c r="C16" s="151"/>
      <c r="D16" s="152"/>
      <c r="E16" s="72">
        <f>October!F16</f>
        <v>7658</v>
      </c>
      <c r="F16" s="78">
        <v>7590</v>
      </c>
      <c r="G16" s="11">
        <f t="shared" si="1"/>
        <v>-68</v>
      </c>
      <c r="H16" s="58">
        <f t="shared" si="0"/>
        <v>-8.8796030295116291E-3</v>
      </c>
      <c r="I16" s="79"/>
      <c r="J16" s="80"/>
    </row>
    <row r="17" spans="2:10" s="70" customFormat="1" ht="18" customHeight="1" thickBot="1">
      <c r="B17" s="145" t="s">
        <v>2</v>
      </c>
      <c r="C17" s="145"/>
      <c r="D17" s="146"/>
      <c r="E17" s="72">
        <f>October!F17</f>
        <v>26822</v>
      </c>
      <c r="F17" s="78">
        <v>30721</v>
      </c>
      <c r="G17" s="11">
        <f t="shared" si="1"/>
        <v>3899</v>
      </c>
      <c r="H17" s="58">
        <f t="shared" si="0"/>
        <v>0.14536574453806583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f>October!F18</f>
        <v>1503933</v>
      </c>
      <c r="F18" s="66">
        <v>1600138</v>
      </c>
      <c r="G18" s="66">
        <f t="shared" si="1"/>
        <v>96205</v>
      </c>
      <c r="H18" s="63">
        <f t="shared" si="0"/>
        <v>6.3968940105709526E-2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35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57" t="s">
        <v>17</v>
      </c>
      <c r="C22" s="157"/>
      <c r="D22" s="158"/>
      <c r="E22" s="67">
        <f>EDATE(B3,-1)</f>
        <v>42673</v>
      </c>
      <c r="F22" s="67">
        <f>F11</f>
        <v>42704</v>
      </c>
      <c r="G22" s="44" t="s">
        <v>9</v>
      </c>
      <c r="H22" s="44" t="s">
        <v>10</v>
      </c>
      <c r="J22" s="71"/>
    </row>
    <row r="23" spans="2:10" s="70" customFormat="1" ht="17.25">
      <c r="B23" s="153" t="s">
        <v>0</v>
      </c>
      <c r="C23" s="153"/>
      <c r="D23" s="154"/>
      <c r="E23" s="72">
        <f>October!F23</f>
        <v>1061843</v>
      </c>
      <c r="F23" s="78">
        <v>1080706</v>
      </c>
      <c r="G23" s="11">
        <f>F23-E23</f>
        <v>18863</v>
      </c>
      <c r="H23" s="58">
        <f>F23/E23-1</f>
        <v>1.7764396431487528E-2</v>
      </c>
      <c r="I23" s="80"/>
    </row>
    <row r="24" spans="2:10" s="70" customFormat="1" ht="17.25">
      <c r="B24" s="147" t="s">
        <v>1</v>
      </c>
      <c r="C24" s="147"/>
      <c r="D24" s="148"/>
      <c r="E24" s="72">
        <f>October!F24</f>
        <v>18990</v>
      </c>
      <c r="F24" s="78">
        <v>19037</v>
      </c>
      <c r="G24" s="11">
        <f t="shared" ref="G24:G29" si="2">F24-E24</f>
        <v>47</v>
      </c>
      <c r="H24" s="58">
        <f t="shared" ref="H24:H29" si="3">F24/E24-1</f>
        <v>2.4749868351763293E-3</v>
      </c>
      <c r="I24" s="80"/>
    </row>
    <row r="25" spans="2:10" s="70" customFormat="1" ht="17.25">
      <c r="B25" s="147" t="s">
        <v>48</v>
      </c>
      <c r="C25" s="147"/>
      <c r="D25" s="148"/>
      <c r="E25" s="72">
        <f>October!F25</f>
        <v>9026</v>
      </c>
      <c r="F25" s="78">
        <v>9070</v>
      </c>
      <c r="G25" s="11">
        <f t="shared" si="2"/>
        <v>44</v>
      </c>
      <c r="H25" s="58">
        <f t="shared" si="3"/>
        <v>4.8748061156658196E-3</v>
      </c>
      <c r="I25" s="80"/>
    </row>
    <row r="26" spans="2:10" s="70" customFormat="1" ht="17.25">
      <c r="B26" s="149" t="s">
        <v>49</v>
      </c>
      <c r="C26" s="149"/>
      <c r="D26" s="150"/>
      <c r="E26" s="72">
        <f>October!F26</f>
        <v>5589</v>
      </c>
      <c r="F26" s="78">
        <v>5652</v>
      </c>
      <c r="G26" s="11">
        <f t="shared" si="2"/>
        <v>63</v>
      </c>
      <c r="H26" s="58">
        <f t="shared" si="3"/>
        <v>1.1272141706924366E-2</v>
      </c>
      <c r="I26" s="80"/>
    </row>
    <row r="27" spans="2:10" s="70" customFormat="1" ht="17.25">
      <c r="B27" s="151" t="s">
        <v>50</v>
      </c>
      <c r="C27" s="151"/>
      <c r="D27" s="152"/>
      <c r="E27" s="72">
        <f>October!F27</f>
        <v>3437</v>
      </c>
      <c r="F27" s="78">
        <v>3418</v>
      </c>
      <c r="G27" s="11">
        <f t="shared" si="2"/>
        <v>-19</v>
      </c>
      <c r="H27" s="58">
        <f t="shared" si="3"/>
        <v>-5.5280768111725109E-3</v>
      </c>
      <c r="I27" s="80"/>
    </row>
    <row r="28" spans="2:10" s="70" customFormat="1" ht="18" customHeight="1" thickBot="1">
      <c r="B28" s="145" t="s">
        <v>2</v>
      </c>
      <c r="C28" s="145"/>
      <c r="D28" s="146"/>
      <c r="E28" s="72">
        <f>October!F28</f>
        <v>7021</v>
      </c>
      <c r="F28" s="78">
        <v>10116</v>
      </c>
      <c r="G28" s="11">
        <f t="shared" si="2"/>
        <v>3095</v>
      </c>
      <c r="H28" s="58">
        <f t="shared" si="3"/>
        <v>0.44082039595499212</v>
      </c>
      <c r="I28" s="80"/>
    </row>
    <row r="29" spans="2:10" s="64" customFormat="1" ht="18" thickBot="1">
      <c r="B29" s="59" t="s">
        <v>3</v>
      </c>
      <c r="C29" s="59"/>
      <c r="D29" s="60"/>
      <c r="E29" s="66">
        <f>October!F29</f>
        <v>1096880</v>
      </c>
      <c r="F29" s="66">
        <v>1118929</v>
      </c>
      <c r="G29" s="66">
        <f t="shared" si="2"/>
        <v>22049</v>
      </c>
      <c r="H29" s="63">
        <f t="shared" si="3"/>
        <v>2.0101560790606099E-2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15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4" t="s">
        <v>17</v>
      </c>
      <c r="C33" s="124"/>
      <c r="D33" s="125"/>
      <c r="E33" s="67">
        <f>EDATE(B3,-1)</f>
        <v>42673</v>
      </c>
      <c r="F33" s="67">
        <f>F11</f>
        <v>42704</v>
      </c>
      <c r="G33" s="16" t="s">
        <v>9</v>
      </c>
      <c r="H33" s="16" t="s">
        <v>10</v>
      </c>
    </row>
    <row r="34" spans="2:9" ht="17.25">
      <c r="B34" s="153" t="s">
        <v>0</v>
      </c>
      <c r="C34" s="153"/>
      <c r="D34" s="154"/>
      <c r="E34" s="72">
        <f>October!F34</f>
        <v>75984</v>
      </c>
      <c r="F34" s="72">
        <v>85263</v>
      </c>
      <c r="G34" s="11">
        <f t="shared" ref="G34:G40" si="4">F34-E34</f>
        <v>9279</v>
      </c>
      <c r="H34" s="58">
        <f t="shared" ref="H34:H40" si="5">F34/E34-1</f>
        <v>0.12211781427668988</v>
      </c>
      <c r="I34" s="57"/>
    </row>
    <row r="35" spans="2:9" ht="17.25">
      <c r="B35" s="147" t="s">
        <v>1</v>
      </c>
      <c r="C35" s="147"/>
      <c r="D35" s="148"/>
      <c r="E35" s="72">
        <f>October!F35</f>
        <v>1066</v>
      </c>
      <c r="F35" s="72">
        <v>1065</v>
      </c>
      <c r="G35" s="11">
        <f t="shared" si="4"/>
        <v>-1</v>
      </c>
      <c r="H35" s="58">
        <f t="shared" si="5"/>
        <v>-9.3808630393998893E-4</v>
      </c>
      <c r="I35" s="57"/>
    </row>
    <row r="36" spans="2:9" ht="17.25">
      <c r="B36" s="147" t="s">
        <v>48</v>
      </c>
      <c r="C36" s="147"/>
      <c r="D36" s="148"/>
      <c r="E36" s="72">
        <f>October!F36</f>
        <v>654</v>
      </c>
      <c r="F36" s="72">
        <v>708</v>
      </c>
      <c r="G36" s="11">
        <f t="shared" si="4"/>
        <v>54</v>
      </c>
      <c r="H36" s="58">
        <f t="shared" si="5"/>
        <v>8.256880733944949E-2</v>
      </c>
      <c r="I36" s="57"/>
    </row>
    <row r="37" spans="2:9" ht="17.25">
      <c r="B37" s="149" t="s">
        <v>49</v>
      </c>
      <c r="C37" s="149"/>
      <c r="D37" s="150"/>
      <c r="E37" s="72">
        <f>October!F37</f>
        <v>334</v>
      </c>
      <c r="F37" s="72">
        <v>393</v>
      </c>
      <c r="G37" s="11">
        <f t="shared" si="4"/>
        <v>59</v>
      </c>
      <c r="H37" s="58">
        <f t="shared" si="5"/>
        <v>0.17664670658682624</v>
      </c>
      <c r="I37" s="57"/>
    </row>
    <row r="38" spans="2:9" ht="17.25">
      <c r="B38" s="151" t="s">
        <v>50</v>
      </c>
      <c r="C38" s="151"/>
      <c r="D38" s="152"/>
      <c r="E38" s="72">
        <f>October!F38</f>
        <v>320</v>
      </c>
      <c r="F38" s="72">
        <v>315</v>
      </c>
      <c r="G38" s="11">
        <f t="shared" si="4"/>
        <v>-5</v>
      </c>
      <c r="H38" s="58">
        <f t="shared" si="5"/>
        <v>-1.5625E-2</v>
      </c>
      <c r="I38" s="57"/>
    </row>
    <row r="39" spans="2:9" ht="18" customHeight="1" thickBot="1">
      <c r="B39" s="145" t="s">
        <v>2</v>
      </c>
      <c r="C39" s="145"/>
      <c r="D39" s="146"/>
      <c r="E39" s="72">
        <f>October!F39</f>
        <v>3423</v>
      </c>
      <c r="F39" s="72">
        <v>6299</v>
      </c>
      <c r="G39" s="11">
        <f t="shared" si="4"/>
        <v>2876</v>
      </c>
      <c r="H39" s="58">
        <f t="shared" si="5"/>
        <v>0.84019865614957645</v>
      </c>
      <c r="I39" s="57"/>
    </row>
    <row r="40" spans="2:9" s="64" customFormat="1" ht="18" thickBot="1">
      <c r="B40" s="59" t="s">
        <v>3</v>
      </c>
      <c r="C40" s="59"/>
      <c r="D40" s="60"/>
      <c r="E40" s="66">
        <f>October!F40</f>
        <v>81127</v>
      </c>
      <c r="F40" s="66">
        <v>93335</v>
      </c>
      <c r="G40" s="66">
        <f t="shared" si="4"/>
        <v>12208</v>
      </c>
      <c r="H40" s="63">
        <f t="shared" si="5"/>
        <v>0.15048011143022677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16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36</v>
      </c>
      <c r="C48" s="23"/>
      <c r="D48" s="23"/>
      <c r="E48" s="23"/>
      <c r="F48" s="23"/>
      <c r="G48" s="23"/>
      <c r="H48" s="128" t="s">
        <v>12</v>
      </c>
      <c r="I48" s="128"/>
    </row>
    <row r="49" spans="2:9" ht="15.75" thickBot="1">
      <c r="B49" s="124" t="s">
        <v>17</v>
      </c>
      <c r="C49" s="124"/>
      <c r="D49" s="125"/>
      <c r="E49" s="67">
        <v>40908</v>
      </c>
      <c r="F49" s="67">
        <v>41274</v>
      </c>
      <c r="G49" s="67">
        <v>41639</v>
      </c>
      <c r="H49" s="67">
        <v>42004</v>
      </c>
      <c r="I49" s="67">
        <v>42369</v>
      </c>
    </row>
    <row r="50" spans="2:9" ht="17.25">
      <c r="B50" s="129" t="s">
        <v>0</v>
      </c>
      <c r="C50" s="129"/>
      <c r="D50" s="130"/>
      <c r="E50" s="74">
        <v>772175</v>
      </c>
      <c r="F50" s="74">
        <v>805549</v>
      </c>
      <c r="G50" s="74">
        <v>881844</v>
      </c>
      <c r="H50" s="74">
        <v>944559</v>
      </c>
      <c r="I50" s="74">
        <v>1006751</v>
      </c>
    </row>
    <row r="51" spans="2:9" ht="17.25">
      <c r="B51" s="131" t="s">
        <v>1</v>
      </c>
      <c r="C51" s="131"/>
      <c r="D51" s="132"/>
      <c r="E51" s="75">
        <v>16850</v>
      </c>
      <c r="F51" s="75">
        <v>17821</v>
      </c>
      <c r="G51" s="75">
        <v>19539</v>
      </c>
      <c r="H51" s="75">
        <v>20178</v>
      </c>
      <c r="I51" s="75">
        <v>20753</v>
      </c>
    </row>
    <row r="52" spans="2:9" ht="17.25">
      <c r="B52" s="133" t="s">
        <v>48</v>
      </c>
      <c r="C52" s="133"/>
      <c r="D52" s="134"/>
      <c r="E52" s="77">
        <v>5058</v>
      </c>
      <c r="F52" s="77">
        <v>5876</v>
      </c>
      <c r="G52" s="77">
        <v>6957</v>
      </c>
      <c r="H52" s="77">
        <v>7486</v>
      </c>
      <c r="I52" s="77">
        <v>8729</v>
      </c>
    </row>
    <row r="53" spans="2:9" ht="18" thickBot="1">
      <c r="B53" s="135" t="s">
        <v>2</v>
      </c>
      <c r="C53" s="135"/>
      <c r="D53" s="136"/>
      <c r="E53" s="73">
        <v>5242</v>
      </c>
      <c r="F53" s="73">
        <v>5261</v>
      </c>
      <c r="G53" s="73">
        <v>5182</v>
      </c>
      <c r="H53" s="73">
        <v>5142</v>
      </c>
      <c r="I53" s="73">
        <v>3836</v>
      </c>
    </row>
    <row r="54" spans="2:9" s="65" customFormat="1" ht="18" thickBot="1">
      <c r="B54" s="137" t="s">
        <v>3</v>
      </c>
      <c r="C54" s="137"/>
      <c r="D54" s="138"/>
      <c r="E54" s="76">
        <v>799325</v>
      </c>
      <c r="F54" s="76">
        <v>834507</v>
      </c>
      <c r="G54" s="76">
        <v>913522</v>
      </c>
      <c r="H54" s="76">
        <v>977365</v>
      </c>
      <c r="I54" s="76">
        <v>1040069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37</v>
      </c>
      <c r="C82" s="23"/>
      <c r="D82" s="23"/>
      <c r="E82" s="23"/>
      <c r="F82" s="23"/>
      <c r="G82" s="23"/>
      <c r="H82" s="106" t="s">
        <v>11</v>
      </c>
      <c r="I82"/>
      <c r="J82"/>
      <c r="K82"/>
    </row>
    <row r="83" spans="2:11" ht="15.75" thickBot="1">
      <c r="B83" s="31" t="s">
        <v>17</v>
      </c>
      <c r="C83" s="67">
        <f>EDATE(D83,-1)</f>
        <v>42551</v>
      </c>
      <c r="D83" s="67">
        <f>EDATE(E83,-1)</f>
        <v>42581</v>
      </c>
      <c r="E83" s="67">
        <f>EDATE(F83,-1)</f>
        <v>42612</v>
      </c>
      <c r="F83" s="67">
        <f>EDATE(G83,-1)</f>
        <v>42643</v>
      </c>
      <c r="G83" s="67">
        <f>EDATE(H83,-1)</f>
        <v>42673</v>
      </c>
      <c r="H83" s="67">
        <f>EDATE(E11,1)</f>
        <v>42704</v>
      </c>
      <c r="I83"/>
      <c r="J83"/>
    </row>
    <row r="84" spans="2:11" ht="16.5" customHeight="1">
      <c r="B84" s="24" t="s">
        <v>0</v>
      </c>
      <c r="C84" s="74">
        <v>1028991</v>
      </c>
      <c r="D84" s="74">
        <v>1033667</v>
      </c>
      <c r="E84" s="74">
        <v>1040684</v>
      </c>
      <c r="F84" s="74">
        <v>1049230</v>
      </c>
      <c r="G84" s="74">
        <v>1061843</v>
      </c>
      <c r="H84" s="74">
        <v>1080706</v>
      </c>
    </row>
    <row r="85" spans="2:11" ht="16.5" customHeight="1">
      <c r="B85" s="25" t="s">
        <v>1</v>
      </c>
      <c r="C85" s="75">
        <v>19118</v>
      </c>
      <c r="D85" s="75">
        <v>19019</v>
      </c>
      <c r="E85" s="75">
        <v>19083</v>
      </c>
      <c r="F85" s="75">
        <v>19110</v>
      </c>
      <c r="G85" s="75">
        <v>18990</v>
      </c>
      <c r="H85" s="75">
        <v>19037</v>
      </c>
    </row>
    <row r="86" spans="2:11" ht="16.5" customHeight="1">
      <c r="B86" s="26" t="s">
        <v>48</v>
      </c>
      <c r="C86" s="77">
        <v>9251</v>
      </c>
      <c r="D86" s="77">
        <v>8797</v>
      </c>
      <c r="E86" s="77">
        <v>8850</v>
      </c>
      <c r="F86" s="77">
        <v>8966</v>
      </c>
      <c r="G86" s="77">
        <v>9026</v>
      </c>
      <c r="H86" s="77">
        <v>9070</v>
      </c>
    </row>
    <row r="87" spans="2:11" ht="16.5" customHeight="1" thickBot="1">
      <c r="B87" s="27" t="s">
        <v>2</v>
      </c>
      <c r="C87" s="73">
        <v>1412</v>
      </c>
      <c r="D87" s="73">
        <v>1620</v>
      </c>
      <c r="E87" s="73">
        <v>2017</v>
      </c>
      <c r="F87" s="73">
        <v>2602</v>
      </c>
      <c r="G87" s="73">
        <v>7021</v>
      </c>
      <c r="H87" s="73">
        <v>10116</v>
      </c>
    </row>
    <row r="88" spans="2:11" s="65" customFormat="1" ht="18" thickBot="1">
      <c r="B88" s="107" t="s">
        <v>3</v>
      </c>
      <c r="C88" s="76">
        <v>1058772</v>
      </c>
      <c r="D88" s="76">
        <v>1063103</v>
      </c>
      <c r="E88" s="76">
        <v>1070634</v>
      </c>
      <c r="F88" s="76">
        <v>1079908</v>
      </c>
      <c r="G88" s="76">
        <v>1096880</v>
      </c>
      <c r="H88" s="76">
        <v>1118929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22</v>
      </c>
      <c r="C124" s="83">
        <f>B3</f>
        <v>42704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5" t="s">
        <v>23</v>
      </c>
      <c r="C128" s="139"/>
      <c r="D128" s="139"/>
      <c r="E128" s="139"/>
      <c r="F128" s="139"/>
      <c r="G128" s="140" t="s">
        <v>4</v>
      </c>
      <c r="H128" s="141"/>
    </row>
    <row r="129" spans="2:10" ht="18" customHeight="1" thickBot="1">
      <c r="B129" s="115" t="s">
        <v>21</v>
      </c>
      <c r="C129" s="142"/>
      <c r="D129" s="142"/>
      <c r="E129" s="142"/>
      <c r="F129" s="142"/>
      <c r="G129" s="143">
        <v>344</v>
      </c>
      <c r="H129" s="144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20</v>
      </c>
      <c r="C133" s="32"/>
      <c r="D133" s="32"/>
      <c r="E133" s="33"/>
      <c r="F133" s="85">
        <f>C6</f>
        <v>42704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24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25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26" t="s">
        <v>18</v>
      </c>
      <c r="C138" s="126"/>
      <c r="D138" s="126"/>
      <c r="E138" s="126"/>
      <c r="F138" s="127"/>
      <c r="G138" s="118" t="s">
        <v>5</v>
      </c>
      <c r="H138" s="119"/>
      <c r="I138"/>
    </row>
    <row r="139" spans="2:10" ht="17.25" customHeight="1">
      <c r="B139" s="120" t="s">
        <v>40</v>
      </c>
      <c r="C139" s="120" t="s">
        <v>40</v>
      </c>
      <c r="D139" s="120" t="s">
        <v>40</v>
      </c>
      <c r="E139" s="120" t="s">
        <v>40</v>
      </c>
      <c r="F139" s="121" t="s">
        <v>40</v>
      </c>
      <c r="G139" s="122">
        <v>246199</v>
      </c>
      <c r="H139" s="123">
        <v>246199</v>
      </c>
      <c r="I139" s="46"/>
      <c r="J139" s="49"/>
    </row>
    <row r="140" spans="2:10" ht="13.5" customHeight="1">
      <c r="B140" s="110" t="s">
        <v>28</v>
      </c>
      <c r="C140" s="110" t="s">
        <v>28</v>
      </c>
      <c r="D140" s="110" t="s">
        <v>28</v>
      </c>
      <c r="E140" s="110" t="s">
        <v>28</v>
      </c>
      <c r="F140" s="111" t="s">
        <v>28</v>
      </c>
      <c r="G140" s="112">
        <v>192901</v>
      </c>
      <c r="H140" s="113">
        <v>192901</v>
      </c>
      <c r="I140" s="46"/>
      <c r="J140" s="49"/>
    </row>
    <row r="141" spans="2:10" ht="17.25" customHeight="1">
      <c r="B141" s="110" t="s">
        <v>29</v>
      </c>
      <c r="C141" s="110" t="s">
        <v>29</v>
      </c>
      <c r="D141" s="110" t="s">
        <v>29</v>
      </c>
      <c r="E141" s="110" t="s">
        <v>29</v>
      </c>
      <c r="F141" s="111" t="s">
        <v>29</v>
      </c>
      <c r="G141" s="112">
        <v>171849</v>
      </c>
      <c r="H141" s="113">
        <v>171849</v>
      </c>
      <c r="I141" s="46"/>
      <c r="J141" s="49"/>
    </row>
    <row r="142" spans="2:10" ht="17.25" customHeight="1">
      <c r="B142" s="110" t="s">
        <v>41</v>
      </c>
      <c r="C142" s="110" t="s">
        <v>41</v>
      </c>
      <c r="D142" s="110" t="s">
        <v>41</v>
      </c>
      <c r="E142" s="110" t="s">
        <v>41</v>
      </c>
      <c r="F142" s="111" t="s">
        <v>41</v>
      </c>
      <c r="G142" s="112">
        <v>158407</v>
      </c>
      <c r="H142" s="113">
        <v>158407</v>
      </c>
      <c r="I142" s="46"/>
      <c r="J142" s="49"/>
    </row>
    <row r="143" spans="2:10" ht="17.25" customHeight="1">
      <c r="B143" s="110" t="s">
        <v>39</v>
      </c>
      <c r="C143" s="110" t="s">
        <v>39</v>
      </c>
      <c r="D143" s="110" t="s">
        <v>39</v>
      </c>
      <c r="E143" s="110" t="s">
        <v>39</v>
      </c>
      <c r="F143" s="111" t="s">
        <v>39</v>
      </c>
      <c r="G143" s="112">
        <v>91393</v>
      </c>
      <c r="H143" s="113">
        <v>91393</v>
      </c>
      <c r="I143" s="46"/>
      <c r="J143" s="49"/>
    </row>
    <row r="144" spans="2:10" ht="13.5" customHeight="1">
      <c r="B144" s="110" t="s">
        <v>42</v>
      </c>
      <c r="C144" s="110" t="s">
        <v>42</v>
      </c>
      <c r="D144" s="110" t="s">
        <v>42</v>
      </c>
      <c r="E144" s="110" t="s">
        <v>42</v>
      </c>
      <c r="F144" s="111" t="s">
        <v>42</v>
      </c>
      <c r="G144" s="112">
        <v>61421</v>
      </c>
      <c r="H144" s="113">
        <v>61421</v>
      </c>
      <c r="I144" s="50"/>
      <c r="J144" s="49"/>
    </row>
    <row r="145" spans="2:13" ht="17.25" customHeight="1">
      <c r="B145" s="110" t="s">
        <v>30</v>
      </c>
      <c r="C145" s="110" t="s">
        <v>30</v>
      </c>
      <c r="D145" s="110" t="s">
        <v>30</v>
      </c>
      <c r="E145" s="110" t="s">
        <v>30</v>
      </c>
      <c r="F145" s="111" t="s">
        <v>30</v>
      </c>
      <c r="G145" s="112">
        <v>49462</v>
      </c>
      <c r="H145" s="113">
        <v>49462</v>
      </c>
      <c r="I145" s="46"/>
      <c r="J145" s="49"/>
    </row>
    <row r="146" spans="2:13" ht="17.25" customHeight="1">
      <c r="B146" s="110" t="s">
        <v>45</v>
      </c>
      <c r="C146" s="110" t="s">
        <v>45</v>
      </c>
      <c r="D146" s="110" t="s">
        <v>45</v>
      </c>
      <c r="E146" s="110" t="s">
        <v>45</v>
      </c>
      <c r="F146" s="111" t="s">
        <v>45</v>
      </c>
      <c r="G146" s="112">
        <v>33118</v>
      </c>
      <c r="H146" s="113">
        <v>33118</v>
      </c>
      <c r="I146" s="46"/>
      <c r="J146" s="49"/>
    </row>
    <row r="147" spans="2:13" ht="17.25" customHeight="1">
      <c r="B147" s="110" t="s">
        <v>31</v>
      </c>
      <c r="C147" s="110" t="s">
        <v>31</v>
      </c>
      <c r="D147" s="110" t="s">
        <v>31</v>
      </c>
      <c r="E147" s="110" t="s">
        <v>31</v>
      </c>
      <c r="F147" s="111" t="s">
        <v>31</v>
      </c>
      <c r="G147" s="112">
        <v>21704</v>
      </c>
      <c r="H147" s="113">
        <v>21704</v>
      </c>
      <c r="I147" s="46"/>
      <c r="J147" s="49"/>
      <c r="L147"/>
    </row>
    <row r="148" spans="2:13" ht="18" customHeight="1" thickBot="1">
      <c r="B148" s="114" t="s">
        <v>32</v>
      </c>
      <c r="C148" s="114" t="s">
        <v>32</v>
      </c>
      <c r="D148" s="114" t="s">
        <v>32</v>
      </c>
      <c r="E148" s="114" t="s">
        <v>32</v>
      </c>
      <c r="F148" s="115" t="s">
        <v>32</v>
      </c>
      <c r="G148" s="116">
        <v>19859</v>
      </c>
      <c r="H148" s="117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26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4" t="s">
        <v>18</v>
      </c>
      <c r="C153" s="124"/>
      <c r="D153" s="124"/>
      <c r="E153" s="124"/>
      <c r="F153" s="125"/>
      <c r="G153" s="119" t="s">
        <v>5</v>
      </c>
      <c r="H153" s="119"/>
      <c r="I153" s="51"/>
      <c r="J153" s="51"/>
      <c r="K153"/>
      <c r="L153"/>
      <c r="M153"/>
    </row>
    <row r="154" spans="2:13" ht="17.25" customHeight="1">
      <c r="B154" s="120" t="s">
        <v>28</v>
      </c>
      <c r="C154" s="120" t="s">
        <v>28</v>
      </c>
      <c r="D154" s="120" t="s">
        <v>28</v>
      </c>
      <c r="E154" s="120" t="s">
        <v>28</v>
      </c>
      <c r="F154" s="121" t="s">
        <v>28</v>
      </c>
      <c r="G154" s="122">
        <v>14460</v>
      </c>
      <c r="H154" s="123">
        <v>14460</v>
      </c>
      <c r="I154" s="52"/>
      <c r="J154" s="49"/>
      <c r="K154" s="48"/>
      <c r="L154"/>
      <c r="M154"/>
    </row>
    <row r="155" spans="2:13" ht="17.25" customHeight="1">
      <c r="B155" s="110" t="s">
        <v>41</v>
      </c>
      <c r="C155" s="110" t="s">
        <v>41</v>
      </c>
      <c r="D155" s="110" t="s">
        <v>41</v>
      </c>
      <c r="E155" s="110" t="s">
        <v>41</v>
      </c>
      <c r="F155" s="111" t="s">
        <v>41</v>
      </c>
      <c r="G155" s="112">
        <v>13882</v>
      </c>
      <c r="H155" s="113">
        <v>13882</v>
      </c>
      <c r="I155" s="52"/>
      <c r="J155" s="49"/>
      <c r="K155" s="48"/>
      <c r="L155"/>
      <c r="M155"/>
    </row>
    <row r="156" spans="2:13" ht="17.25" customHeight="1">
      <c r="B156" s="110" t="s">
        <v>29</v>
      </c>
      <c r="C156" s="110" t="s">
        <v>29</v>
      </c>
      <c r="D156" s="110" t="s">
        <v>29</v>
      </c>
      <c r="E156" s="110" t="s">
        <v>29</v>
      </c>
      <c r="F156" s="111" t="s">
        <v>29</v>
      </c>
      <c r="G156" s="112">
        <v>13372</v>
      </c>
      <c r="H156" s="113">
        <v>13372</v>
      </c>
      <c r="I156" s="52"/>
      <c r="J156" s="49"/>
      <c r="K156" s="48"/>
      <c r="L156"/>
      <c r="M156"/>
    </row>
    <row r="157" spans="2:13" ht="17.25">
      <c r="B157" s="110" t="s">
        <v>40</v>
      </c>
      <c r="C157" s="110" t="s">
        <v>40</v>
      </c>
      <c r="D157" s="110" t="s">
        <v>40</v>
      </c>
      <c r="E157" s="110" t="s">
        <v>40</v>
      </c>
      <c r="F157" s="111" t="s">
        <v>40</v>
      </c>
      <c r="G157" s="112">
        <v>11306</v>
      </c>
      <c r="H157" s="113">
        <v>11306</v>
      </c>
      <c r="I157" s="52"/>
      <c r="J157" s="49"/>
      <c r="K157" s="48"/>
      <c r="L157"/>
      <c r="M157"/>
    </row>
    <row r="158" spans="2:13" ht="17.25" customHeight="1">
      <c r="B158" s="110" t="s">
        <v>39</v>
      </c>
      <c r="C158" s="110" t="s">
        <v>39</v>
      </c>
      <c r="D158" s="110" t="s">
        <v>39</v>
      </c>
      <c r="E158" s="110" t="s">
        <v>39</v>
      </c>
      <c r="F158" s="111" t="s">
        <v>39</v>
      </c>
      <c r="G158" s="112">
        <v>10532</v>
      </c>
      <c r="H158" s="113">
        <v>10532</v>
      </c>
      <c r="I158" s="52"/>
      <c r="J158" s="49"/>
      <c r="K158" s="48"/>
      <c r="L158"/>
      <c r="M158"/>
    </row>
    <row r="159" spans="2:13" ht="17.25" customHeight="1">
      <c r="B159" s="110" t="s">
        <v>56</v>
      </c>
      <c r="C159" s="110" t="s">
        <v>56</v>
      </c>
      <c r="D159" s="110" t="s">
        <v>56</v>
      </c>
      <c r="E159" s="110" t="s">
        <v>56</v>
      </c>
      <c r="F159" s="111" t="s">
        <v>56</v>
      </c>
      <c r="G159" s="112">
        <v>5354</v>
      </c>
      <c r="H159" s="113">
        <v>5354</v>
      </c>
      <c r="I159" s="53"/>
      <c r="J159" s="49"/>
      <c r="K159" s="48"/>
      <c r="L159"/>
      <c r="M159"/>
    </row>
    <row r="160" spans="2:13" ht="17.25" customHeight="1">
      <c r="B160" s="110" t="s">
        <v>42</v>
      </c>
      <c r="C160" s="110" t="s">
        <v>42</v>
      </c>
      <c r="D160" s="110" t="s">
        <v>42</v>
      </c>
      <c r="E160" s="110" t="s">
        <v>42</v>
      </c>
      <c r="F160" s="111" t="s">
        <v>42</v>
      </c>
      <c r="G160" s="112">
        <v>4221</v>
      </c>
      <c r="H160" s="113">
        <v>4221</v>
      </c>
      <c r="I160" s="52"/>
      <c r="J160" s="49"/>
      <c r="K160" s="48"/>
      <c r="L160"/>
      <c r="M160"/>
    </row>
    <row r="161" spans="2:13" ht="17.25" customHeight="1">
      <c r="B161" s="110" t="s">
        <v>30</v>
      </c>
      <c r="C161" s="110" t="s">
        <v>30</v>
      </c>
      <c r="D161" s="110" t="s">
        <v>30</v>
      </c>
      <c r="E161" s="110" t="s">
        <v>30</v>
      </c>
      <c r="F161" s="111" t="s">
        <v>30</v>
      </c>
      <c r="G161" s="112">
        <v>3320</v>
      </c>
      <c r="H161" s="113">
        <v>3320</v>
      </c>
      <c r="I161" s="52"/>
      <c r="J161" s="49"/>
      <c r="K161" s="48"/>
      <c r="L161"/>
      <c r="M161"/>
    </row>
    <row r="162" spans="2:13" ht="17.25" customHeight="1">
      <c r="B162" s="110" t="s">
        <v>43</v>
      </c>
      <c r="C162" s="110" t="s">
        <v>43</v>
      </c>
      <c r="D162" s="110" t="s">
        <v>43</v>
      </c>
      <c r="E162" s="110" t="s">
        <v>43</v>
      </c>
      <c r="F162" s="111" t="s">
        <v>43</v>
      </c>
      <c r="G162" s="112">
        <v>2553</v>
      </c>
      <c r="H162" s="113">
        <v>2553</v>
      </c>
      <c r="I162" s="52"/>
      <c r="J162" s="49"/>
      <c r="K162" s="48"/>
      <c r="L162"/>
      <c r="M162"/>
    </row>
    <row r="163" spans="2:13" ht="18" customHeight="1" thickBot="1">
      <c r="B163" s="114" t="s">
        <v>44</v>
      </c>
      <c r="C163" s="114" t="s">
        <v>44</v>
      </c>
      <c r="D163" s="114" t="s">
        <v>44</v>
      </c>
      <c r="E163" s="114" t="s">
        <v>44</v>
      </c>
      <c r="F163" s="115" t="s">
        <v>44</v>
      </c>
      <c r="G163" s="116">
        <v>2030</v>
      </c>
      <c r="H163" s="117">
        <v>2030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27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26" t="s">
        <v>18</v>
      </c>
      <c r="C168" s="126"/>
      <c r="D168" s="126"/>
      <c r="E168" s="126"/>
      <c r="F168" s="127"/>
      <c r="G168" s="118" t="s">
        <v>8</v>
      </c>
      <c r="H168" s="119"/>
      <c r="I168" s="2"/>
      <c r="J168" s="2"/>
    </row>
    <row r="169" spans="2:13" ht="17.25" customHeight="1">
      <c r="B169" s="120" t="s">
        <v>39</v>
      </c>
      <c r="C169" s="120" t="s">
        <v>39</v>
      </c>
      <c r="D169" s="120" t="s">
        <v>39</v>
      </c>
      <c r="E169" s="120" t="s">
        <v>39</v>
      </c>
      <c r="F169" s="121" t="s">
        <v>39</v>
      </c>
      <c r="G169" s="122">
        <v>1764627706889.99</v>
      </c>
      <c r="H169" s="123">
        <v>1764627706889.99</v>
      </c>
      <c r="I169" s="54"/>
      <c r="J169" s="55"/>
    </row>
    <row r="170" spans="2:13" ht="17.25" customHeight="1">
      <c r="B170" s="110" t="s">
        <v>29</v>
      </c>
      <c r="C170" s="110" t="s">
        <v>29</v>
      </c>
      <c r="D170" s="110" t="s">
        <v>29</v>
      </c>
      <c r="E170" s="110" t="s">
        <v>29</v>
      </c>
      <c r="F170" s="111" t="s">
        <v>29</v>
      </c>
      <c r="G170" s="112">
        <v>1518251528967</v>
      </c>
      <c r="H170" s="113">
        <v>1518251528967</v>
      </c>
      <c r="I170" s="54"/>
      <c r="J170" s="55"/>
    </row>
    <row r="171" spans="2:13" ht="17.25" customHeight="1">
      <c r="B171" s="110" t="s">
        <v>38</v>
      </c>
      <c r="C171" s="110" t="s">
        <v>38</v>
      </c>
      <c r="D171" s="110" t="s">
        <v>38</v>
      </c>
      <c r="E171" s="110" t="s">
        <v>38</v>
      </c>
      <c r="F171" s="111" t="s">
        <v>38</v>
      </c>
      <c r="G171" s="112">
        <v>1158912362394.8601</v>
      </c>
      <c r="H171" s="113">
        <v>1158912362394.8601</v>
      </c>
      <c r="I171" s="54"/>
      <c r="J171" s="55"/>
    </row>
    <row r="172" spans="2:13" ht="17.25" customHeight="1">
      <c r="B172" s="110" t="s">
        <v>28</v>
      </c>
      <c r="C172" s="110" t="s">
        <v>28</v>
      </c>
      <c r="D172" s="110" t="s">
        <v>28</v>
      </c>
      <c r="E172" s="110" t="s">
        <v>28</v>
      </c>
      <c r="F172" s="111" t="s">
        <v>28</v>
      </c>
      <c r="G172" s="112">
        <v>551927539733.43994</v>
      </c>
      <c r="H172" s="113">
        <v>551927539733.43994</v>
      </c>
      <c r="I172" s="54"/>
      <c r="J172" s="55"/>
    </row>
    <row r="173" spans="2:13" ht="17.25" customHeight="1">
      <c r="B173" s="110" t="s">
        <v>53</v>
      </c>
      <c r="C173" s="110" t="s">
        <v>53</v>
      </c>
      <c r="D173" s="110" t="s">
        <v>53</v>
      </c>
      <c r="E173" s="110" t="s">
        <v>53</v>
      </c>
      <c r="F173" s="111" t="s">
        <v>53</v>
      </c>
      <c r="G173" s="112">
        <v>512290359311.67999</v>
      </c>
      <c r="H173" s="113">
        <v>512290359311.67999</v>
      </c>
      <c r="I173" s="56"/>
      <c r="J173" s="49"/>
    </row>
    <row r="174" spans="2:13" ht="17.25" customHeight="1">
      <c r="B174" s="110" t="s">
        <v>41</v>
      </c>
      <c r="C174" s="110" t="s">
        <v>41</v>
      </c>
      <c r="D174" s="110" t="s">
        <v>41</v>
      </c>
      <c r="E174" s="110" t="s">
        <v>41</v>
      </c>
      <c r="F174" s="111" t="s">
        <v>41</v>
      </c>
      <c r="G174" s="112">
        <v>448942475447.47998</v>
      </c>
      <c r="H174" s="113">
        <v>448942475447.47998</v>
      </c>
      <c r="I174" s="54"/>
      <c r="J174" s="55"/>
    </row>
    <row r="175" spans="2:13" ht="17.25" customHeight="1">
      <c r="B175" s="110" t="s">
        <v>44</v>
      </c>
      <c r="C175" s="110" t="s">
        <v>44</v>
      </c>
      <c r="D175" s="110" t="s">
        <v>44</v>
      </c>
      <c r="E175" s="110" t="s">
        <v>44</v>
      </c>
      <c r="F175" s="111" t="s">
        <v>44</v>
      </c>
      <c r="G175" s="112">
        <v>425858313232.90997</v>
      </c>
      <c r="H175" s="113">
        <v>425858313232.90997</v>
      </c>
      <c r="I175" s="54"/>
      <c r="J175" s="55"/>
    </row>
    <row r="176" spans="2:13" ht="17.25" customHeight="1">
      <c r="B176" s="110" t="s">
        <v>46</v>
      </c>
      <c r="C176" s="110" t="s">
        <v>46</v>
      </c>
      <c r="D176" s="110" t="s">
        <v>46</v>
      </c>
      <c r="E176" s="110" t="s">
        <v>46</v>
      </c>
      <c r="F176" s="111" t="s">
        <v>46</v>
      </c>
      <c r="G176" s="112">
        <v>424636216324.84003</v>
      </c>
      <c r="H176" s="113">
        <v>424636216324.84003</v>
      </c>
      <c r="I176" s="54"/>
      <c r="J176" s="55"/>
    </row>
    <row r="177" spans="2:10" ht="17.25" customHeight="1">
      <c r="B177" s="110" t="s">
        <v>33</v>
      </c>
      <c r="C177" s="110" t="s">
        <v>33</v>
      </c>
      <c r="D177" s="110" t="s">
        <v>33</v>
      </c>
      <c r="E177" s="110" t="s">
        <v>33</v>
      </c>
      <c r="F177" s="111" t="s">
        <v>33</v>
      </c>
      <c r="G177" s="112">
        <v>370492522357.13</v>
      </c>
      <c r="H177" s="113">
        <v>370492522357.13</v>
      </c>
      <c r="I177" s="54"/>
      <c r="J177" s="55"/>
    </row>
    <row r="178" spans="2:10" ht="18" customHeight="1" thickBot="1">
      <c r="B178" s="114" t="s">
        <v>52</v>
      </c>
      <c r="C178" s="114" t="s">
        <v>52</v>
      </c>
      <c r="D178" s="114" t="s">
        <v>52</v>
      </c>
      <c r="E178" s="114" t="s">
        <v>52</v>
      </c>
      <c r="F178" s="115" t="s">
        <v>52</v>
      </c>
      <c r="G178" s="116">
        <v>342506431948.03998</v>
      </c>
      <c r="H178" s="117">
        <v>342506431948.03998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2:H2"/>
    <mergeCell ref="B3:H3"/>
    <mergeCell ref="I3:N3"/>
    <mergeCell ref="B11:D11"/>
    <mergeCell ref="B12:D12"/>
    <mergeCell ref="B13:D13"/>
    <mergeCell ref="B24:D24"/>
    <mergeCell ref="B25:D25"/>
    <mergeCell ref="B26:D2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59745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59745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18">
    <pageSetUpPr fitToPage="1"/>
  </sheetPr>
  <dimension ref="B2:N180"/>
  <sheetViews>
    <sheetView tabSelected="1" workbookViewId="0"/>
  </sheetViews>
  <sheetFormatPr defaultRowHeight="13.5"/>
  <cols>
    <col min="1" max="1" width="3.42578125" style="69" customWidth="1"/>
    <col min="2" max="2" width="46.7109375" style="69" customWidth="1"/>
    <col min="3" max="4" width="18.42578125" style="69" customWidth="1"/>
    <col min="5" max="9" width="25.5703125" style="69" customWidth="1"/>
    <col min="10" max="10" width="10.5703125" style="69" customWidth="1"/>
    <col min="11" max="11" width="14.85546875" style="69" bestFit="1" customWidth="1"/>
    <col min="12" max="12" width="9.140625" style="69"/>
    <col min="13" max="13" width="23.42578125" style="69" customWidth="1"/>
    <col min="14" max="16384" width="9.140625" style="69"/>
  </cols>
  <sheetData>
    <row r="2" spans="2:14" s="1" customFormat="1" ht="20.25">
      <c r="B2" s="155" t="s">
        <v>14</v>
      </c>
      <c r="C2" s="155"/>
      <c r="D2" s="155"/>
      <c r="E2" s="155"/>
      <c r="F2" s="155"/>
      <c r="G2" s="155"/>
      <c r="H2" s="155"/>
    </row>
    <row r="3" spans="2:14" s="1" customFormat="1" ht="21" thickBot="1">
      <c r="B3" s="156">
        <v>42735</v>
      </c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</row>
    <row r="4" spans="2:14" s="1" customFormat="1" ht="18" thickTop="1"/>
    <row r="5" spans="2:14" s="1" customFormat="1" ht="17.25">
      <c r="B5" s="17"/>
      <c r="C5" s="17"/>
      <c r="D5" s="17"/>
      <c r="E5" s="17"/>
      <c r="F5" s="17"/>
      <c r="G5" s="17"/>
      <c r="H5" s="17"/>
    </row>
    <row r="6" spans="2:14" s="1" customFormat="1" ht="17.25">
      <c r="B6" s="18" t="s">
        <v>19</v>
      </c>
      <c r="C6" s="62">
        <f>B3</f>
        <v>42735</v>
      </c>
      <c r="D6" s="17"/>
      <c r="E6" s="17"/>
      <c r="F6" s="17"/>
      <c r="G6" s="17"/>
      <c r="H6" s="17"/>
    </row>
    <row r="7" spans="2:14" s="1" customFormat="1" ht="18" thickBot="1">
      <c r="B7" s="21"/>
      <c r="C7" s="21"/>
      <c r="D7" s="21"/>
      <c r="E7" s="21"/>
      <c r="F7" s="21"/>
      <c r="G7" s="21"/>
      <c r="H7" s="21"/>
    </row>
    <row r="8" spans="2:14">
      <c r="B8" s="2"/>
      <c r="C8" s="2"/>
      <c r="D8" s="2"/>
      <c r="E8" s="2"/>
    </row>
    <row r="9" spans="2:14" s="4" customFormat="1" ht="12.75">
      <c r="C9" s="3"/>
      <c r="D9" s="3"/>
      <c r="E9" s="3"/>
      <c r="F9" s="3"/>
    </row>
    <row r="10" spans="2:14" ht="18" thickBot="1">
      <c r="B10" s="13" t="s">
        <v>34</v>
      </c>
      <c r="C10" s="14"/>
      <c r="D10" s="14"/>
      <c r="E10" s="14"/>
      <c r="F10" s="14"/>
      <c r="G10" s="14"/>
      <c r="H10" s="15" t="s">
        <v>12</v>
      </c>
    </row>
    <row r="11" spans="2:14" s="45" customFormat="1" ht="15.75" thickBot="1">
      <c r="B11" s="157" t="s">
        <v>17</v>
      </c>
      <c r="C11" s="157"/>
      <c r="D11" s="158"/>
      <c r="E11" s="67">
        <f>EDATE(B3,-1)</f>
        <v>42704</v>
      </c>
      <c r="F11" s="67">
        <f>B3</f>
        <v>42735</v>
      </c>
      <c r="G11" s="44" t="s">
        <v>9</v>
      </c>
      <c r="H11" s="44" t="s">
        <v>10</v>
      </c>
      <c r="J11" s="71"/>
    </row>
    <row r="12" spans="2:14" s="70" customFormat="1" ht="17.25">
      <c r="B12" s="153" t="s">
        <v>0</v>
      </c>
      <c r="C12" s="153"/>
      <c r="D12" s="154"/>
      <c r="E12" s="72">
        <f>November!F12</f>
        <v>1523242</v>
      </c>
      <c r="F12" s="78">
        <v>1499778</v>
      </c>
      <c r="G12" s="11">
        <f>F12-E12</f>
        <v>-23464</v>
      </c>
      <c r="H12" s="58">
        <f t="shared" ref="H12:H18" si="0">F12/E12-1</f>
        <v>-1.5403987022416632E-2</v>
      </c>
      <c r="I12" s="79"/>
      <c r="J12" s="80"/>
    </row>
    <row r="13" spans="2:14" s="70" customFormat="1" ht="17.25">
      <c r="B13" s="147" t="s">
        <v>1</v>
      </c>
      <c r="C13" s="147"/>
      <c r="D13" s="148"/>
      <c r="E13" s="72">
        <f>November!F13</f>
        <v>32385</v>
      </c>
      <c r="F13" s="78">
        <v>30427</v>
      </c>
      <c r="G13" s="11">
        <f t="shared" ref="G13:G18" si="1">F13-E13</f>
        <v>-1958</v>
      </c>
      <c r="H13" s="58">
        <f t="shared" si="0"/>
        <v>-6.0460089547630047E-2</v>
      </c>
      <c r="I13" s="79"/>
      <c r="J13" s="80"/>
    </row>
    <row r="14" spans="2:14" s="70" customFormat="1" ht="17.25">
      <c r="B14" s="147" t="s">
        <v>48</v>
      </c>
      <c r="C14" s="147"/>
      <c r="D14" s="148"/>
      <c r="E14" s="72">
        <f>November!F14</f>
        <v>13790</v>
      </c>
      <c r="F14" s="78">
        <v>13937</v>
      </c>
      <c r="G14" s="11">
        <f t="shared" si="1"/>
        <v>147</v>
      </c>
      <c r="H14" s="58">
        <f t="shared" si="0"/>
        <v>1.0659898477157315E-2</v>
      </c>
      <c r="I14" s="79"/>
      <c r="J14" s="80"/>
    </row>
    <row r="15" spans="2:14" s="70" customFormat="1" ht="17.25">
      <c r="B15" s="149" t="s">
        <v>49</v>
      </c>
      <c r="C15" s="149"/>
      <c r="D15" s="150"/>
      <c r="E15" s="72">
        <f>November!F15</f>
        <v>6200</v>
      </c>
      <c r="F15" s="78">
        <v>6346</v>
      </c>
      <c r="G15" s="11">
        <f t="shared" si="1"/>
        <v>146</v>
      </c>
      <c r="H15" s="58">
        <f t="shared" si="0"/>
        <v>2.3548387096774093E-2</v>
      </c>
      <c r="I15" s="79"/>
      <c r="J15" s="80"/>
    </row>
    <row r="16" spans="2:14" s="70" customFormat="1" ht="17.25">
      <c r="B16" s="151" t="s">
        <v>50</v>
      </c>
      <c r="C16" s="151"/>
      <c r="D16" s="152"/>
      <c r="E16" s="72">
        <f>November!F16</f>
        <v>7590</v>
      </c>
      <c r="F16" s="78">
        <v>7591</v>
      </c>
      <c r="G16" s="11">
        <f t="shared" si="1"/>
        <v>1</v>
      </c>
      <c r="H16" s="58">
        <f t="shared" si="0"/>
        <v>1.317523056654224E-4</v>
      </c>
      <c r="I16" s="79"/>
      <c r="J16" s="80"/>
    </row>
    <row r="17" spans="2:10" s="70" customFormat="1" ht="18" customHeight="1" thickBot="1">
      <c r="B17" s="145" t="s">
        <v>2</v>
      </c>
      <c r="C17" s="145"/>
      <c r="D17" s="146"/>
      <c r="E17" s="72">
        <f>November!F17</f>
        <v>30721</v>
      </c>
      <c r="F17" s="78">
        <v>31549</v>
      </c>
      <c r="G17" s="11">
        <f t="shared" si="1"/>
        <v>828</v>
      </c>
      <c r="H17" s="58">
        <f t="shared" si="0"/>
        <v>2.6952247648188488E-2</v>
      </c>
      <c r="I17" s="79"/>
      <c r="J17" s="80"/>
    </row>
    <row r="18" spans="2:10" s="64" customFormat="1" ht="18" thickBot="1">
      <c r="B18" s="59" t="s">
        <v>3</v>
      </c>
      <c r="C18" s="59"/>
      <c r="D18" s="60"/>
      <c r="E18" s="66">
        <f>November!F18</f>
        <v>1600138</v>
      </c>
      <c r="F18" s="66">
        <v>1575691</v>
      </c>
      <c r="G18" s="66">
        <f t="shared" si="1"/>
        <v>-24447</v>
      </c>
      <c r="H18" s="63">
        <f t="shared" si="0"/>
        <v>-1.5278057267560707E-2</v>
      </c>
      <c r="I18" s="79"/>
      <c r="J18" s="80"/>
    </row>
    <row r="19" spans="2:10" ht="15">
      <c r="B19" s="10"/>
      <c r="C19" s="2"/>
      <c r="D19" s="2"/>
      <c r="E19" s="2"/>
      <c r="F19" s="2"/>
      <c r="G19" s="2"/>
    </row>
    <row r="20" spans="2:10" ht="15">
      <c r="B20" s="10"/>
      <c r="C20" s="2"/>
      <c r="D20" s="2"/>
      <c r="E20" s="2"/>
      <c r="F20" s="2"/>
      <c r="G20" s="2"/>
    </row>
    <row r="21" spans="2:10" ht="18" thickBot="1">
      <c r="B21" s="13" t="s">
        <v>35</v>
      </c>
      <c r="C21" s="14"/>
      <c r="D21" s="14"/>
      <c r="E21" s="14"/>
      <c r="F21" s="14"/>
      <c r="G21" s="14"/>
      <c r="H21" s="15" t="s">
        <v>11</v>
      </c>
    </row>
    <row r="22" spans="2:10" s="70" customFormat="1" ht="15.75" thickBot="1">
      <c r="B22" s="157" t="s">
        <v>17</v>
      </c>
      <c r="C22" s="157"/>
      <c r="D22" s="158"/>
      <c r="E22" s="67">
        <f>EDATE(B3,-1)</f>
        <v>42704</v>
      </c>
      <c r="F22" s="67">
        <f>F11</f>
        <v>42735</v>
      </c>
      <c r="G22" s="44" t="s">
        <v>9</v>
      </c>
      <c r="H22" s="44" t="s">
        <v>10</v>
      </c>
      <c r="J22" s="71"/>
    </row>
    <row r="23" spans="2:10" s="70" customFormat="1" ht="17.25">
      <c r="B23" s="153" t="s">
        <v>0</v>
      </c>
      <c r="C23" s="153"/>
      <c r="D23" s="154"/>
      <c r="E23" s="72">
        <f>November!F23</f>
        <v>1080706</v>
      </c>
      <c r="F23" s="78">
        <v>1102966</v>
      </c>
      <c r="G23" s="11">
        <f>F23-E23</f>
        <v>22260</v>
      </c>
      <c r="H23" s="58">
        <f>F23/E23-1</f>
        <v>2.0597646353402332E-2</v>
      </c>
      <c r="I23" s="80"/>
    </row>
    <row r="24" spans="2:10" s="70" customFormat="1" ht="17.25">
      <c r="B24" s="147" t="s">
        <v>1</v>
      </c>
      <c r="C24" s="147"/>
      <c r="D24" s="148"/>
      <c r="E24" s="72">
        <f>November!F24</f>
        <v>19037</v>
      </c>
      <c r="F24" s="78">
        <v>18622</v>
      </c>
      <c r="G24" s="11">
        <f t="shared" ref="G24:G29" si="2">F24-E24</f>
        <v>-415</v>
      </c>
      <c r="H24" s="58">
        <f t="shared" ref="H24:H29" si="3">F24/E24-1</f>
        <v>-2.1799653306718514E-2</v>
      </c>
      <c r="I24" s="80"/>
    </row>
    <row r="25" spans="2:10" s="70" customFormat="1" ht="17.25">
      <c r="B25" s="147" t="s">
        <v>48</v>
      </c>
      <c r="C25" s="147"/>
      <c r="D25" s="148"/>
      <c r="E25" s="72">
        <f>November!F25</f>
        <v>9070</v>
      </c>
      <c r="F25" s="78">
        <v>9215</v>
      </c>
      <c r="G25" s="11">
        <f t="shared" si="2"/>
        <v>145</v>
      </c>
      <c r="H25" s="58">
        <f t="shared" si="3"/>
        <v>1.5986769570011106E-2</v>
      </c>
      <c r="I25" s="80"/>
    </row>
    <row r="26" spans="2:10" s="70" customFormat="1" ht="17.25">
      <c r="B26" s="149" t="s">
        <v>49</v>
      </c>
      <c r="C26" s="149"/>
      <c r="D26" s="150"/>
      <c r="E26" s="72">
        <f>November!F26</f>
        <v>5652</v>
      </c>
      <c r="F26" s="78">
        <v>5793</v>
      </c>
      <c r="G26" s="11">
        <f t="shared" si="2"/>
        <v>141</v>
      </c>
      <c r="H26" s="58">
        <f t="shared" si="3"/>
        <v>2.494692144373678E-2</v>
      </c>
      <c r="I26" s="80"/>
    </row>
    <row r="27" spans="2:10" s="70" customFormat="1" ht="17.25">
      <c r="B27" s="151" t="s">
        <v>50</v>
      </c>
      <c r="C27" s="151"/>
      <c r="D27" s="152"/>
      <c r="E27" s="72">
        <f>November!F27</f>
        <v>3418</v>
      </c>
      <c r="F27" s="78">
        <v>3422</v>
      </c>
      <c r="G27" s="11">
        <f t="shared" si="2"/>
        <v>4</v>
      </c>
      <c r="H27" s="58">
        <f t="shared" si="3"/>
        <v>1.170275014628519E-3</v>
      </c>
      <c r="I27" s="80"/>
    </row>
    <row r="28" spans="2:10" s="70" customFormat="1" ht="18" customHeight="1" thickBot="1">
      <c r="B28" s="145" t="s">
        <v>2</v>
      </c>
      <c r="C28" s="145"/>
      <c r="D28" s="146"/>
      <c r="E28" s="72">
        <f>November!F28</f>
        <v>10116</v>
      </c>
      <c r="F28" s="78">
        <v>10694</v>
      </c>
      <c r="G28" s="11">
        <f t="shared" si="2"/>
        <v>578</v>
      </c>
      <c r="H28" s="58">
        <f t="shared" si="3"/>
        <v>5.713720838275993E-2</v>
      </c>
      <c r="I28" s="80"/>
    </row>
    <row r="29" spans="2:10" s="64" customFormat="1" ht="18" thickBot="1">
      <c r="B29" s="59" t="s">
        <v>3</v>
      </c>
      <c r="C29" s="59"/>
      <c r="D29" s="60"/>
      <c r="E29" s="66">
        <f>November!F29</f>
        <v>1118929</v>
      </c>
      <c r="F29" s="66">
        <v>1141497</v>
      </c>
      <c r="G29" s="66">
        <f t="shared" si="2"/>
        <v>22568</v>
      </c>
      <c r="H29" s="63">
        <f t="shared" si="3"/>
        <v>2.0169286880579618E-2</v>
      </c>
      <c r="I29" s="80"/>
    </row>
    <row r="30" spans="2:10" ht="15">
      <c r="B30" s="10"/>
      <c r="C30" s="2"/>
      <c r="D30" s="2"/>
      <c r="E30" s="2"/>
      <c r="F30" s="2"/>
      <c r="G30" s="2"/>
    </row>
    <row r="31" spans="2:10" ht="15">
      <c r="B31" s="10"/>
      <c r="C31" s="2"/>
      <c r="D31" s="2"/>
      <c r="E31" s="2"/>
      <c r="F31" s="2"/>
      <c r="G31" s="2"/>
    </row>
    <row r="32" spans="2:10" ht="18" thickBot="1">
      <c r="B32" s="13" t="s">
        <v>15</v>
      </c>
      <c r="C32" s="14"/>
      <c r="D32" s="14"/>
      <c r="E32" s="14"/>
      <c r="F32" s="14"/>
      <c r="G32" s="14"/>
      <c r="H32" s="15" t="s">
        <v>13</v>
      </c>
    </row>
    <row r="33" spans="2:9" ht="15.75" thickBot="1">
      <c r="B33" s="124" t="s">
        <v>17</v>
      </c>
      <c r="C33" s="124"/>
      <c r="D33" s="125"/>
      <c r="E33" s="67">
        <f>EDATE(B3,-1)</f>
        <v>42704</v>
      </c>
      <c r="F33" s="67">
        <f>F11</f>
        <v>42735</v>
      </c>
      <c r="G33" s="16" t="s">
        <v>9</v>
      </c>
      <c r="H33" s="16" t="s">
        <v>10</v>
      </c>
    </row>
    <row r="34" spans="2:9" ht="17.25">
      <c r="B34" s="153" t="s">
        <v>0</v>
      </c>
      <c r="C34" s="153"/>
      <c r="D34" s="154"/>
      <c r="E34" s="72">
        <f>November!F34</f>
        <v>85263</v>
      </c>
      <c r="F34" s="72">
        <v>95743</v>
      </c>
      <c r="G34" s="11">
        <f t="shared" ref="G34:G40" si="4">F34-E34</f>
        <v>10480</v>
      </c>
      <c r="H34" s="58">
        <f t="shared" ref="H34:H40" si="5">F34/E34-1</f>
        <v>0.12291380786507622</v>
      </c>
      <c r="I34" s="57"/>
    </row>
    <row r="35" spans="2:9" ht="17.25">
      <c r="B35" s="147" t="s">
        <v>1</v>
      </c>
      <c r="C35" s="147"/>
      <c r="D35" s="148"/>
      <c r="E35" s="72">
        <f>November!F35</f>
        <v>1065</v>
      </c>
      <c r="F35" s="72">
        <v>1182</v>
      </c>
      <c r="G35" s="11">
        <f t="shared" si="4"/>
        <v>117</v>
      </c>
      <c r="H35" s="58">
        <f t="shared" si="5"/>
        <v>0.10985915492957754</v>
      </c>
      <c r="I35" s="57"/>
    </row>
    <row r="36" spans="2:9" ht="17.25">
      <c r="B36" s="147" t="s">
        <v>48</v>
      </c>
      <c r="C36" s="147"/>
      <c r="D36" s="148"/>
      <c r="E36" s="72">
        <f>November!F36</f>
        <v>708</v>
      </c>
      <c r="F36" s="72">
        <v>735</v>
      </c>
      <c r="G36" s="11">
        <f t="shared" si="4"/>
        <v>27</v>
      </c>
      <c r="H36" s="58">
        <f t="shared" si="5"/>
        <v>3.8135593220338881E-2</v>
      </c>
      <c r="I36" s="57"/>
    </row>
    <row r="37" spans="2:9" ht="17.25">
      <c r="B37" s="149" t="s">
        <v>49</v>
      </c>
      <c r="C37" s="149"/>
      <c r="D37" s="150"/>
      <c r="E37" s="72">
        <f>November!F37</f>
        <v>393</v>
      </c>
      <c r="F37" s="72">
        <v>402</v>
      </c>
      <c r="G37" s="11">
        <f t="shared" si="4"/>
        <v>9</v>
      </c>
      <c r="H37" s="58">
        <f t="shared" si="5"/>
        <v>2.2900763358778553E-2</v>
      </c>
      <c r="I37" s="57"/>
    </row>
    <row r="38" spans="2:9" ht="17.25">
      <c r="B38" s="151" t="s">
        <v>50</v>
      </c>
      <c r="C38" s="151"/>
      <c r="D38" s="152"/>
      <c r="E38" s="72">
        <f>November!F38</f>
        <v>315</v>
      </c>
      <c r="F38" s="72">
        <v>333</v>
      </c>
      <c r="G38" s="11">
        <f t="shared" si="4"/>
        <v>18</v>
      </c>
      <c r="H38" s="58">
        <f t="shared" si="5"/>
        <v>5.7142857142857162E-2</v>
      </c>
      <c r="I38" s="57"/>
    </row>
    <row r="39" spans="2:9" ht="18" customHeight="1" thickBot="1">
      <c r="B39" s="145" t="s">
        <v>2</v>
      </c>
      <c r="C39" s="145"/>
      <c r="D39" s="146"/>
      <c r="E39" s="72">
        <f>November!F39</f>
        <v>6299</v>
      </c>
      <c r="F39" s="72">
        <v>3524</v>
      </c>
      <c r="G39" s="11">
        <f t="shared" si="4"/>
        <v>-2775</v>
      </c>
      <c r="H39" s="58">
        <f t="shared" si="5"/>
        <v>-0.44054611843149705</v>
      </c>
      <c r="I39" s="57"/>
    </row>
    <row r="40" spans="2:9" s="64" customFormat="1" ht="18" thickBot="1">
      <c r="B40" s="59" t="s">
        <v>3</v>
      </c>
      <c r="C40" s="59"/>
      <c r="D40" s="60"/>
      <c r="E40" s="66">
        <f>November!F40</f>
        <v>93335</v>
      </c>
      <c r="F40" s="66">
        <v>101184</v>
      </c>
      <c r="G40" s="66">
        <f t="shared" si="4"/>
        <v>7849</v>
      </c>
      <c r="H40" s="63">
        <f t="shared" si="5"/>
        <v>8.409492687630582E-2</v>
      </c>
      <c r="I40" s="57"/>
    </row>
    <row r="41" spans="2:9" ht="15">
      <c r="B41" s="6"/>
      <c r="C41" s="6"/>
      <c r="D41" s="6"/>
      <c r="E41" s="41"/>
      <c r="F41" s="41"/>
      <c r="G41" s="42"/>
      <c r="H41" s="43"/>
    </row>
    <row r="42" spans="2:9" ht="15">
      <c r="B42" s="10"/>
      <c r="C42" s="2"/>
      <c r="D42" s="2"/>
      <c r="E42" s="2"/>
      <c r="F42" s="2"/>
      <c r="G42" s="2"/>
    </row>
    <row r="43" spans="2:9" ht="17.25">
      <c r="B43" s="19"/>
      <c r="C43" s="19"/>
      <c r="D43" s="19"/>
      <c r="E43" s="19"/>
      <c r="F43" s="19"/>
      <c r="G43" s="19"/>
      <c r="H43" s="19"/>
    </row>
    <row r="44" spans="2:9" ht="17.25">
      <c r="B44" s="20" t="s">
        <v>16</v>
      </c>
      <c r="C44" s="19"/>
      <c r="D44" s="19"/>
      <c r="E44" s="19"/>
      <c r="F44" s="19"/>
      <c r="G44" s="19"/>
      <c r="H44" s="19"/>
    </row>
    <row r="45" spans="2:9" ht="18" thickBot="1">
      <c r="B45" s="22"/>
      <c r="C45" s="22"/>
      <c r="D45" s="22"/>
      <c r="E45" s="22"/>
      <c r="F45" s="22"/>
      <c r="G45" s="22"/>
      <c r="H45" s="22"/>
    </row>
    <row r="47" spans="2:9">
      <c r="F47" s="5"/>
    </row>
    <row r="48" spans="2:9" ht="18" thickBot="1">
      <c r="B48" s="12" t="s">
        <v>36</v>
      </c>
      <c r="C48" s="23"/>
      <c r="D48" s="23"/>
      <c r="E48" s="23"/>
      <c r="F48" s="23"/>
      <c r="G48" s="23"/>
      <c r="H48" s="128" t="s">
        <v>12</v>
      </c>
      <c r="I48" s="128"/>
    </row>
    <row r="49" spans="2:9" ht="15.75" thickBot="1">
      <c r="B49" s="124" t="s">
        <v>17</v>
      </c>
      <c r="C49" s="124"/>
      <c r="D49" s="125"/>
      <c r="E49" s="67">
        <v>41274</v>
      </c>
      <c r="F49" s="67">
        <v>41639</v>
      </c>
      <c r="G49" s="67">
        <v>42004</v>
      </c>
      <c r="H49" s="67">
        <v>42369</v>
      </c>
      <c r="I49" s="67">
        <v>42735</v>
      </c>
    </row>
    <row r="50" spans="2:9" ht="17.25">
      <c r="B50" s="129" t="s">
        <v>0</v>
      </c>
      <c r="C50" s="129"/>
      <c r="D50" s="130"/>
      <c r="E50" s="74">
        <v>805549</v>
      </c>
      <c r="F50" s="74">
        <v>881844</v>
      </c>
      <c r="G50" s="74">
        <v>944559</v>
      </c>
      <c r="H50" s="74">
        <v>1006751</v>
      </c>
      <c r="I50" s="74">
        <v>1102966</v>
      </c>
    </row>
    <row r="51" spans="2:9" ht="17.25">
      <c r="B51" s="131" t="s">
        <v>1</v>
      </c>
      <c r="C51" s="131"/>
      <c r="D51" s="132"/>
      <c r="E51" s="75">
        <v>17821</v>
      </c>
      <c r="F51" s="75">
        <v>19539</v>
      </c>
      <c r="G51" s="75">
        <v>20178</v>
      </c>
      <c r="H51" s="75">
        <v>20753</v>
      </c>
      <c r="I51" s="75">
        <v>18622</v>
      </c>
    </row>
    <row r="52" spans="2:9" ht="17.25">
      <c r="B52" s="133" t="s">
        <v>48</v>
      </c>
      <c r="C52" s="133"/>
      <c r="D52" s="134"/>
      <c r="E52" s="77">
        <v>5876</v>
      </c>
      <c r="F52" s="77">
        <v>6957</v>
      </c>
      <c r="G52" s="77">
        <v>7486</v>
      </c>
      <c r="H52" s="77">
        <v>8729</v>
      </c>
      <c r="I52" s="77">
        <v>9215</v>
      </c>
    </row>
    <row r="53" spans="2:9" ht="18" thickBot="1">
      <c r="B53" s="135" t="s">
        <v>2</v>
      </c>
      <c r="C53" s="135"/>
      <c r="D53" s="136"/>
      <c r="E53" s="73">
        <v>5261</v>
      </c>
      <c r="F53" s="73">
        <v>5182</v>
      </c>
      <c r="G53" s="73">
        <v>5142</v>
      </c>
      <c r="H53" s="73">
        <v>3836</v>
      </c>
      <c r="I53" s="73">
        <v>10694</v>
      </c>
    </row>
    <row r="54" spans="2:9" s="65" customFormat="1" ht="18" thickBot="1">
      <c r="B54" s="137" t="s">
        <v>3</v>
      </c>
      <c r="C54" s="137"/>
      <c r="D54" s="138"/>
      <c r="E54" s="76">
        <v>834507</v>
      </c>
      <c r="F54" s="76">
        <v>913522</v>
      </c>
      <c r="G54" s="76">
        <v>977365</v>
      </c>
      <c r="H54" s="76">
        <v>1040069</v>
      </c>
      <c r="I54" s="76">
        <v>1141497</v>
      </c>
    </row>
    <row r="55" spans="2:9" ht="15">
      <c r="B55" s="6"/>
      <c r="C55" s="7"/>
      <c r="D55" s="8"/>
      <c r="E55" s="8"/>
      <c r="F55" s="8"/>
      <c r="G55" s="8"/>
      <c r="H55" s="8"/>
    </row>
    <row r="56" spans="2:9" ht="15">
      <c r="B56" s="6"/>
      <c r="C56" s="7"/>
      <c r="D56" s="8"/>
      <c r="E56" s="8"/>
      <c r="F56" s="8"/>
      <c r="G56" s="8"/>
      <c r="H56" s="8"/>
    </row>
    <row r="57" spans="2:9" ht="15">
      <c r="B57" s="6"/>
      <c r="C57" s="7"/>
      <c r="D57" s="8"/>
      <c r="E57" s="8"/>
      <c r="F57" s="8"/>
      <c r="G57" s="8"/>
      <c r="H57" s="8"/>
    </row>
    <row r="58" spans="2:9" ht="15">
      <c r="B58" s="6"/>
      <c r="C58" s="7"/>
      <c r="D58" s="8"/>
      <c r="E58" s="8"/>
      <c r="F58" s="8"/>
      <c r="G58" s="8"/>
      <c r="H58" s="8"/>
    </row>
    <row r="59" spans="2:9" ht="15">
      <c r="B59" s="6"/>
      <c r="C59" s="7"/>
      <c r="D59" s="8"/>
      <c r="E59" s="8"/>
      <c r="F59" s="8"/>
      <c r="G59" s="8"/>
      <c r="H59" s="8"/>
    </row>
    <row r="60" spans="2:9" ht="15">
      <c r="B60" s="6"/>
      <c r="C60" s="7"/>
      <c r="D60" s="8"/>
      <c r="E60" s="8"/>
      <c r="F60" s="8"/>
      <c r="G60" s="8"/>
      <c r="H60" s="8"/>
    </row>
    <row r="61" spans="2:9" ht="15">
      <c r="B61" s="6"/>
      <c r="C61" s="7"/>
      <c r="D61" s="8"/>
      <c r="E61" s="8"/>
      <c r="F61" s="8"/>
      <c r="G61" s="8"/>
      <c r="H61" s="8"/>
    </row>
    <row r="62" spans="2:9" ht="15">
      <c r="B62" s="6"/>
      <c r="C62" s="7"/>
      <c r="D62" s="8"/>
      <c r="E62" s="8"/>
      <c r="F62" s="8"/>
      <c r="G62" s="8"/>
      <c r="H62" s="8"/>
    </row>
    <row r="63" spans="2:9" ht="15">
      <c r="B63" s="6"/>
      <c r="C63" s="7"/>
      <c r="D63" s="8"/>
      <c r="E63" s="8"/>
      <c r="F63" s="8"/>
      <c r="G63" s="8"/>
      <c r="H63" s="8"/>
    </row>
    <row r="64" spans="2:9" ht="15">
      <c r="B64" s="6"/>
      <c r="C64" s="7"/>
      <c r="D64" s="8"/>
      <c r="E64" s="8"/>
      <c r="F64" s="8"/>
      <c r="G64" s="8"/>
      <c r="H64" s="8"/>
    </row>
    <row r="65" spans="2:8" ht="15">
      <c r="B65" s="6"/>
      <c r="C65" s="7"/>
      <c r="D65" s="8"/>
      <c r="E65" s="8"/>
      <c r="F65" s="8"/>
      <c r="G65" s="8"/>
      <c r="H65" s="8"/>
    </row>
    <row r="66" spans="2:8" ht="15">
      <c r="B66" s="6"/>
      <c r="C66" s="7"/>
      <c r="D66" s="8"/>
      <c r="E66" s="8"/>
      <c r="F66" s="8"/>
      <c r="G66" s="8"/>
      <c r="H66" s="8"/>
    </row>
    <row r="67" spans="2:8" ht="15">
      <c r="B67" s="6"/>
      <c r="C67" s="7"/>
      <c r="D67" s="8"/>
      <c r="E67" s="8"/>
      <c r="F67" s="8"/>
      <c r="G67" s="8"/>
      <c r="H67" s="8"/>
    </row>
    <row r="68" spans="2:8" ht="15">
      <c r="B68" s="6"/>
      <c r="C68" s="7"/>
      <c r="D68" s="8"/>
      <c r="E68" s="8"/>
      <c r="F68" s="8"/>
      <c r="G68" s="8"/>
      <c r="H68" s="8"/>
    </row>
    <row r="69" spans="2:8" ht="15">
      <c r="B69" s="6"/>
      <c r="C69" s="7"/>
      <c r="D69" s="8"/>
      <c r="E69" s="8"/>
      <c r="F69" s="8"/>
      <c r="G69" s="8"/>
      <c r="H69" s="8"/>
    </row>
    <row r="70" spans="2:8" ht="15">
      <c r="B70" s="6"/>
      <c r="C70" s="7"/>
      <c r="D70" s="8"/>
      <c r="E70" s="8"/>
      <c r="F70" s="5"/>
      <c r="G70" s="8"/>
      <c r="H70" s="8"/>
    </row>
    <row r="71" spans="2:8" ht="15">
      <c r="B71" s="6"/>
      <c r="C71" s="7"/>
      <c r="D71" s="8"/>
      <c r="E71" s="8"/>
      <c r="F71" s="5"/>
      <c r="G71" s="8"/>
      <c r="H71" s="8"/>
    </row>
    <row r="72" spans="2:8" ht="15">
      <c r="B72" s="6"/>
      <c r="C72" s="7"/>
      <c r="D72" s="8"/>
      <c r="E72" s="8"/>
      <c r="F72" s="5"/>
      <c r="G72" s="8"/>
      <c r="H72" s="8"/>
    </row>
    <row r="73" spans="2:8" ht="15">
      <c r="B73" s="6"/>
      <c r="C73" s="7"/>
      <c r="D73" s="8"/>
      <c r="E73" s="8"/>
      <c r="F73" s="5"/>
      <c r="G73" s="8"/>
      <c r="H73" s="8"/>
    </row>
    <row r="74" spans="2:8" ht="15">
      <c r="B74" s="6"/>
      <c r="C74" s="7"/>
      <c r="D74" s="8"/>
      <c r="E74" s="8"/>
      <c r="F74" s="5"/>
      <c r="G74" s="8"/>
      <c r="H74" s="8"/>
    </row>
    <row r="75" spans="2:8" ht="15">
      <c r="B75" s="6"/>
      <c r="C75" s="7"/>
      <c r="D75" s="8"/>
      <c r="E75" s="8"/>
      <c r="F75" s="5"/>
      <c r="G75" s="8"/>
      <c r="H75" s="8"/>
    </row>
    <row r="76" spans="2:8" ht="15">
      <c r="B76" s="6"/>
      <c r="C76" s="7"/>
      <c r="D76" s="8"/>
      <c r="E76" s="8"/>
      <c r="F76" s="5"/>
      <c r="G76" s="8"/>
      <c r="H76" s="8"/>
    </row>
    <row r="77" spans="2:8" ht="15">
      <c r="B77" s="6"/>
      <c r="C77" s="7"/>
      <c r="D77" s="8"/>
      <c r="E77" s="8"/>
      <c r="F77" s="5"/>
      <c r="G77" s="8"/>
      <c r="H77" s="8"/>
    </row>
    <row r="78" spans="2:8" ht="15">
      <c r="B78" s="6"/>
      <c r="C78" s="7"/>
      <c r="D78" s="8"/>
      <c r="E78" s="8"/>
      <c r="F78" s="5"/>
      <c r="G78" s="8"/>
      <c r="H78" s="8"/>
    </row>
    <row r="79" spans="2:8" ht="15">
      <c r="B79" s="6"/>
      <c r="C79" s="7"/>
      <c r="D79" s="8"/>
      <c r="E79" s="8"/>
      <c r="F79" s="5"/>
      <c r="G79" s="8"/>
      <c r="H79" s="8"/>
    </row>
    <row r="80" spans="2:8" ht="15">
      <c r="B80" s="6"/>
      <c r="C80" s="7"/>
      <c r="D80" s="8"/>
      <c r="E80" s="8"/>
      <c r="F80" s="5"/>
      <c r="G80" s="8"/>
      <c r="H80" s="8"/>
    </row>
    <row r="81" spans="2:11" ht="15">
      <c r="B81" s="6"/>
      <c r="C81" s="7"/>
      <c r="D81" s="8"/>
      <c r="E81" s="8"/>
      <c r="F81" s="5"/>
      <c r="G81" s="8"/>
      <c r="H81" s="8"/>
      <c r="I81"/>
      <c r="J81"/>
      <c r="K81"/>
    </row>
    <row r="82" spans="2:11" ht="18" thickBot="1">
      <c r="B82" s="12" t="s">
        <v>37</v>
      </c>
      <c r="C82" s="23"/>
      <c r="D82" s="23"/>
      <c r="E82" s="23"/>
      <c r="F82" s="23"/>
      <c r="G82" s="23"/>
      <c r="H82" s="108" t="s">
        <v>11</v>
      </c>
      <c r="I82"/>
      <c r="J82"/>
      <c r="K82"/>
    </row>
    <row r="83" spans="2:11" ht="15.75" thickBot="1">
      <c r="B83" s="31" t="s">
        <v>17</v>
      </c>
      <c r="C83" s="67">
        <f>EDATE(D83,-1)</f>
        <v>42581</v>
      </c>
      <c r="D83" s="67">
        <f>EDATE(E83,-1)</f>
        <v>42612</v>
      </c>
      <c r="E83" s="67">
        <f>EDATE(F83,-1)</f>
        <v>42643</v>
      </c>
      <c r="F83" s="67">
        <f>EDATE(G83,-1)</f>
        <v>42673</v>
      </c>
      <c r="G83" s="67">
        <f>EDATE(H83,-1)</f>
        <v>42704</v>
      </c>
      <c r="H83" s="67">
        <f>EDATE(E11,1)</f>
        <v>42734</v>
      </c>
      <c r="I83"/>
      <c r="J83"/>
    </row>
    <row r="84" spans="2:11" ht="16.5" customHeight="1">
      <c r="B84" s="24" t="s">
        <v>0</v>
      </c>
      <c r="C84" s="74">
        <v>1033667</v>
      </c>
      <c r="D84" s="74">
        <v>1040684</v>
      </c>
      <c r="E84" s="74">
        <v>1049230</v>
      </c>
      <c r="F84" s="74">
        <v>1061843</v>
      </c>
      <c r="G84" s="74">
        <v>1080706</v>
      </c>
      <c r="H84" s="74">
        <v>1102966</v>
      </c>
    </row>
    <row r="85" spans="2:11" ht="16.5" customHeight="1">
      <c r="B85" s="25" t="s">
        <v>1</v>
      </c>
      <c r="C85" s="75">
        <v>19019</v>
      </c>
      <c r="D85" s="75">
        <v>19083</v>
      </c>
      <c r="E85" s="75">
        <v>19110</v>
      </c>
      <c r="F85" s="75">
        <v>18990</v>
      </c>
      <c r="G85" s="75">
        <v>19037</v>
      </c>
      <c r="H85" s="75">
        <v>18622</v>
      </c>
    </row>
    <row r="86" spans="2:11" ht="16.5" customHeight="1">
      <c r="B86" s="26" t="s">
        <v>48</v>
      </c>
      <c r="C86" s="77">
        <v>8797</v>
      </c>
      <c r="D86" s="77">
        <v>8850</v>
      </c>
      <c r="E86" s="77">
        <v>8966</v>
      </c>
      <c r="F86" s="77">
        <v>9026</v>
      </c>
      <c r="G86" s="77">
        <v>9070</v>
      </c>
      <c r="H86" s="77">
        <v>9215</v>
      </c>
    </row>
    <row r="87" spans="2:11" ht="16.5" customHeight="1" thickBot="1">
      <c r="B87" s="27" t="s">
        <v>2</v>
      </c>
      <c r="C87" s="73">
        <v>1620</v>
      </c>
      <c r="D87" s="73">
        <v>2017</v>
      </c>
      <c r="E87" s="73">
        <v>2602</v>
      </c>
      <c r="F87" s="73">
        <v>7021</v>
      </c>
      <c r="G87" s="73">
        <v>10116</v>
      </c>
      <c r="H87" s="73">
        <v>10694</v>
      </c>
    </row>
    <row r="88" spans="2:11" s="65" customFormat="1" ht="18" thickBot="1">
      <c r="B88" s="109" t="s">
        <v>3</v>
      </c>
      <c r="C88" s="76">
        <v>1063103</v>
      </c>
      <c r="D88" s="76">
        <v>1070634</v>
      </c>
      <c r="E88" s="76">
        <v>1079908</v>
      </c>
      <c r="F88" s="76">
        <v>1096880</v>
      </c>
      <c r="G88" s="76">
        <v>1118929</v>
      </c>
      <c r="H88" s="76">
        <v>1141497</v>
      </c>
      <c r="I88" s="57"/>
    </row>
    <row r="89" spans="2:11">
      <c r="J89"/>
    </row>
    <row r="90" spans="2:11">
      <c r="J90"/>
    </row>
    <row r="91" spans="2:11">
      <c r="B91" s="2"/>
      <c r="F91" s="2"/>
      <c r="G91" s="2"/>
      <c r="H91" s="2"/>
      <c r="I91"/>
      <c r="J91"/>
      <c r="K91"/>
    </row>
    <row r="92" spans="2:11">
      <c r="B92" s="2"/>
      <c r="F92" s="2"/>
      <c r="G92" s="2"/>
      <c r="H92" s="2"/>
      <c r="I92"/>
      <c r="J92"/>
      <c r="K92"/>
    </row>
    <row r="93" spans="2:11" ht="15">
      <c r="B93" s="10"/>
      <c r="C93" s="2"/>
      <c r="D93" s="2"/>
      <c r="E93" s="2"/>
      <c r="G93" s="2"/>
      <c r="H93" s="2"/>
      <c r="I93"/>
      <c r="J93"/>
      <c r="K93"/>
    </row>
    <row r="94" spans="2:11" s="4" customFormat="1" ht="12.75">
      <c r="B94" s="3"/>
      <c r="C94" s="3"/>
      <c r="D94" s="3"/>
      <c r="E94" s="3"/>
      <c r="F94" s="3"/>
      <c r="G94" s="3"/>
      <c r="H94" s="3"/>
    </row>
    <row r="95" spans="2:11" ht="15">
      <c r="B95" s="9"/>
      <c r="C95" s="2"/>
      <c r="D95" s="2"/>
      <c r="E95" s="2"/>
      <c r="F95" s="2"/>
      <c r="G95" s="2"/>
      <c r="H95" s="2"/>
    </row>
    <row r="96" spans="2:11">
      <c r="B96" s="2"/>
      <c r="F96" s="2"/>
      <c r="G96" s="2"/>
      <c r="H96" s="2"/>
    </row>
    <row r="97" spans="6:8">
      <c r="F97" s="2"/>
      <c r="G97" s="2"/>
      <c r="H97" s="2"/>
    </row>
    <row r="98" spans="6:8">
      <c r="F98" s="2"/>
      <c r="G98" s="2"/>
      <c r="H98" s="2"/>
    </row>
    <row r="123" spans="2:8" ht="17.25">
      <c r="B123" s="28"/>
      <c r="C123" s="28"/>
      <c r="D123" s="28"/>
      <c r="E123" s="28"/>
      <c r="F123" s="28"/>
      <c r="G123" s="28"/>
      <c r="H123" s="28"/>
    </row>
    <row r="124" spans="2:8" ht="17.25">
      <c r="B124" s="29" t="s">
        <v>22</v>
      </c>
      <c r="C124" s="83">
        <f>B3</f>
        <v>42735</v>
      </c>
      <c r="D124" s="28"/>
      <c r="E124" s="28"/>
      <c r="F124" s="28"/>
      <c r="G124" s="28"/>
      <c r="H124" s="28"/>
    </row>
    <row r="125" spans="2:8" ht="18" thickBot="1">
      <c r="B125" s="30"/>
      <c r="C125" s="30"/>
      <c r="D125" s="30"/>
      <c r="E125" s="30"/>
      <c r="F125" s="30"/>
      <c r="G125" s="30"/>
      <c r="H125" s="30"/>
    </row>
    <row r="127" spans="2:8" ht="18" thickBot="1">
      <c r="B127" s="61"/>
      <c r="C127" s="68"/>
      <c r="D127" s="35"/>
      <c r="E127" s="35"/>
      <c r="F127" s="35"/>
      <c r="G127" s="35"/>
      <c r="H127" s="36" t="s">
        <v>12</v>
      </c>
    </row>
    <row r="128" spans="2:8" ht="30.75" customHeight="1" thickBot="1">
      <c r="B128" s="125" t="s">
        <v>23</v>
      </c>
      <c r="C128" s="139"/>
      <c r="D128" s="139"/>
      <c r="E128" s="139"/>
      <c r="F128" s="139"/>
      <c r="G128" s="140" t="s">
        <v>4</v>
      </c>
      <c r="H128" s="141"/>
    </row>
    <row r="129" spans="2:10" ht="18" customHeight="1" thickBot="1">
      <c r="B129" s="115" t="s">
        <v>21</v>
      </c>
      <c r="C129" s="142"/>
      <c r="D129" s="142"/>
      <c r="E129" s="142"/>
      <c r="F129" s="142"/>
      <c r="G129" s="143">
        <v>351</v>
      </c>
      <c r="H129" s="144"/>
    </row>
    <row r="132" spans="2:10" ht="17.25">
      <c r="B132" s="32"/>
      <c r="C132" s="32"/>
      <c r="D132" s="32"/>
      <c r="E132" s="32"/>
      <c r="F132" s="32"/>
      <c r="G132" s="32"/>
      <c r="H132" s="32"/>
    </row>
    <row r="133" spans="2:10" ht="17.25">
      <c r="B133" s="33" t="s">
        <v>20</v>
      </c>
      <c r="C133" s="32"/>
      <c r="D133" s="32"/>
      <c r="E133" s="33"/>
      <c r="F133" s="85">
        <f>C6</f>
        <v>42735</v>
      </c>
      <c r="G133" s="32"/>
      <c r="H133" s="32"/>
    </row>
    <row r="134" spans="2:10" ht="18" thickBot="1">
      <c r="B134" s="34"/>
      <c r="C134" s="34"/>
      <c r="D134" s="34"/>
      <c r="E134" s="34"/>
      <c r="F134" s="34"/>
      <c r="G134" s="34"/>
      <c r="H134" s="34"/>
    </row>
    <row r="136" spans="2:10" ht="17.25">
      <c r="B136" s="81" t="s">
        <v>24</v>
      </c>
      <c r="C136" s="37"/>
      <c r="D136" s="37"/>
      <c r="E136" s="37"/>
      <c r="F136" s="37"/>
      <c r="G136" s="37"/>
      <c r="H136" s="38" t="s">
        <v>12</v>
      </c>
    </row>
    <row r="137" spans="2:10" ht="18" thickBot="1">
      <c r="B137" s="82" t="s">
        <v>25</v>
      </c>
      <c r="C137" s="37"/>
      <c r="D137" s="37"/>
      <c r="E137" s="37"/>
      <c r="F137" s="37"/>
      <c r="G137" s="37"/>
      <c r="H137" s="38"/>
    </row>
    <row r="138" spans="2:10" ht="15.75" customHeight="1" thickBot="1">
      <c r="B138" s="126" t="s">
        <v>18</v>
      </c>
      <c r="C138" s="126"/>
      <c r="D138" s="126"/>
      <c r="E138" s="126"/>
      <c r="F138" s="127"/>
      <c r="G138" s="118" t="s">
        <v>5</v>
      </c>
      <c r="H138" s="119"/>
      <c r="I138"/>
    </row>
    <row r="139" spans="2:10" ht="17.25" customHeight="1">
      <c r="B139" s="120" t="s">
        <v>40</v>
      </c>
      <c r="C139" s="120" t="s">
        <v>40</v>
      </c>
      <c r="D139" s="120" t="s">
        <v>40</v>
      </c>
      <c r="E139" s="120" t="s">
        <v>40</v>
      </c>
      <c r="F139" s="121" t="s">
        <v>40</v>
      </c>
      <c r="G139" s="122">
        <v>249474</v>
      </c>
      <c r="H139" s="123">
        <v>249474</v>
      </c>
      <c r="I139" s="46"/>
      <c r="J139" s="49"/>
    </row>
    <row r="140" spans="2:10" ht="13.5" customHeight="1">
      <c r="B140" s="110" t="s">
        <v>28</v>
      </c>
      <c r="C140" s="110" t="s">
        <v>28</v>
      </c>
      <c r="D140" s="110" t="s">
        <v>28</v>
      </c>
      <c r="E140" s="110" t="s">
        <v>28</v>
      </c>
      <c r="F140" s="111" t="s">
        <v>28</v>
      </c>
      <c r="G140" s="112">
        <v>196634</v>
      </c>
      <c r="H140" s="113">
        <v>196634</v>
      </c>
      <c r="I140" s="46"/>
      <c r="J140" s="49"/>
    </row>
    <row r="141" spans="2:10" ht="17.25" customHeight="1">
      <c r="B141" s="110" t="s">
        <v>29</v>
      </c>
      <c r="C141" s="110" t="s">
        <v>29</v>
      </c>
      <c r="D141" s="110" t="s">
        <v>29</v>
      </c>
      <c r="E141" s="110" t="s">
        <v>29</v>
      </c>
      <c r="F141" s="111" t="s">
        <v>29</v>
      </c>
      <c r="G141" s="112">
        <v>181728</v>
      </c>
      <c r="H141" s="113">
        <v>181728</v>
      </c>
      <c r="I141" s="46"/>
      <c r="J141" s="49"/>
    </row>
    <row r="142" spans="2:10" ht="17.25" customHeight="1">
      <c r="B142" s="110" t="s">
        <v>41</v>
      </c>
      <c r="C142" s="110" t="s">
        <v>41</v>
      </c>
      <c r="D142" s="110" t="s">
        <v>41</v>
      </c>
      <c r="E142" s="110" t="s">
        <v>41</v>
      </c>
      <c r="F142" s="111" t="s">
        <v>41</v>
      </c>
      <c r="G142" s="112">
        <v>160378</v>
      </c>
      <c r="H142" s="113">
        <v>160378</v>
      </c>
      <c r="I142" s="46"/>
      <c r="J142" s="49"/>
    </row>
    <row r="143" spans="2:10" ht="17.25" customHeight="1">
      <c r="B143" s="110" t="s">
        <v>39</v>
      </c>
      <c r="C143" s="110" t="s">
        <v>39</v>
      </c>
      <c r="D143" s="110" t="s">
        <v>39</v>
      </c>
      <c r="E143" s="110" t="s">
        <v>39</v>
      </c>
      <c r="F143" s="111" t="s">
        <v>39</v>
      </c>
      <c r="G143" s="112">
        <v>94369</v>
      </c>
      <c r="H143" s="113">
        <v>94369</v>
      </c>
      <c r="I143" s="46"/>
      <c r="J143" s="49"/>
    </row>
    <row r="144" spans="2:10" ht="13.5" customHeight="1">
      <c r="B144" s="110" t="s">
        <v>42</v>
      </c>
      <c r="C144" s="110" t="s">
        <v>42</v>
      </c>
      <c r="D144" s="110" t="s">
        <v>42</v>
      </c>
      <c r="E144" s="110" t="s">
        <v>42</v>
      </c>
      <c r="F144" s="111" t="s">
        <v>42</v>
      </c>
      <c r="G144" s="112">
        <v>61471</v>
      </c>
      <c r="H144" s="113">
        <v>61471</v>
      </c>
      <c r="I144" s="50"/>
      <c r="J144" s="49"/>
    </row>
    <row r="145" spans="2:13" ht="17.25" customHeight="1">
      <c r="B145" s="110" t="s">
        <v>30</v>
      </c>
      <c r="C145" s="110" t="s">
        <v>30</v>
      </c>
      <c r="D145" s="110" t="s">
        <v>30</v>
      </c>
      <c r="E145" s="110" t="s">
        <v>30</v>
      </c>
      <c r="F145" s="111" t="s">
        <v>30</v>
      </c>
      <c r="G145" s="112">
        <v>49755</v>
      </c>
      <c r="H145" s="113">
        <v>49755</v>
      </c>
      <c r="I145" s="46"/>
      <c r="J145" s="49"/>
    </row>
    <row r="146" spans="2:13" ht="17.25" customHeight="1">
      <c r="B146" s="110" t="s">
        <v>45</v>
      </c>
      <c r="C146" s="110" t="s">
        <v>45</v>
      </c>
      <c r="D146" s="110" t="s">
        <v>45</v>
      </c>
      <c r="E146" s="110" t="s">
        <v>45</v>
      </c>
      <c r="F146" s="111" t="s">
        <v>45</v>
      </c>
      <c r="G146" s="112">
        <v>33250</v>
      </c>
      <c r="H146" s="113">
        <v>33250</v>
      </c>
      <c r="I146" s="46"/>
      <c r="J146" s="49"/>
    </row>
    <row r="147" spans="2:13" ht="17.25" customHeight="1">
      <c r="B147" s="110" t="s">
        <v>57</v>
      </c>
      <c r="C147" s="110" t="s">
        <v>57</v>
      </c>
      <c r="D147" s="110" t="s">
        <v>57</v>
      </c>
      <c r="E147" s="110" t="s">
        <v>57</v>
      </c>
      <c r="F147" s="111" t="s">
        <v>57</v>
      </c>
      <c r="G147" s="112">
        <v>21868</v>
      </c>
      <c r="H147" s="113">
        <v>21868</v>
      </c>
      <c r="I147" s="46"/>
      <c r="J147" s="49"/>
      <c r="L147"/>
    </row>
    <row r="148" spans="2:13" ht="18" customHeight="1" thickBot="1">
      <c r="B148" s="114" t="s">
        <v>32</v>
      </c>
      <c r="C148" s="114" t="s">
        <v>32</v>
      </c>
      <c r="D148" s="114" t="s">
        <v>32</v>
      </c>
      <c r="E148" s="114" t="s">
        <v>32</v>
      </c>
      <c r="F148" s="115" t="s">
        <v>32</v>
      </c>
      <c r="G148" s="116">
        <v>19859</v>
      </c>
      <c r="H148" s="117">
        <v>19859</v>
      </c>
      <c r="I148" s="46"/>
      <c r="J148" s="49"/>
      <c r="L148"/>
    </row>
    <row r="149" spans="2:13" ht="17.25">
      <c r="G149" s="40"/>
      <c r="H149" s="40"/>
      <c r="I149" s="51"/>
      <c r="J149" s="51"/>
    </row>
    <row r="150" spans="2:13" ht="17.25">
      <c r="B150" s="39"/>
      <c r="C150" s="39"/>
      <c r="D150" s="39"/>
      <c r="E150" s="39"/>
      <c r="F150" s="39"/>
      <c r="G150" s="40"/>
      <c r="H150" s="40"/>
      <c r="I150" s="51"/>
      <c r="J150" s="51"/>
    </row>
    <row r="151" spans="2:13" ht="17.25">
      <c r="B151" s="81" t="s">
        <v>6</v>
      </c>
      <c r="C151" s="37"/>
      <c r="D151" s="37"/>
      <c r="E151" s="37"/>
      <c r="F151" s="37"/>
      <c r="G151" s="37"/>
      <c r="H151" s="38" t="s">
        <v>11</v>
      </c>
      <c r="I151" s="51"/>
      <c r="J151" s="51"/>
    </row>
    <row r="152" spans="2:13" ht="18" thickBot="1">
      <c r="B152" s="82" t="s">
        <v>26</v>
      </c>
      <c r="C152" s="37"/>
      <c r="D152" s="37"/>
      <c r="E152" s="37"/>
      <c r="F152" s="37"/>
      <c r="G152" s="37"/>
      <c r="H152" s="38"/>
      <c r="I152" s="51"/>
      <c r="J152" s="51"/>
    </row>
    <row r="153" spans="2:13" ht="15.75" thickBot="1">
      <c r="B153" s="124" t="s">
        <v>18</v>
      </c>
      <c r="C153" s="124"/>
      <c r="D153" s="124"/>
      <c r="E153" s="124"/>
      <c r="F153" s="125"/>
      <c r="G153" s="119" t="s">
        <v>5</v>
      </c>
      <c r="H153" s="119"/>
      <c r="I153" s="51"/>
      <c r="J153" s="51"/>
      <c r="K153"/>
      <c r="L153"/>
      <c r="M153"/>
    </row>
    <row r="154" spans="2:13" ht="17.25" customHeight="1">
      <c r="B154" s="120" t="s">
        <v>28</v>
      </c>
      <c r="C154" s="120" t="s">
        <v>28</v>
      </c>
      <c r="D154" s="120" t="s">
        <v>28</v>
      </c>
      <c r="E154" s="120" t="s">
        <v>28</v>
      </c>
      <c r="F154" s="121" t="s">
        <v>28</v>
      </c>
      <c r="G154" s="122">
        <v>16198</v>
      </c>
      <c r="H154" s="123">
        <v>16198</v>
      </c>
      <c r="I154" s="52"/>
      <c r="J154" s="49"/>
      <c r="K154" s="48"/>
      <c r="L154"/>
      <c r="M154"/>
    </row>
    <row r="155" spans="2:13" ht="17.25" customHeight="1">
      <c r="B155" s="110" t="s">
        <v>41</v>
      </c>
      <c r="C155" s="110" t="s">
        <v>41</v>
      </c>
      <c r="D155" s="110" t="s">
        <v>41</v>
      </c>
      <c r="E155" s="110" t="s">
        <v>41</v>
      </c>
      <c r="F155" s="111" t="s">
        <v>41</v>
      </c>
      <c r="G155" s="112">
        <v>15909</v>
      </c>
      <c r="H155" s="113">
        <v>15909</v>
      </c>
      <c r="I155" s="52"/>
      <c r="J155" s="49"/>
      <c r="K155" s="48"/>
      <c r="L155"/>
      <c r="M155"/>
    </row>
    <row r="156" spans="2:13" ht="17.25" customHeight="1">
      <c r="B156" s="110" t="s">
        <v>29</v>
      </c>
      <c r="C156" s="110" t="s">
        <v>29</v>
      </c>
      <c r="D156" s="110" t="s">
        <v>29</v>
      </c>
      <c r="E156" s="110" t="s">
        <v>29</v>
      </c>
      <c r="F156" s="111" t="s">
        <v>29</v>
      </c>
      <c r="G156" s="112">
        <v>15484</v>
      </c>
      <c r="H156" s="113">
        <v>15484</v>
      </c>
      <c r="I156" s="52"/>
      <c r="J156" s="49"/>
      <c r="K156" s="48"/>
      <c r="L156"/>
      <c r="M156"/>
    </row>
    <row r="157" spans="2:13" ht="17.25">
      <c r="B157" s="110" t="s">
        <v>40</v>
      </c>
      <c r="C157" s="110" t="s">
        <v>40</v>
      </c>
      <c r="D157" s="110" t="s">
        <v>40</v>
      </c>
      <c r="E157" s="110" t="s">
        <v>40</v>
      </c>
      <c r="F157" s="111" t="s">
        <v>40</v>
      </c>
      <c r="G157" s="112">
        <v>12899</v>
      </c>
      <c r="H157" s="113">
        <v>12899</v>
      </c>
      <c r="I157" s="52"/>
      <c r="J157" s="49"/>
      <c r="K157" s="48"/>
      <c r="L157"/>
      <c r="M157"/>
    </row>
    <row r="158" spans="2:13" ht="17.25" customHeight="1">
      <c r="B158" s="110" t="s">
        <v>39</v>
      </c>
      <c r="C158" s="110" t="s">
        <v>39</v>
      </c>
      <c r="D158" s="110" t="s">
        <v>39</v>
      </c>
      <c r="E158" s="110" t="s">
        <v>39</v>
      </c>
      <c r="F158" s="111" t="s">
        <v>39</v>
      </c>
      <c r="G158" s="112">
        <v>12290</v>
      </c>
      <c r="H158" s="113">
        <v>12290</v>
      </c>
      <c r="I158" s="52"/>
      <c r="J158" s="49"/>
      <c r="K158" s="48"/>
      <c r="L158"/>
      <c r="M158"/>
    </row>
    <row r="159" spans="2:13" ht="17.25" customHeight="1">
      <c r="B159" s="110" t="s">
        <v>42</v>
      </c>
      <c r="C159" s="110" t="s">
        <v>42</v>
      </c>
      <c r="D159" s="110" t="s">
        <v>42</v>
      </c>
      <c r="E159" s="110" t="s">
        <v>42</v>
      </c>
      <c r="F159" s="111" t="s">
        <v>42</v>
      </c>
      <c r="G159" s="112">
        <v>4561</v>
      </c>
      <c r="H159" s="113">
        <v>4561</v>
      </c>
      <c r="I159" s="53"/>
      <c r="J159" s="49"/>
      <c r="K159" s="48"/>
      <c r="L159"/>
      <c r="M159"/>
    </row>
    <row r="160" spans="2:13" ht="17.25" customHeight="1">
      <c r="B160" s="110" t="s">
        <v>30</v>
      </c>
      <c r="C160" s="110" t="s">
        <v>30</v>
      </c>
      <c r="D160" s="110" t="s">
        <v>30</v>
      </c>
      <c r="E160" s="110" t="s">
        <v>30</v>
      </c>
      <c r="F160" s="111" t="s">
        <v>30</v>
      </c>
      <c r="G160" s="112">
        <v>3298</v>
      </c>
      <c r="H160" s="113">
        <v>3298</v>
      </c>
      <c r="I160" s="52"/>
      <c r="J160" s="49"/>
      <c r="K160" s="48"/>
      <c r="L160"/>
      <c r="M160"/>
    </row>
    <row r="161" spans="2:13" ht="17.25" customHeight="1">
      <c r="B161" s="110" t="s">
        <v>43</v>
      </c>
      <c r="C161" s="110" t="s">
        <v>43</v>
      </c>
      <c r="D161" s="110" t="s">
        <v>43</v>
      </c>
      <c r="E161" s="110" t="s">
        <v>43</v>
      </c>
      <c r="F161" s="111" t="s">
        <v>43</v>
      </c>
      <c r="G161" s="112">
        <v>2912</v>
      </c>
      <c r="H161" s="113">
        <v>2912</v>
      </c>
      <c r="I161" s="52"/>
      <c r="J161" s="49"/>
      <c r="K161" s="48"/>
      <c r="L161"/>
      <c r="M161"/>
    </row>
    <row r="162" spans="2:13" ht="17.25" customHeight="1">
      <c r="B162" s="110" t="s">
        <v>56</v>
      </c>
      <c r="C162" s="110" t="s">
        <v>56</v>
      </c>
      <c r="D162" s="110" t="s">
        <v>56</v>
      </c>
      <c r="E162" s="110" t="s">
        <v>56</v>
      </c>
      <c r="F162" s="111" t="s">
        <v>56</v>
      </c>
      <c r="G162" s="112">
        <v>2631</v>
      </c>
      <c r="H162" s="113">
        <v>2631</v>
      </c>
      <c r="I162" s="52"/>
      <c r="J162" s="49"/>
      <c r="K162" s="48"/>
      <c r="L162"/>
      <c r="M162"/>
    </row>
    <row r="163" spans="2:13" ht="18" customHeight="1" thickBot="1">
      <c r="B163" s="114" t="s">
        <v>44</v>
      </c>
      <c r="C163" s="114" t="s">
        <v>44</v>
      </c>
      <c r="D163" s="114" t="s">
        <v>44</v>
      </c>
      <c r="E163" s="114" t="s">
        <v>44</v>
      </c>
      <c r="F163" s="115" t="s">
        <v>44</v>
      </c>
      <c r="G163" s="116">
        <v>2384</v>
      </c>
      <c r="H163" s="117">
        <v>2384</v>
      </c>
      <c r="I163" s="52"/>
      <c r="J163" s="49"/>
      <c r="K163" s="48"/>
      <c r="L163"/>
      <c r="M163"/>
    </row>
    <row r="164" spans="2:13" ht="17.25">
      <c r="B164" s="39"/>
      <c r="C164" s="39"/>
      <c r="D164" s="39"/>
      <c r="E164" s="39"/>
      <c r="F164" s="39"/>
      <c r="G164" s="84"/>
      <c r="H164" s="84"/>
      <c r="I164" s="51"/>
      <c r="J164" s="51"/>
      <c r="L164"/>
      <c r="M164"/>
    </row>
    <row r="165" spans="2:13" ht="17.25">
      <c r="G165" s="40"/>
      <c r="H165" s="40"/>
      <c r="I165" s="2"/>
      <c r="J165" s="2"/>
    </row>
    <row r="166" spans="2:13" ht="17.25">
      <c r="B166" s="81" t="s">
        <v>7</v>
      </c>
      <c r="C166" s="37"/>
      <c r="D166" s="37"/>
      <c r="E166" s="37"/>
      <c r="F166" s="37"/>
      <c r="G166" s="37"/>
      <c r="H166" s="38" t="s">
        <v>13</v>
      </c>
      <c r="I166" s="2"/>
      <c r="J166" s="51"/>
      <c r="K166"/>
    </row>
    <row r="167" spans="2:13" ht="18" thickBot="1">
      <c r="B167" s="82" t="s">
        <v>27</v>
      </c>
      <c r="C167" s="37"/>
      <c r="D167" s="37"/>
      <c r="E167" s="37"/>
      <c r="F167" s="37"/>
      <c r="G167" s="37"/>
      <c r="H167" s="38"/>
      <c r="I167" s="2"/>
      <c r="J167" s="51"/>
      <c r="K167"/>
    </row>
    <row r="168" spans="2:13" ht="15" customHeight="1" thickBot="1">
      <c r="B168" s="126" t="s">
        <v>18</v>
      </c>
      <c r="C168" s="126"/>
      <c r="D168" s="126"/>
      <c r="E168" s="126"/>
      <c r="F168" s="127"/>
      <c r="G168" s="118" t="s">
        <v>8</v>
      </c>
      <c r="H168" s="119"/>
      <c r="I168" s="2"/>
      <c r="J168" s="2"/>
    </row>
    <row r="169" spans="2:13" ht="17.25" customHeight="1">
      <c r="B169" s="120" t="s">
        <v>39</v>
      </c>
      <c r="C169" s="120" t="s">
        <v>39</v>
      </c>
      <c r="D169" s="120" t="s">
        <v>39</v>
      </c>
      <c r="E169" s="120" t="s">
        <v>39</v>
      </c>
      <c r="F169" s="121" t="s">
        <v>39</v>
      </c>
      <c r="G169" s="122">
        <v>1780135320449.29</v>
      </c>
      <c r="H169" s="123">
        <v>1780135320449.29</v>
      </c>
      <c r="I169" s="54"/>
      <c r="J169" s="55"/>
    </row>
    <row r="170" spans="2:13" ht="17.25" customHeight="1">
      <c r="B170" s="110" t="s">
        <v>29</v>
      </c>
      <c r="C170" s="110" t="s">
        <v>29</v>
      </c>
      <c r="D170" s="110" t="s">
        <v>29</v>
      </c>
      <c r="E170" s="110" t="s">
        <v>29</v>
      </c>
      <c r="F170" s="111" t="s">
        <v>29</v>
      </c>
      <c r="G170" s="112">
        <v>1599039882942.98</v>
      </c>
      <c r="H170" s="113">
        <v>1599039882942.98</v>
      </c>
      <c r="I170" s="54"/>
      <c r="J170" s="55"/>
    </row>
    <row r="171" spans="2:13" ht="17.25" customHeight="1">
      <c r="B171" s="110" t="s">
        <v>38</v>
      </c>
      <c r="C171" s="110" t="s">
        <v>38</v>
      </c>
      <c r="D171" s="110" t="s">
        <v>38</v>
      </c>
      <c r="E171" s="110" t="s">
        <v>38</v>
      </c>
      <c r="F171" s="111" t="s">
        <v>38</v>
      </c>
      <c r="G171" s="112">
        <v>1006066971746.22</v>
      </c>
      <c r="H171" s="113">
        <v>1006066971746.22</v>
      </c>
      <c r="I171" s="54"/>
      <c r="J171" s="55"/>
    </row>
    <row r="172" spans="2:13" ht="17.25" customHeight="1">
      <c r="B172" s="110" t="s">
        <v>28</v>
      </c>
      <c r="C172" s="110" t="s">
        <v>28</v>
      </c>
      <c r="D172" s="110" t="s">
        <v>28</v>
      </c>
      <c r="E172" s="110" t="s">
        <v>28</v>
      </c>
      <c r="F172" s="111" t="s">
        <v>28</v>
      </c>
      <c r="G172" s="112">
        <v>638035480241.18005</v>
      </c>
      <c r="H172" s="113">
        <v>638035480241.18005</v>
      </c>
      <c r="I172" s="54"/>
      <c r="J172" s="55"/>
    </row>
    <row r="173" spans="2:13" ht="17.25" customHeight="1">
      <c r="B173" s="110" t="s">
        <v>51</v>
      </c>
      <c r="C173" s="110" t="s">
        <v>51</v>
      </c>
      <c r="D173" s="110" t="s">
        <v>51</v>
      </c>
      <c r="E173" s="110" t="s">
        <v>51</v>
      </c>
      <c r="F173" s="111" t="s">
        <v>51</v>
      </c>
      <c r="G173" s="112">
        <v>637937701775.79004</v>
      </c>
      <c r="H173" s="113">
        <v>637937701775.79004</v>
      </c>
      <c r="I173" s="56"/>
      <c r="J173" s="49"/>
    </row>
    <row r="174" spans="2:13" ht="17.25" customHeight="1">
      <c r="B174" s="110" t="s">
        <v>33</v>
      </c>
      <c r="C174" s="110" t="s">
        <v>33</v>
      </c>
      <c r="D174" s="110" t="s">
        <v>33</v>
      </c>
      <c r="E174" s="110" t="s">
        <v>33</v>
      </c>
      <c r="F174" s="111" t="s">
        <v>33</v>
      </c>
      <c r="G174" s="112">
        <v>582438371362.28003</v>
      </c>
      <c r="H174" s="113">
        <v>582438371362.28003</v>
      </c>
      <c r="I174" s="54"/>
      <c r="J174" s="55"/>
    </row>
    <row r="175" spans="2:13" ht="17.25" customHeight="1">
      <c r="B175" s="110" t="s">
        <v>53</v>
      </c>
      <c r="C175" s="110" t="s">
        <v>53</v>
      </c>
      <c r="D175" s="110" t="s">
        <v>53</v>
      </c>
      <c r="E175" s="110" t="s">
        <v>53</v>
      </c>
      <c r="F175" s="111" t="s">
        <v>53</v>
      </c>
      <c r="G175" s="112">
        <v>562026063061.18005</v>
      </c>
      <c r="H175" s="113">
        <v>562026063061.18005</v>
      </c>
      <c r="I175" s="54"/>
      <c r="J175" s="55"/>
    </row>
    <row r="176" spans="2:13" ht="17.25" customHeight="1">
      <c r="B176" s="110" t="s">
        <v>41</v>
      </c>
      <c r="C176" s="110" t="s">
        <v>41</v>
      </c>
      <c r="D176" s="110" t="s">
        <v>41</v>
      </c>
      <c r="E176" s="110" t="s">
        <v>41</v>
      </c>
      <c r="F176" s="111" t="s">
        <v>41</v>
      </c>
      <c r="G176" s="112">
        <v>491170627475.46002</v>
      </c>
      <c r="H176" s="113">
        <v>491170627475.46002</v>
      </c>
      <c r="I176" s="54"/>
      <c r="J176" s="55"/>
    </row>
    <row r="177" spans="2:10" ht="17.25" customHeight="1">
      <c r="B177" s="110" t="s">
        <v>54</v>
      </c>
      <c r="C177" s="110" t="s">
        <v>54</v>
      </c>
      <c r="D177" s="110" t="s">
        <v>54</v>
      </c>
      <c r="E177" s="110" t="s">
        <v>54</v>
      </c>
      <c r="F177" s="111" t="s">
        <v>54</v>
      </c>
      <c r="G177" s="112">
        <v>467618182901.90002</v>
      </c>
      <c r="H177" s="113">
        <v>467618182901.90002</v>
      </c>
      <c r="I177" s="54"/>
      <c r="J177" s="55"/>
    </row>
    <row r="178" spans="2:10" ht="18" customHeight="1" thickBot="1">
      <c r="B178" s="114" t="s">
        <v>46</v>
      </c>
      <c r="C178" s="114" t="s">
        <v>46</v>
      </c>
      <c r="D178" s="114" t="s">
        <v>46</v>
      </c>
      <c r="E178" s="114" t="s">
        <v>46</v>
      </c>
      <c r="F178" s="115" t="s">
        <v>46</v>
      </c>
      <c r="G178" s="116">
        <v>426055554452.15002</v>
      </c>
      <c r="H178" s="117">
        <v>426055554452.15002</v>
      </c>
      <c r="I178" s="54"/>
      <c r="J178" s="55"/>
    </row>
    <row r="179" spans="2:10" ht="17.25">
      <c r="G179" s="40"/>
      <c r="H179" s="40"/>
      <c r="J179" s="47"/>
    </row>
    <row r="180" spans="2:10">
      <c r="B180" s="57"/>
      <c r="J180" s="47"/>
    </row>
  </sheetData>
  <dataConsolidate link="1"/>
  <mergeCells count="101">
    <mergeCell ref="B177:F177"/>
    <mergeCell ref="G177:H177"/>
    <mergeCell ref="B178:F178"/>
    <mergeCell ref="G178:H178"/>
    <mergeCell ref="B174:F174"/>
    <mergeCell ref="G174:H174"/>
    <mergeCell ref="B175:F175"/>
    <mergeCell ref="G175:H175"/>
    <mergeCell ref="B176:F176"/>
    <mergeCell ref="G176:H176"/>
    <mergeCell ref="B171:F171"/>
    <mergeCell ref="G171:H171"/>
    <mergeCell ref="B172:F172"/>
    <mergeCell ref="G172:H172"/>
    <mergeCell ref="B173:F173"/>
    <mergeCell ref="G173:H173"/>
    <mergeCell ref="B168:F168"/>
    <mergeCell ref="G168:H168"/>
    <mergeCell ref="B169:F169"/>
    <mergeCell ref="G169:H169"/>
    <mergeCell ref="B170:F170"/>
    <mergeCell ref="G170:H170"/>
    <mergeCell ref="B161:F161"/>
    <mergeCell ref="G161:H161"/>
    <mergeCell ref="B162:F162"/>
    <mergeCell ref="G162:H162"/>
    <mergeCell ref="B163:F163"/>
    <mergeCell ref="G163:H163"/>
    <mergeCell ref="B158:F158"/>
    <mergeCell ref="G158:H158"/>
    <mergeCell ref="B159:F159"/>
    <mergeCell ref="G159:H159"/>
    <mergeCell ref="B160:F160"/>
    <mergeCell ref="G160:H160"/>
    <mergeCell ref="B155:F155"/>
    <mergeCell ref="G155:H155"/>
    <mergeCell ref="B156:F156"/>
    <mergeCell ref="G156:H156"/>
    <mergeCell ref="B157:F157"/>
    <mergeCell ref="G157:H157"/>
    <mergeCell ref="B148:F148"/>
    <mergeCell ref="G148:H148"/>
    <mergeCell ref="B153:F153"/>
    <mergeCell ref="G153:H153"/>
    <mergeCell ref="B154:F154"/>
    <mergeCell ref="G154:H154"/>
    <mergeCell ref="B145:F145"/>
    <mergeCell ref="G145:H145"/>
    <mergeCell ref="B146:F146"/>
    <mergeCell ref="G146:H146"/>
    <mergeCell ref="B147:F147"/>
    <mergeCell ref="G147:H147"/>
    <mergeCell ref="B142:F142"/>
    <mergeCell ref="G142:H142"/>
    <mergeCell ref="B143:F143"/>
    <mergeCell ref="G143:H143"/>
    <mergeCell ref="B144:F144"/>
    <mergeCell ref="G144:H144"/>
    <mergeCell ref="B139:F139"/>
    <mergeCell ref="G139:H139"/>
    <mergeCell ref="B140:F140"/>
    <mergeCell ref="G140:H140"/>
    <mergeCell ref="B141:F141"/>
    <mergeCell ref="G141:H141"/>
    <mergeCell ref="B54:D54"/>
    <mergeCell ref="B128:F128"/>
    <mergeCell ref="G128:H128"/>
    <mergeCell ref="B129:F129"/>
    <mergeCell ref="G129:H129"/>
    <mergeCell ref="B138:F138"/>
    <mergeCell ref="G138:H138"/>
    <mergeCell ref="H48:I48"/>
    <mergeCell ref="B49:D49"/>
    <mergeCell ref="B50:D50"/>
    <mergeCell ref="B51:D51"/>
    <mergeCell ref="B52:D52"/>
    <mergeCell ref="B53:D53"/>
    <mergeCell ref="B34:D34"/>
    <mergeCell ref="B35:D35"/>
    <mergeCell ref="B36:D36"/>
    <mergeCell ref="B37:D37"/>
    <mergeCell ref="B38:D38"/>
    <mergeCell ref="B39:D39"/>
    <mergeCell ref="B27:D27"/>
    <mergeCell ref="B28:D28"/>
    <mergeCell ref="B33:D33"/>
    <mergeCell ref="B14:D14"/>
    <mergeCell ref="B15:D15"/>
    <mergeCell ref="B16:D16"/>
    <mergeCell ref="B17:D17"/>
    <mergeCell ref="B22:D22"/>
    <mergeCell ref="B23:D23"/>
    <mergeCell ref="B2:H2"/>
    <mergeCell ref="B3:H3"/>
    <mergeCell ref="I3:N3"/>
    <mergeCell ref="B11:D11"/>
    <mergeCell ref="B12:D12"/>
    <mergeCell ref="B13:D13"/>
    <mergeCell ref="B24:D24"/>
    <mergeCell ref="B25:D25"/>
    <mergeCell ref="B26:D26"/>
  </mergeCells>
  <pageMargins left="0.70866141732283472" right="0.70866141732283472" top="0.15748031496062992" bottom="0.15748031496062992" header="0.31496062992125984" footer="0.11811023622047245"/>
  <pageSetup paperSize="9" scale="47" fitToHeight="0" orientation="landscape" r:id="rId1"/>
  <headerFooter>
    <oddFooter>&amp;C&amp;P (&amp;N)</oddFooter>
  </headerFooter>
  <rowBreaks count="5" manualBreakCount="5">
    <brk id="41" max="16383" man="1"/>
    <brk id="80" max="16383" man="1"/>
    <brk id="121" max="16383" man="1"/>
    <brk id="149" max="16383" man="1"/>
    <brk id="192" max="16383" man="1"/>
  </rowBreaks>
  <drawing r:id="rId2"/>
  <legacyDrawing r:id="rId3"/>
  <oleObjects>
    <mc:AlternateContent xmlns:mc="http://schemas.openxmlformats.org/markup-compatibility/2006">
      <mc:Choice Requires="x14">
        <oleObject link="[1]!'!Январь2012!R1C2:R10C9'" oleUpdate="OLEUPDATE_ALWAYS" shapeId="160769">
          <objectPr defaultSize="0" autoPict="0" dde="1">
            <anchor moveWithCells="1">
              <from>
                <xdr:col>0</xdr:col>
                <xdr:colOff>123825</xdr:colOff>
                <xdr:row>72</xdr:row>
                <xdr:rowOff>123825</xdr:rowOff>
              </from>
              <to>
                <xdr:col>1</xdr:col>
                <xdr:colOff>257175</xdr:colOff>
                <xdr:row>74</xdr:row>
                <xdr:rowOff>0</xdr:rowOff>
              </to>
            </anchor>
          </objectPr>
        </oleObject>
      </mc:Choice>
      <mc:Fallback>
        <oleObject link="[1]!'!Январь2012!R1C2:R10C9'" oleUpdate="OLEUPDATE_ALWAYS" shapeId="160769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</vt:vector>
  </TitlesOfParts>
  <Company>MICEX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Zakharova_ia</dc:creator>
  <cp:lastModifiedBy>Захарова Ирина Алексеевна</cp:lastModifiedBy>
  <cp:lastPrinted>2015-01-14T09:04:21Z</cp:lastPrinted>
  <dcterms:created xsi:type="dcterms:W3CDTF">2007-06-25T14:16:27Z</dcterms:created>
  <dcterms:modified xsi:type="dcterms:W3CDTF">2017-05-16T07:53:30Z</dcterms:modified>
</cp:coreProperties>
</file>