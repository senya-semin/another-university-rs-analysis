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2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always" codeName="ЭтаКнига1" defaultThemeVersion="124226"/>
  <bookViews>
    <workbookView xWindow="-3165" yWindow="435" windowWidth="15480" windowHeight="6195" tabRatio="773" firstSheet="3" activeTab="11"/>
  </bookViews>
  <sheets>
    <sheet name="Январь2013" sheetId="249" r:id="rId1"/>
    <sheet name="Февраль2013" sheetId="250" r:id="rId2"/>
    <sheet name="Март2013 " sheetId="251" r:id="rId3"/>
    <sheet name="Апрель2013" sheetId="252" r:id="rId4"/>
    <sheet name="Май2013" sheetId="253" r:id="rId5"/>
    <sheet name="Июнь2013" sheetId="254" r:id="rId6"/>
    <sheet name="Июль2013" sheetId="255" r:id="rId7"/>
    <sheet name="Август2013" sheetId="256" r:id="rId8"/>
    <sheet name="Сентябрь2013" sheetId="257" r:id="rId9"/>
    <sheet name="Октябрь2013" sheetId="258" r:id="rId10"/>
    <sheet name="Ноябрь2013 " sheetId="259" r:id="rId11"/>
    <sheet name="Декабрь2013" sheetId="260" r:id="rId12"/>
  </sheets>
  <externalReferences>
    <externalReference r:id="rId13"/>
  </externalReferences>
  <calcPr calcId="145621"/>
</workbook>
</file>

<file path=xl/calcChain.xml><?xml version="1.0" encoding="utf-8"?>
<calcChain xmlns="http://schemas.openxmlformats.org/spreadsheetml/2006/main">
  <c r="G37" i="251" l="1"/>
  <c r="G38" i="251"/>
  <c r="G24" i="251"/>
  <c r="F29" i="260" l="1"/>
  <c r="E29" i="260"/>
  <c r="F29" i="259"/>
  <c r="E29" i="259"/>
  <c r="F29" i="258"/>
  <c r="E29" i="258"/>
  <c r="F29" i="257"/>
  <c r="E29" i="257"/>
  <c r="F29" i="256"/>
  <c r="H83" i="260" l="1"/>
  <c r="G83" i="260" s="1"/>
  <c r="F83" i="260" s="1"/>
  <c r="E83" i="260" s="1"/>
  <c r="D83" i="260" s="1"/>
  <c r="C83" i="260" s="1"/>
  <c r="H40" i="260"/>
  <c r="G40" i="260"/>
  <c r="H39" i="260"/>
  <c r="G39" i="260"/>
  <c r="H38" i="260"/>
  <c r="G38" i="260"/>
  <c r="H37" i="260"/>
  <c r="G37" i="260"/>
  <c r="H36" i="260"/>
  <c r="G36" i="260"/>
  <c r="H35" i="260"/>
  <c r="G35" i="260"/>
  <c r="H34" i="260"/>
  <c r="G34" i="260"/>
  <c r="H29" i="260"/>
  <c r="G29" i="260"/>
  <c r="H28" i="260"/>
  <c r="G28" i="260"/>
  <c r="H27" i="260"/>
  <c r="G27" i="260"/>
  <c r="H26" i="260"/>
  <c r="G26" i="260"/>
  <c r="H25" i="260"/>
  <c r="G25" i="260"/>
  <c r="H24" i="260"/>
  <c r="G24" i="260"/>
  <c r="H23" i="260"/>
  <c r="G23" i="260"/>
  <c r="E22" i="260"/>
  <c r="H18" i="260"/>
  <c r="G18" i="260"/>
  <c r="H17" i="260"/>
  <c r="G17" i="260"/>
  <c r="H16" i="260"/>
  <c r="G16" i="260"/>
  <c r="H15" i="260"/>
  <c r="G15" i="260"/>
  <c r="H14" i="260"/>
  <c r="G14" i="260"/>
  <c r="H13" i="260"/>
  <c r="G13" i="260"/>
  <c r="H12" i="260"/>
  <c r="G12" i="260"/>
  <c r="F11" i="260"/>
  <c r="F22" i="260" s="1"/>
  <c r="C6" i="260"/>
  <c r="F135" i="260" s="1"/>
  <c r="E33" i="260" l="1"/>
  <c r="F33" i="260" s="1"/>
  <c r="C6" i="259"/>
  <c r="H83" i="259"/>
  <c r="G83" i="259" s="1"/>
  <c r="F83" i="259" s="1"/>
  <c r="E83" i="259" s="1"/>
  <c r="D83" i="259" s="1"/>
  <c r="C83" i="259" s="1"/>
  <c r="H40" i="259"/>
  <c r="G40" i="259"/>
  <c r="H39" i="259"/>
  <c r="G39" i="259"/>
  <c r="H38" i="259"/>
  <c r="G38" i="259"/>
  <c r="H37" i="259"/>
  <c r="G37" i="259"/>
  <c r="H36" i="259"/>
  <c r="G36" i="259"/>
  <c r="H35" i="259"/>
  <c r="G35" i="259"/>
  <c r="H34" i="259"/>
  <c r="G34" i="259"/>
  <c r="H29" i="259"/>
  <c r="G29" i="259"/>
  <c r="H28" i="259"/>
  <c r="G28" i="259"/>
  <c r="H27" i="259"/>
  <c r="G27" i="259"/>
  <c r="H26" i="259"/>
  <c r="G26" i="259"/>
  <c r="H25" i="259"/>
  <c r="G25" i="259"/>
  <c r="H24" i="259"/>
  <c r="G24" i="259"/>
  <c r="H23" i="259"/>
  <c r="G23" i="259"/>
  <c r="E22" i="259"/>
  <c r="H18" i="259"/>
  <c r="G18" i="259"/>
  <c r="H17" i="259"/>
  <c r="G17" i="259"/>
  <c r="H16" i="259"/>
  <c r="G16" i="259"/>
  <c r="H15" i="259"/>
  <c r="G15" i="259"/>
  <c r="H14" i="259"/>
  <c r="G14" i="259"/>
  <c r="H13" i="259"/>
  <c r="G13" i="259"/>
  <c r="H12" i="259"/>
  <c r="G12" i="259"/>
  <c r="F11" i="259"/>
  <c r="F22" i="259" s="1"/>
  <c r="F135" i="259"/>
  <c r="E33" i="259" l="1"/>
  <c r="F33" i="259" s="1"/>
  <c r="F135" i="258"/>
  <c r="H83" i="258"/>
  <c r="G83" i="258" s="1"/>
  <c r="F83" i="258" s="1"/>
  <c r="E83" i="258" s="1"/>
  <c r="D83" i="258" s="1"/>
  <c r="C83" i="258" s="1"/>
  <c r="H40" i="258"/>
  <c r="G40" i="258"/>
  <c r="H39" i="258"/>
  <c r="G39" i="258"/>
  <c r="H38" i="258"/>
  <c r="G38" i="258"/>
  <c r="H37" i="258"/>
  <c r="G37" i="258"/>
  <c r="H36" i="258"/>
  <c r="G36" i="258"/>
  <c r="H35" i="258"/>
  <c r="G35" i="258"/>
  <c r="H34" i="258"/>
  <c r="G34" i="258"/>
  <c r="H29" i="258"/>
  <c r="G29" i="258"/>
  <c r="H28" i="258"/>
  <c r="G28" i="258"/>
  <c r="H27" i="258"/>
  <c r="G27" i="258"/>
  <c r="H26" i="258"/>
  <c r="G26" i="258"/>
  <c r="H25" i="258"/>
  <c r="G25" i="258"/>
  <c r="H24" i="258"/>
  <c r="G24" i="258"/>
  <c r="H23" i="258"/>
  <c r="G23" i="258"/>
  <c r="E22" i="258"/>
  <c r="H18" i="258"/>
  <c r="G18" i="258"/>
  <c r="H17" i="258"/>
  <c r="G17" i="258"/>
  <c r="H16" i="258"/>
  <c r="G16" i="258"/>
  <c r="H15" i="258"/>
  <c r="G15" i="258"/>
  <c r="H14" i="258"/>
  <c r="G14" i="258"/>
  <c r="H13" i="258"/>
  <c r="G13" i="258"/>
  <c r="H12" i="258"/>
  <c r="G12" i="258"/>
  <c r="F11" i="258"/>
  <c r="F22" i="258" s="1"/>
  <c r="C6" i="258"/>
  <c r="E33" i="258" l="1"/>
  <c r="F33" i="258" s="1"/>
  <c r="H83" i="257"/>
  <c r="G83" i="257" s="1"/>
  <c r="F83" i="257" s="1"/>
  <c r="E83" i="257" s="1"/>
  <c r="D83" i="257" s="1"/>
  <c r="C83" i="257" s="1"/>
  <c r="H40" i="257"/>
  <c r="G40" i="257"/>
  <c r="H39" i="257"/>
  <c r="G39" i="257"/>
  <c r="H38" i="257"/>
  <c r="G38" i="257"/>
  <c r="H37" i="257"/>
  <c r="G37" i="257"/>
  <c r="H36" i="257"/>
  <c r="G36" i="257"/>
  <c r="H35" i="257"/>
  <c r="G35" i="257"/>
  <c r="H34" i="257"/>
  <c r="G34" i="257"/>
  <c r="H29" i="257"/>
  <c r="G29" i="257"/>
  <c r="H28" i="257"/>
  <c r="G28" i="257"/>
  <c r="H27" i="257"/>
  <c r="G27" i="257"/>
  <c r="H26" i="257"/>
  <c r="G26" i="257"/>
  <c r="H25" i="257"/>
  <c r="G25" i="257"/>
  <c r="H24" i="257"/>
  <c r="G24" i="257"/>
  <c r="H23" i="257"/>
  <c r="G23" i="257"/>
  <c r="E22" i="257"/>
  <c r="H18" i="257"/>
  <c r="G18" i="257"/>
  <c r="H17" i="257"/>
  <c r="G17" i="257"/>
  <c r="H16" i="257"/>
  <c r="G16" i="257"/>
  <c r="H15" i="257"/>
  <c r="G15" i="257"/>
  <c r="H14" i="257"/>
  <c r="G14" i="257"/>
  <c r="H13" i="257"/>
  <c r="G13" i="257"/>
  <c r="H12" i="257"/>
  <c r="G12" i="257"/>
  <c r="F11" i="257"/>
  <c r="F22" i="257" s="1"/>
  <c r="C6" i="257"/>
  <c r="F135" i="257" s="1"/>
  <c r="E33" i="257" l="1"/>
  <c r="F33" i="257" s="1"/>
  <c r="F11" i="256"/>
  <c r="H83" i="256"/>
  <c r="G83" i="256" s="1"/>
  <c r="F83" i="256" s="1"/>
  <c r="E83" i="256" s="1"/>
  <c r="D83" i="256" s="1"/>
  <c r="C83" i="256" s="1"/>
  <c r="H40" i="256"/>
  <c r="G40" i="256"/>
  <c r="H39" i="256"/>
  <c r="G39" i="256"/>
  <c r="H38" i="256"/>
  <c r="G38" i="256"/>
  <c r="H37" i="256"/>
  <c r="G37" i="256"/>
  <c r="H36" i="256"/>
  <c r="G36" i="256"/>
  <c r="H35" i="256"/>
  <c r="G35" i="256"/>
  <c r="H34" i="256"/>
  <c r="G34" i="256"/>
  <c r="H29" i="256"/>
  <c r="G29" i="256"/>
  <c r="H28" i="256"/>
  <c r="G28" i="256"/>
  <c r="H27" i="256"/>
  <c r="G27" i="256"/>
  <c r="H26" i="256"/>
  <c r="G26" i="256"/>
  <c r="H25" i="256"/>
  <c r="G25" i="256"/>
  <c r="H24" i="256"/>
  <c r="G24" i="256"/>
  <c r="H23" i="256"/>
  <c r="G23" i="256"/>
  <c r="E22" i="256"/>
  <c r="H18" i="256"/>
  <c r="G18" i="256"/>
  <c r="H17" i="256"/>
  <c r="G17" i="256"/>
  <c r="H16" i="256"/>
  <c r="G16" i="256"/>
  <c r="H15" i="256"/>
  <c r="G15" i="256"/>
  <c r="H14" i="256"/>
  <c r="G14" i="256"/>
  <c r="H13" i="256"/>
  <c r="G13" i="256"/>
  <c r="H12" i="256"/>
  <c r="G12" i="256"/>
  <c r="F22" i="256"/>
  <c r="C6" i="256"/>
  <c r="F135" i="256" s="1"/>
  <c r="E33" i="256" l="1"/>
  <c r="F33" i="256" s="1"/>
  <c r="G13" i="255"/>
  <c r="G14" i="255"/>
  <c r="G15" i="255"/>
  <c r="G16" i="255"/>
  <c r="G17" i="255"/>
  <c r="G18" i="255"/>
  <c r="G12" i="255"/>
  <c r="H83" i="255"/>
  <c r="G83" i="255" s="1"/>
  <c r="F83" i="255" s="1"/>
  <c r="E83" i="255" s="1"/>
  <c r="D83" i="255" s="1"/>
  <c r="C83" i="255" s="1"/>
  <c r="H29" i="255"/>
  <c r="G29" i="255"/>
  <c r="H28" i="255"/>
  <c r="G28" i="255"/>
  <c r="H27" i="255"/>
  <c r="G27" i="255"/>
  <c r="H26" i="255"/>
  <c r="G26" i="255"/>
  <c r="H25" i="255"/>
  <c r="G25" i="255"/>
  <c r="H24" i="255"/>
  <c r="G24" i="255"/>
  <c r="H23" i="255"/>
  <c r="G23" i="255"/>
  <c r="E22" i="255"/>
  <c r="H18" i="255"/>
  <c r="H17" i="255"/>
  <c r="H16" i="255"/>
  <c r="H15" i="255"/>
  <c r="H14" i="255"/>
  <c r="H13" i="255"/>
  <c r="H12" i="255"/>
  <c r="F11" i="255"/>
  <c r="F22" i="255" s="1"/>
  <c r="C6" i="255"/>
  <c r="F135" i="255" s="1"/>
  <c r="H34" i="255" l="1"/>
  <c r="G34" i="255"/>
  <c r="E33" i="255"/>
  <c r="F33" i="255" s="1"/>
  <c r="H12" i="249"/>
  <c r="H12" i="254"/>
  <c r="H36" i="255" l="1"/>
  <c r="G36" i="255"/>
  <c r="H40" i="255"/>
  <c r="G40" i="255"/>
  <c r="H37" i="255"/>
  <c r="G37" i="255"/>
  <c r="H38" i="255"/>
  <c r="G38" i="255"/>
  <c r="H35" i="255"/>
  <c r="G35" i="255"/>
  <c r="H39" i="255"/>
  <c r="G39" i="255"/>
  <c r="H83" i="254"/>
  <c r="G83" i="254" s="1"/>
  <c r="F83" i="254" s="1"/>
  <c r="E83" i="254" s="1"/>
  <c r="D83" i="254" s="1"/>
  <c r="C83" i="254" s="1"/>
  <c r="H40" i="254"/>
  <c r="G40" i="254"/>
  <c r="H39" i="254"/>
  <c r="G39" i="254"/>
  <c r="H38" i="254"/>
  <c r="G38" i="254"/>
  <c r="H37" i="254"/>
  <c r="G37" i="254"/>
  <c r="H36" i="254"/>
  <c r="G36" i="254"/>
  <c r="H35" i="254"/>
  <c r="G35" i="254"/>
  <c r="H34" i="254"/>
  <c r="G34" i="254"/>
  <c r="H29" i="254"/>
  <c r="G29" i="254"/>
  <c r="H28" i="254"/>
  <c r="G28" i="254"/>
  <c r="H27" i="254"/>
  <c r="G27" i="254"/>
  <c r="H26" i="254"/>
  <c r="G26" i="254"/>
  <c r="H25" i="254"/>
  <c r="G25" i="254"/>
  <c r="H24" i="254"/>
  <c r="G24" i="254"/>
  <c r="H23" i="254"/>
  <c r="G23" i="254"/>
  <c r="E22" i="254"/>
  <c r="H18" i="254"/>
  <c r="G18" i="254"/>
  <c r="H17" i="254"/>
  <c r="G17" i="254"/>
  <c r="H16" i="254"/>
  <c r="G16" i="254"/>
  <c r="H15" i="254"/>
  <c r="G15" i="254"/>
  <c r="H14" i="254"/>
  <c r="G14" i="254"/>
  <c r="H13" i="254"/>
  <c r="G13" i="254"/>
  <c r="G12" i="254"/>
  <c r="F11" i="254"/>
  <c r="F22" i="254" s="1"/>
  <c r="C6" i="254"/>
  <c r="F135" i="254" s="1"/>
  <c r="E33" i="254" l="1"/>
  <c r="F33" i="254" s="1"/>
  <c r="F11" i="253"/>
  <c r="H83" i="253"/>
  <c r="G83" i="253" s="1"/>
  <c r="F83" i="253" s="1"/>
  <c r="E83" i="253" s="1"/>
  <c r="D83" i="253" s="1"/>
  <c r="C83" i="253" s="1"/>
  <c r="H40" i="253"/>
  <c r="G40" i="253"/>
  <c r="H39" i="253"/>
  <c r="G39" i="253"/>
  <c r="H38" i="253"/>
  <c r="G38" i="253"/>
  <c r="H37" i="253"/>
  <c r="G37" i="253"/>
  <c r="H36" i="253"/>
  <c r="G36" i="253"/>
  <c r="H35" i="253"/>
  <c r="G35" i="253"/>
  <c r="H34" i="253"/>
  <c r="G34" i="253"/>
  <c r="H29" i="253"/>
  <c r="G29" i="253"/>
  <c r="H28" i="253"/>
  <c r="G28" i="253"/>
  <c r="H27" i="253"/>
  <c r="G27" i="253"/>
  <c r="H26" i="253"/>
  <c r="G26" i="253"/>
  <c r="H25" i="253"/>
  <c r="G25" i="253"/>
  <c r="H24" i="253"/>
  <c r="G24" i="253"/>
  <c r="H23" i="253"/>
  <c r="G23" i="253"/>
  <c r="E22" i="253"/>
  <c r="H18" i="253"/>
  <c r="G18" i="253"/>
  <c r="H17" i="253"/>
  <c r="G17" i="253"/>
  <c r="H16" i="253"/>
  <c r="G16" i="253"/>
  <c r="H15" i="253"/>
  <c r="G15" i="253"/>
  <c r="H14" i="253"/>
  <c r="G14" i="253"/>
  <c r="H13" i="253"/>
  <c r="G13" i="253"/>
  <c r="H12" i="253"/>
  <c r="G12" i="253"/>
  <c r="F22" i="253"/>
  <c r="C6" i="253"/>
  <c r="F135" i="253" s="1"/>
  <c r="E33" i="253" l="1"/>
  <c r="F33" i="253" s="1"/>
  <c r="H35" i="252"/>
  <c r="H36" i="252"/>
  <c r="H37" i="252"/>
  <c r="H38" i="252"/>
  <c r="H39" i="252"/>
  <c r="H40" i="252"/>
  <c r="H34" i="252"/>
  <c r="G35" i="252"/>
  <c r="G36" i="252"/>
  <c r="G37" i="252"/>
  <c r="G38" i="252"/>
  <c r="G39" i="252"/>
  <c r="G40" i="252"/>
  <c r="G34" i="252"/>
  <c r="H24" i="252"/>
  <c r="H25" i="252"/>
  <c r="H26" i="252"/>
  <c r="H27" i="252"/>
  <c r="H28" i="252"/>
  <c r="H29" i="252"/>
  <c r="H23" i="252"/>
  <c r="G24" i="252"/>
  <c r="G25" i="252"/>
  <c r="G26" i="252"/>
  <c r="G27" i="252"/>
  <c r="G28" i="252"/>
  <c r="G29" i="252"/>
  <c r="G23" i="252"/>
  <c r="H13" i="252"/>
  <c r="H14" i="252"/>
  <c r="H15" i="252"/>
  <c r="H16" i="252"/>
  <c r="H17" i="252"/>
  <c r="H18" i="252"/>
  <c r="H12" i="252"/>
  <c r="G13" i="252"/>
  <c r="G14" i="252"/>
  <c r="G15" i="252"/>
  <c r="G16" i="252"/>
  <c r="G17" i="252"/>
  <c r="G18" i="252"/>
  <c r="G12" i="252"/>
  <c r="H83" i="252"/>
  <c r="G83" i="252" s="1"/>
  <c r="F83" i="252" s="1"/>
  <c r="E83" i="252" s="1"/>
  <c r="D83" i="252" s="1"/>
  <c r="C83" i="252" s="1"/>
  <c r="E22" i="252"/>
  <c r="F11" i="252"/>
  <c r="F22" i="252" s="1"/>
  <c r="C6" i="252"/>
  <c r="F135" i="252" s="1"/>
  <c r="E33" i="252" l="1"/>
  <c r="F33" i="252" s="1"/>
  <c r="H35" i="249"/>
  <c r="H36" i="249"/>
  <c r="H37" i="249"/>
  <c r="H38" i="249"/>
  <c r="H39" i="249"/>
  <c r="H40" i="249"/>
  <c r="G35" i="249"/>
  <c r="G36" i="249"/>
  <c r="G37" i="249"/>
  <c r="G38" i="249"/>
  <c r="G39" i="249"/>
  <c r="G40" i="249"/>
  <c r="H13" i="249"/>
  <c r="H14" i="249"/>
  <c r="H15" i="249"/>
  <c r="H16" i="249"/>
  <c r="H17" i="249"/>
  <c r="H18" i="249"/>
  <c r="G13" i="249"/>
  <c r="G14" i="249"/>
  <c r="G15" i="249"/>
  <c r="G16" i="249"/>
  <c r="G17" i="249"/>
  <c r="G18" i="249"/>
  <c r="H24" i="249"/>
  <c r="H25" i="249"/>
  <c r="H26" i="249"/>
  <c r="H27" i="249"/>
  <c r="H28" i="249"/>
  <c r="H29" i="249"/>
  <c r="G24" i="249"/>
  <c r="G25" i="249"/>
  <c r="G26" i="249"/>
  <c r="G27" i="249"/>
  <c r="G28" i="249"/>
  <c r="G29" i="249"/>
  <c r="H35" i="250"/>
  <c r="H36" i="250"/>
  <c r="H37" i="250"/>
  <c r="H38" i="250"/>
  <c r="H39" i="250"/>
  <c r="H40" i="250"/>
  <c r="G35" i="250"/>
  <c r="G36" i="250"/>
  <c r="G37" i="250"/>
  <c r="G38" i="250"/>
  <c r="G39" i="250"/>
  <c r="G40" i="250"/>
  <c r="H13" i="250"/>
  <c r="H14" i="250"/>
  <c r="H15" i="250"/>
  <c r="H16" i="250"/>
  <c r="H17" i="250"/>
  <c r="H18" i="250"/>
  <c r="G13" i="250"/>
  <c r="G14" i="250"/>
  <c r="G15" i="250"/>
  <c r="G16" i="250"/>
  <c r="G17" i="250"/>
  <c r="G18" i="250"/>
  <c r="H24" i="250"/>
  <c r="H25" i="250"/>
  <c r="H26" i="250"/>
  <c r="H27" i="250"/>
  <c r="H28" i="250"/>
  <c r="H29" i="250"/>
  <c r="G29" i="250"/>
  <c r="G28" i="250"/>
  <c r="G27" i="250"/>
  <c r="G26" i="250"/>
  <c r="G25" i="250"/>
  <c r="G24" i="250"/>
  <c r="H35" i="251" l="1"/>
  <c r="H36" i="251"/>
  <c r="H37" i="251"/>
  <c r="H38" i="251"/>
  <c r="H39" i="251"/>
  <c r="H40" i="251"/>
  <c r="H24" i="251"/>
  <c r="H25" i="251"/>
  <c r="H26" i="251"/>
  <c r="H27" i="251"/>
  <c r="H28" i="251"/>
  <c r="H29" i="251"/>
  <c r="G25" i="251"/>
  <c r="G26" i="251"/>
  <c r="G27" i="251"/>
  <c r="G28" i="251"/>
  <c r="G29" i="251"/>
  <c r="H83" i="251"/>
  <c r="G83" i="251" s="1"/>
  <c r="F83" i="251" s="1"/>
  <c r="E83" i="251" s="1"/>
  <c r="D83" i="251" s="1"/>
  <c r="C83" i="251" s="1"/>
  <c r="G40" i="251"/>
  <c r="G39" i="251"/>
  <c r="G36" i="251"/>
  <c r="G35" i="251"/>
  <c r="H34" i="251"/>
  <c r="G34" i="251"/>
  <c r="H23" i="251"/>
  <c r="G23" i="251"/>
  <c r="E22" i="251"/>
  <c r="H18" i="251"/>
  <c r="G18" i="251"/>
  <c r="H17" i="251"/>
  <c r="G17" i="251"/>
  <c r="H16" i="251"/>
  <c r="G16" i="251"/>
  <c r="H15" i="251"/>
  <c r="G15" i="251"/>
  <c r="H14" i="251"/>
  <c r="G14" i="251"/>
  <c r="H13" i="251"/>
  <c r="G13" i="251"/>
  <c r="H12" i="251"/>
  <c r="G12" i="251"/>
  <c r="F11" i="251"/>
  <c r="F22" i="251" s="1"/>
  <c r="C6" i="251"/>
  <c r="F135" i="251" s="1"/>
  <c r="E33" i="251" l="1"/>
  <c r="F33" i="251" s="1"/>
  <c r="H83" i="250"/>
  <c r="G83" i="250" s="1"/>
  <c r="F83" i="250" s="1"/>
  <c r="E83" i="250" s="1"/>
  <c r="D83" i="250" s="1"/>
  <c r="C83" i="250" s="1"/>
  <c r="H34" i="250"/>
  <c r="G34" i="250"/>
  <c r="H23" i="250"/>
  <c r="G23" i="250"/>
  <c r="E22" i="250"/>
  <c r="H12" i="250"/>
  <c r="G12" i="250"/>
  <c r="F11" i="250"/>
  <c r="F22" i="250" s="1"/>
  <c r="C6" i="250"/>
  <c r="F135" i="250" s="1"/>
  <c r="E33" i="250" l="1"/>
  <c r="F33" i="250" s="1"/>
  <c r="H83" i="249"/>
  <c r="G83" i="249" s="1"/>
  <c r="F83" i="249" s="1"/>
  <c r="E83" i="249" s="1"/>
  <c r="D83" i="249" s="1"/>
  <c r="C83" i="249" s="1"/>
  <c r="H34" i="249"/>
  <c r="G34" i="249"/>
  <c r="H23" i="249"/>
  <c r="G23" i="249"/>
  <c r="E22" i="249"/>
  <c r="G12" i="249"/>
  <c r="F11" i="249"/>
  <c r="F22" i="249" s="1"/>
  <c r="C6" i="249" l="1"/>
  <c r="F135" i="249" l="1"/>
  <c r="E33" i="249"/>
  <c r="F33" i="249" s="1"/>
</calcChain>
</file>

<file path=xl/connections.xml><?xml version="1.0" encoding="utf-8"?>
<connections xmlns="http://schemas.openxmlformats.org/spreadsheetml/2006/main">
  <connection id="1" sourceFile="C:\Documents and Settings\malina\Рабочий стол\клиенты\Зарегистрированные2012.xlsx" odcFile="C:\Documents and Settings\malina\Мои документы\Мои источники данных\Зарегистрированные2012 Январь2012$.odc" keepAlive="1" name="Зарегистрированные2012 Январь2012$" type="5" refreshedVersion="0" new="1" background="1">
    <dbPr connection="Provider=Microsoft.ACE.OLEDB.12.0;Password=&quot;&quot;;User ID=Admin;Data Source=C:\Documents and Settings\malina\Рабочий стол\клиенты\Зарегистрированные2012.xlsx;Mode=Share Deny Write;Extended Properties=&quot;HDR=YES;&quot;;Jet OLEDB:System database=&quot;&quot;;Jet OLEDB:Registry Path=&quot;&quot;;Jet OLEDB:Database Password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Январь2012$" commandType="3"/>
  </connection>
  <connection id="2" sourceFile="C:\Documents and Settings\malina\Рабочий стол\клиенты\Зарегистрированные2012.xlsx" odcFile="C:\Documents and Settings\malina\Мои документы\Мои источники данных\Зарегистрированные2012 Январь2012$.odc" keepAlive="1" name="Зарегистрированные2012 Январь2012$1" type="5" refreshedVersion="0" new="1" background="1">
    <dbPr connection="Provider=Microsoft.ACE.OLEDB.12.0;Password=&quot;&quot;;User ID=Admin;Data Source=C:\Documents and Settings\malina\Рабочий стол\клиенты\Зарегистрированные2012.xlsx;Mode=Share Deny Write;Extended Properties=&quot;HDR=YES;&quot;;Jet OLEDB:System database=&quot;&quot;;Jet OLEDB:Registry Path=&quot;&quot;;Jet OLEDB:Database Password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Январь2012$" commandType="3"/>
  </connection>
</connections>
</file>

<file path=xl/sharedStrings.xml><?xml version="1.0" encoding="utf-8"?>
<sst xmlns="http://schemas.openxmlformats.org/spreadsheetml/2006/main" count="1269" uniqueCount="74">
  <si>
    <t>Физические лица</t>
  </si>
  <si>
    <t>Юридические лица</t>
  </si>
  <si>
    <t>Нерезиденты</t>
  </si>
  <si>
    <t>Клиенты, передавшие свои средства в ДУ</t>
  </si>
  <si>
    <t>Всего</t>
  </si>
  <si>
    <t>Абсолютные показатели</t>
  </si>
  <si>
    <t>Количество клиентов</t>
  </si>
  <si>
    <t>Ведущие операторы рынка – число активных клиентов</t>
  </si>
  <si>
    <t>Ведущие операторы рынка – объем клиентских операций</t>
  </si>
  <si>
    <t>Торговый оборот, руб.</t>
  </si>
  <si>
    <t>Изменение (ед.)</t>
  </si>
  <si>
    <t>Изменение (%)</t>
  </si>
  <si>
    <t>Таблица 2</t>
  </si>
  <si>
    <t>Таблица 1</t>
  </si>
  <si>
    <t>Таблица 3</t>
  </si>
  <si>
    <t>Клиенты Участников торгов Фондовой биржи ММВБ</t>
  </si>
  <si>
    <t>Количество активных клиентов в Системе торгов (совершивших в течение месяца хотя бы одну сделку):</t>
  </si>
  <si>
    <t>Изменение количества уникальных клиентов - ретроспективные данные</t>
  </si>
  <si>
    <t>Группы клиентов</t>
  </si>
  <si>
    <t>Количество Участников торгов, имеющих зарегистрированных клиентов</t>
  </si>
  <si>
    <t>Наименование Участника торгов</t>
  </si>
  <si>
    <t>ВТБ 24 (ЗАО)</t>
  </si>
  <si>
    <t>ГК «АЛОР»</t>
  </si>
  <si>
    <t>КИТ Финанс (ООО)</t>
  </si>
  <si>
    <t xml:space="preserve">Динамика количества клиентов за </t>
  </si>
  <si>
    <t xml:space="preserve">Списки ведущих операторов фондового рынка - клиенты Участников торгов за </t>
  </si>
  <si>
    <t>ОАО «Сбербанк России»</t>
  </si>
  <si>
    <t>ЗАО «ФИНАМ»</t>
  </si>
  <si>
    <t>ОАО «АЛЬФА-БАНК»</t>
  </si>
  <si>
    <t>ООО «АТОН»</t>
  </si>
  <si>
    <t>ФК «ОТКРЫТИЕ»</t>
  </si>
  <si>
    <t>ИК «Ренессанс Капитал»</t>
  </si>
  <si>
    <t>ОАО «Промсвязьбанк»</t>
  </si>
  <si>
    <t>ООО «ИК ВЕЛЕС Капитал»</t>
  </si>
  <si>
    <t>ООО «БК РЕГИОН»</t>
  </si>
  <si>
    <t>ООО «Инвестиционная палата»</t>
  </si>
  <si>
    <t>ООО «НЭТТРЭЙДЕР»</t>
  </si>
  <si>
    <t>ЗАО «Сбербанк КИБ»</t>
  </si>
  <si>
    <t>ФГ БКС</t>
  </si>
  <si>
    <t>Количество Участников торгов, имеющих уникальных клиентов</t>
  </si>
  <si>
    <t>Количество Участников торгов, имеющих активных клиентов</t>
  </si>
  <si>
    <t xml:space="preserve">Нерезиденты - физические лица </t>
  </si>
  <si>
    <t xml:space="preserve">Нерезиденты - юридические лица </t>
  </si>
  <si>
    <t>Дополнительные показатели за</t>
  </si>
  <si>
    <t>Участники торгов</t>
  </si>
  <si>
    <t>Ведущие операторы рынка – число зарегистрированных клиентов</t>
  </si>
  <si>
    <t>ООО «РОНИН»</t>
  </si>
  <si>
    <t>ОАО «Брокерский дом «ОТКРЫТИЕ»</t>
  </si>
  <si>
    <t>ОАО "Брокерский дом "ОТКРЫТИЕ"</t>
  </si>
  <si>
    <t>ГПБ (ОАО)</t>
  </si>
  <si>
    <t>ЗАО «БАНК КРЕДИТ СВИСС (МОСКВА)»</t>
  </si>
  <si>
    <t>ЗАО АКБ «ЦентроКредит»</t>
  </si>
  <si>
    <t>Сбербанк</t>
  </si>
  <si>
    <t>«НОМОС-БАНК» (ОАО)</t>
  </si>
  <si>
    <t>ЗАО "ФИНАМ"</t>
  </si>
  <si>
    <t>ОАО "АЛЬФА-БАНК"</t>
  </si>
  <si>
    <t>ООО "АТОН"</t>
  </si>
  <si>
    <t>ГК "АЛОР"</t>
  </si>
  <si>
    <t>ООО "Инвестиционная палата"</t>
  </si>
  <si>
    <t>ООО "НЭТТРЭЙДЕР"</t>
  </si>
  <si>
    <t>ИК "Ренессанс Капитал"</t>
  </si>
  <si>
    <t>"НОМОС-БАНК" (ОАО)</t>
  </si>
  <si>
    <t>ОАО "Промсвязьбанк"</t>
  </si>
  <si>
    <t>ООО "БК РЕГИОН"</t>
  </si>
  <si>
    <t>ОАО Банк "ОТКРЫТИЕ"</t>
  </si>
  <si>
    <t>ООО "РОНИН"</t>
  </si>
  <si>
    <t>ООО "ИК ВЕЛЕС Капитал"</t>
  </si>
  <si>
    <t xml:space="preserve">(по общему количеству уникальных клиентов всех типов, зарегистрированных в системе торгов биржи, в том числе  в течение месяца) </t>
  </si>
  <si>
    <t>(по количеству уникальных клиентов, совершивших хотя бы одну сделку за месяц)</t>
  </si>
  <si>
    <t xml:space="preserve">(по стоимостному объему сделок, заключенных в интересах клиентов за месяц) </t>
  </si>
  <si>
    <t>Количество зарегистрированных клиентов в Системе торгов (по состоянию на последний день месяца):</t>
  </si>
  <si>
    <t>Количество уникальных клиентов в Системе торгов (по состоянию на последний день месяца):</t>
  </si>
  <si>
    <t>Количество уникальных клиентов в Системе торгов (по состоянию на последний день месяца) (ежегодная статистика):</t>
  </si>
  <si>
    <t>Количество уникальных клиентов в Системе торгов (по состоянию на последний день месяца) (за последние 6 месяцев):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</si>
</sst>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* #,##0.00&quot;р.&quot;_-;\-* #,##0.00&quot;р.&quot;_-;_-* &quot;-&quot;??&quot;р.&quot;_-;_-@_-"/>
    <numFmt numFmtId="164" formatCode="_(* #,##0.00_);_(* \(#,##0.00\);_(* &quot;-&quot;??_);_(@_)"/>
    <numFmt numFmtId="165" formatCode="_-* #,##0_р_._-;\-* #,##0_р_._-;_-* &quot;-&quot;??_р_._-;_-@_-"/>
    <numFmt numFmtId="166" formatCode="[$-419]mmmm\ yyyy;@"/>
  </numFmts>
  <fonts count="57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 Cyr"/>
      <charset val="204"/>
    </font>
    <font>
      <sz val="11"/>
      <name val="Century Gothic"/>
      <family val="2"/>
      <charset val="204"/>
    </font>
    <font>
      <sz val="11"/>
      <color indexed="9"/>
      <name val="Century Gothic"/>
      <family val="2"/>
      <charset val="204"/>
    </font>
    <font>
      <b/>
      <sz val="11"/>
      <name val="Century Gothic"/>
      <family val="2"/>
      <charset val="204"/>
    </font>
    <font>
      <b/>
      <i/>
      <sz val="12"/>
      <name val="Century Gothic"/>
      <family val="2"/>
      <charset val="204"/>
    </font>
    <font>
      <sz val="10"/>
      <name val="Century Gothic"/>
      <family val="2"/>
      <charset val="204"/>
    </font>
    <font>
      <b/>
      <i/>
      <sz val="10"/>
      <name val="Century Gothic"/>
      <family val="2"/>
      <charset val="204"/>
    </font>
    <font>
      <b/>
      <sz val="10"/>
      <name val="Century Gothic"/>
      <family val="2"/>
      <charset val="204"/>
    </font>
    <font>
      <b/>
      <sz val="12"/>
      <name val="Century Gothic"/>
      <family val="2"/>
      <charset val="204"/>
    </font>
    <font>
      <sz val="12"/>
      <name val="Century Gothic"/>
      <family val="2"/>
      <charset val="204"/>
    </font>
    <font>
      <sz val="12"/>
      <color indexed="9"/>
      <name val="Century Gothic"/>
      <family val="2"/>
      <charset val="204"/>
    </font>
    <font>
      <b/>
      <i/>
      <sz val="16"/>
      <name val="Century Gothic"/>
      <family val="2"/>
      <charset val="204"/>
    </font>
    <font>
      <sz val="8"/>
      <color indexed="8"/>
      <name val="Arial Unicode MS"/>
      <family val="2"/>
      <charset val="204"/>
    </font>
    <font>
      <sz val="10"/>
      <color indexed="8"/>
      <name val="Arial"/>
      <family val="2"/>
      <charset val="204"/>
    </font>
    <font>
      <sz val="10"/>
      <color indexed="8"/>
      <name val="MS Sans Serif"/>
      <family val="2"/>
      <charset val="204"/>
    </font>
    <font>
      <sz val="8"/>
      <color indexed="8"/>
      <name val="Arial Unicode MS"/>
      <family val="2"/>
      <charset val="204"/>
    </font>
    <font>
      <b/>
      <i/>
      <sz val="8"/>
      <name val="Century Gothic"/>
      <family val="2"/>
      <charset val="204"/>
    </font>
    <font>
      <sz val="8"/>
      <name val="Century Gothic"/>
      <family val="2"/>
      <charset val="204"/>
    </font>
    <font>
      <b/>
      <sz val="8"/>
      <name val="Century Gothic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sz val="11"/>
      <color rgb="FF9C65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2"/>
      <name val="Arial Cyr"/>
      <charset val="204"/>
    </font>
    <font>
      <sz val="10"/>
      <name val="Arial"/>
      <family val="2"/>
      <charset val="204"/>
    </font>
    <font>
      <sz val="10"/>
      <name val="Dialog"/>
    </font>
    <font>
      <sz val="11"/>
      <color indexed="8"/>
      <name val="Calibri"/>
      <family val="2"/>
      <scheme val="minor"/>
    </font>
    <font>
      <b/>
      <i/>
      <sz val="8"/>
      <name val="Tahoma"/>
      <family val="2"/>
      <charset val="204"/>
    </font>
  </fonts>
  <fills count="41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C6EFCE"/>
      </patternFill>
    </fill>
  </fills>
  <borders count="3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76">
    <xf numFmtId="0" fontId="0" fillId="0" borderId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6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19" borderId="0" applyNumberFormat="0" applyBorder="0" applyAlignment="0" applyProtection="0"/>
    <xf numFmtId="0" fontId="35" fillId="20" borderId="0" applyNumberFormat="0" applyBorder="0" applyAlignment="0" applyProtection="0"/>
    <xf numFmtId="0" fontId="35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24" borderId="0" applyNumberFormat="0" applyBorder="0" applyAlignment="0" applyProtection="0"/>
    <xf numFmtId="0" fontId="36" fillId="25" borderId="0" applyNumberFormat="0" applyBorder="0" applyAlignment="0" applyProtection="0"/>
    <xf numFmtId="0" fontId="36" fillId="26" borderId="0" applyNumberFormat="0" applyBorder="0" applyAlignment="0" applyProtection="0"/>
    <xf numFmtId="0" fontId="36" fillId="27" borderId="0" applyNumberFormat="0" applyBorder="0" applyAlignment="0" applyProtection="0"/>
    <xf numFmtId="0" fontId="36" fillId="28" borderId="0" applyNumberFormat="0" applyBorder="0" applyAlignment="0" applyProtection="0"/>
    <xf numFmtId="0" fontId="36" fillId="29" borderId="0" applyNumberFormat="0" applyBorder="0" applyAlignment="0" applyProtection="0"/>
    <xf numFmtId="0" fontId="36" fillId="30" borderId="0" applyNumberFormat="0" applyBorder="0" applyAlignment="0" applyProtection="0"/>
    <xf numFmtId="0" fontId="36" fillId="31" borderId="0" applyNumberFormat="0" applyBorder="0" applyAlignment="0" applyProtection="0"/>
    <xf numFmtId="0" fontId="36" fillId="32" borderId="0" applyNumberFormat="0" applyBorder="0" applyAlignment="0" applyProtection="0"/>
    <xf numFmtId="0" fontId="36" fillId="33" borderId="0" applyNumberFormat="0" applyBorder="0" applyAlignment="0" applyProtection="0"/>
    <xf numFmtId="0" fontId="37" fillId="34" borderId="23" applyNumberFormat="0" applyAlignment="0" applyProtection="0"/>
    <xf numFmtId="0" fontId="38" fillId="35" borderId="24" applyNumberFormat="0" applyAlignment="0" applyProtection="0"/>
    <xf numFmtId="0" fontId="39" fillId="35" borderId="23" applyNumberFormat="0" applyAlignment="0" applyProtection="0"/>
    <xf numFmtId="0" fontId="40" fillId="0" borderId="25" applyNumberFormat="0" applyFill="0" applyAlignment="0" applyProtection="0"/>
    <xf numFmtId="0" fontId="41" fillId="0" borderId="26" applyNumberFormat="0" applyFill="0" applyAlignment="0" applyProtection="0"/>
    <xf numFmtId="0" fontId="42" fillId="0" borderId="27" applyNumberFormat="0" applyFill="0" applyAlignment="0" applyProtection="0"/>
    <xf numFmtId="0" fontId="42" fillId="0" borderId="0" applyNumberFormat="0" applyFill="0" applyBorder="0" applyAlignment="0" applyProtection="0"/>
    <xf numFmtId="0" fontId="43" fillId="0" borderId="28" applyNumberFormat="0" applyFill="0" applyAlignment="0" applyProtection="0"/>
    <xf numFmtId="0" fontId="44" fillId="36" borderId="29" applyNumberFormat="0" applyAlignment="0" applyProtection="0"/>
    <xf numFmtId="0" fontId="45" fillId="0" borderId="0" applyNumberFormat="0" applyFill="0" applyBorder="0" applyAlignment="0" applyProtection="0"/>
    <xf numFmtId="0" fontId="46" fillId="37" borderId="0" applyNumberFormat="0" applyBorder="0" applyAlignment="0" applyProtection="0"/>
    <xf numFmtId="0" fontId="35" fillId="0" borderId="0"/>
    <xf numFmtId="0" fontId="29" fillId="0" borderId="0"/>
    <xf numFmtId="0" fontId="29" fillId="0" borderId="0"/>
    <xf numFmtId="0" fontId="29" fillId="0" borderId="0"/>
    <xf numFmtId="0" fontId="30" fillId="0" borderId="0"/>
    <xf numFmtId="0" fontId="16" fillId="0" borderId="0"/>
    <xf numFmtId="0" fontId="47" fillId="38" borderId="0" applyNumberFormat="0" applyBorder="0" applyAlignment="0" applyProtection="0"/>
    <xf numFmtId="0" fontId="48" fillId="0" borderId="0" applyNumberFormat="0" applyFill="0" applyBorder="0" applyAlignment="0" applyProtection="0"/>
    <xf numFmtId="0" fontId="35" fillId="39" borderId="30" applyNumberFormat="0" applyFont="0" applyAlignment="0" applyProtection="0"/>
    <xf numFmtId="9" fontId="15" fillId="0" borderId="0" applyFont="0" applyFill="0" applyBorder="0" applyAlignment="0" applyProtection="0"/>
    <xf numFmtId="0" fontId="49" fillId="0" borderId="31" applyNumberFormat="0" applyFill="0" applyAlignment="0" applyProtection="0"/>
    <xf numFmtId="0" fontId="50" fillId="0" borderId="0" applyNumberFormat="0" applyFill="0" applyBorder="0" applyAlignment="0" applyProtection="0"/>
    <xf numFmtId="164" fontId="15" fillId="0" borderId="0" applyFont="0" applyFill="0" applyBorder="0" applyAlignment="0" applyProtection="0"/>
    <xf numFmtId="0" fontId="51" fillId="40" borderId="0" applyNumberFormat="0" applyBorder="0" applyAlignment="0" applyProtection="0"/>
    <xf numFmtId="0" fontId="14" fillId="0" borderId="0"/>
    <xf numFmtId="0" fontId="14" fillId="39" borderId="30" applyNumberFormat="0" applyFont="0" applyAlignment="0" applyProtection="0"/>
    <xf numFmtId="0" fontId="14" fillId="10" borderId="0" applyNumberFormat="0" applyBorder="0" applyAlignment="0" applyProtection="0"/>
    <xf numFmtId="0" fontId="14" fillId="16" borderId="0" applyNumberFormat="0" applyBorder="0" applyAlignment="0" applyProtection="0"/>
    <xf numFmtId="0" fontId="14" fillId="11" borderId="0" applyNumberFormat="0" applyBorder="0" applyAlignment="0" applyProtection="0"/>
    <xf numFmtId="0" fontId="14" fillId="17" borderId="0" applyNumberFormat="0" applyBorder="0" applyAlignment="0" applyProtection="0"/>
    <xf numFmtId="0" fontId="14" fillId="12" borderId="0" applyNumberFormat="0" applyBorder="0" applyAlignment="0" applyProtection="0"/>
    <xf numFmtId="0" fontId="14" fillId="18" borderId="0" applyNumberFormat="0" applyBorder="0" applyAlignment="0" applyProtection="0"/>
    <xf numFmtId="0" fontId="14" fillId="13" borderId="0" applyNumberFormat="0" applyBorder="0" applyAlignment="0" applyProtection="0"/>
    <xf numFmtId="0" fontId="14" fillId="19" borderId="0" applyNumberFormat="0" applyBorder="0" applyAlignment="0" applyProtection="0"/>
    <xf numFmtId="0" fontId="14" fillId="14" borderId="0" applyNumberFormat="0" applyBorder="0" applyAlignment="0" applyProtection="0"/>
    <xf numFmtId="0" fontId="14" fillId="20" borderId="0" applyNumberFormat="0" applyBorder="0" applyAlignment="0" applyProtection="0"/>
    <xf numFmtId="0" fontId="14" fillId="15" borderId="0" applyNumberFormat="0" applyBorder="0" applyAlignment="0" applyProtection="0"/>
    <xf numFmtId="0" fontId="14" fillId="21" borderId="0" applyNumberFormat="0" applyBorder="0" applyAlignment="0" applyProtection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9" fillId="39" borderId="30" applyNumberFormat="0" applyFont="0" applyAlignment="0" applyProtection="0"/>
    <xf numFmtId="0" fontId="9" fillId="10" borderId="0" applyNumberFormat="0" applyBorder="0" applyAlignment="0" applyProtection="0"/>
    <xf numFmtId="0" fontId="9" fillId="16" borderId="0" applyNumberFormat="0" applyBorder="0" applyAlignment="0" applyProtection="0"/>
    <xf numFmtId="0" fontId="9" fillId="11" borderId="0" applyNumberFormat="0" applyBorder="0" applyAlignment="0" applyProtection="0"/>
    <xf numFmtId="0" fontId="9" fillId="17" borderId="0" applyNumberFormat="0" applyBorder="0" applyAlignment="0" applyProtection="0"/>
    <xf numFmtId="0" fontId="9" fillId="12" borderId="0" applyNumberFormat="0" applyBorder="0" applyAlignment="0" applyProtection="0"/>
    <xf numFmtId="0" fontId="9" fillId="18" borderId="0" applyNumberFormat="0" applyBorder="0" applyAlignment="0" applyProtection="0"/>
    <xf numFmtId="0" fontId="9" fillId="13" borderId="0" applyNumberFormat="0" applyBorder="0" applyAlignment="0" applyProtection="0"/>
    <xf numFmtId="0" fontId="9" fillId="19" borderId="0" applyNumberFormat="0" applyBorder="0" applyAlignment="0" applyProtection="0"/>
    <xf numFmtId="0" fontId="9" fillId="14" borderId="0" applyNumberFormat="0" applyBorder="0" applyAlignment="0" applyProtection="0"/>
    <xf numFmtId="0" fontId="9" fillId="20" borderId="0" applyNumberFormat="0" applyBorder="0" applyAlignment="0" applyProtection="0"/>
    <xf numFmtId="0" fontId="9" fillId="15" borderId="0" applyNumberFormat="0" applyBorder="0" applyAlignment="0" applyProtection="0"/>
    <xf numFmtId="0" fontId="9" fillId="21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0" borderId="0"/>
    <xf numFmtId="0" fontId="8" fillId="39" borderId="30" applyNumberFormat="0" applyFont="0" applyAlignment="0" applyProtection="0"/>
    <xf numFmtId="0" fontId="8" fillId="0" borderId="0"/>
    <xf numFmtId="0" fontId="8" fillId="39" borderId="30" applyNumberFormat="0" applyFont="0" applyAlignment="0" applyProtection="0"/>
    <xf numFmtId="0" fontId="8" fillId="10" borderId="0" applyNumberFormat="0" applyBorder="0" applyAlignment="0" applyProtection="0"/>
    <xf numFmtId="0" fontId="8" fillId="16" borderId="0" applyNumberFormat="0" applyBorder="0" applyAlignment="0" applyProtection="0"/>
    <xf numFmtId="0" fontId="8" fillId="11" borderId="0" applyNumberFormat="0" applyBorder="0" applyAlignment="0" applyProtection="0"/>
    <xf numFmtId="0" fontId="8" fillId="17" borderId="0" applyNumberFormat="0" applyBorder="0" applyAlignment="0" applyProtection="0"/>
    <xf numFmtId="0" fontId="8" fillId="12" borderId="0" applyNumberFormat="0" applyBorder="0" applyAlignment="0" applyProtection="0"/>
    <xf numFmtId="0" fontId="8" fillId="18" borderId="0" applyNumberFormat="0" applyBorder="0" applyAlignment="0" applyProtection="0"/>
    <xf numFmtId="0" fontId="8" fillId="13" borderId="0" applyNumberFormat="0" applyBorder="0" applyAlignment="0" applyProtection="0"/>
    <xf numFmtId="0" fontId="8" fillId="19" borderId="0" applyNumberFormat="0" applyBorder="0" applyAlignment="0" applyProtection="0"/>
    <xf numFmtId="0" fontId="8" fillId="14" borderId="0" applyNumberFormat="0" applyBorder="0" applyAlignment="0" applyProtection="0"/>
    <xf numFmtId="0" fontId="8" fillId="20" borderId="0" applyNumberFormat="0" applyBorder="0" applyAlignment="0" applyProtection="0"/>
    <xf numFmtId="0" fontId="8" fillId="15" borderId="0" applyNumberFormat="0" applyBorder="0" applyAlignment="0" applyProtection="0"/>
    <xf numFmtId="0" fontId="8" fillId="21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39" borderId="30" applyNumberFormat="0" applyFont="0" applyAlignment="0" applyProtection="0"/>
    <xf numFmtId="0" fontId="8" fillId="10" borderId="0" applyNumberFormat="0" applyBorder="0" applyAlignment="0" applyProtection="0"/>
    <xf numFmtId="0" fontId="8" fillId="16" borderId="0" applyNumberFormat="0" applyBorder="0" applyAlignment="0" applyProtection="0"/>
    <xf numFmtId="0" fontId="8" fillId="11" borderId="0" applyNumberFormat="0" applyBorder="0" applyAlignment="0" applyProtection="0"/>
    <xf numFmtId="0" fontId="8" fillId="17" borderId="0" applyNumberFormat="0" applyBorder="0" applyAlignment="0" applyProtection="0"/>
    <xf numFmtId="0" fontId="8" fillId="12" borderId="0" applyNumberFormat="0" applyBorder="0" applyAlignment="0" applyProtection="0"/>
    <xf numFmtId="0" fontId="8" fillId="18" borderId="0" applyNumberFormat="0" applyBorder="0" applyAlignment="0" applyProtection="0"/>
    <xf numFmtId="0" fontId="8" fillId="13" borderId="0" applyNumberFormat="0" applyBorder="0" applyAlignment="0" applyProtection="0"/>
    <xf numFmtId="0" fontId="8" fillId="19" borderId="0" applyNumberFormat="0" applyBorder="0" applyAlignment="0" applyProtection="0"/>
    <xf numFmtId="0" fontId="8" fillId="14" borderId="0" applyNumberFormat="0" applyBorder="0" applyAlignment="0" applyProtection="0"/>
    <xf numFmtId="0" fontId="8" fillId="20" borderId="0" applyNumberFormat="0" applyBorder="0" applyAlignment="0" applyProtection="0"/>
    <xf numFmtId="0" fontId="8" fillId="15" borderId="0" applyNumberFormat="0" applyBorder="0" applyAlignment="0" applyProtection="0"/>
    <xf numFmtId="0" fontId="8" fillId="2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0" borderId="0"/>
    <xf numFmtId="0" fontId="7" fillId="39" borderId="30" applyNumberFormat="0" applyFont="0" applyAlignment="0" applyProtection="0"/>
    <xf numFmtId="0" fontId="7" fillId="0" borderId="0"/>
    <xf numFmtId="0" fontId="7" fillId="39" borderId="30" applyNumberFormat="0" applyFont="0" applyAlignment="0" applyProtection="0"/>
    <xf numFmtId="0" fontId="7" fillId="10" borderId="0" applyNumberFormat="0" applyBorder="0" applyAlignment="0" applyProtection="0"/>
    <xf numFmtId="0" fontId="7" fillId="16" borderId="0" applyNumberFormat="0" applyBorder="0" applyAlignment="0" applyProtection="0"/>
    <xf numFmtId="0" fontId="7" fillId="11" borderId="0" applyNumberFormat="0" applyBorder="0" applyAlignment="0" applyProtection="0"/>
    <xf numFmtId="0" fontId="7" fillId="17" borderId="0" applyNumberFormat="0" applyBorder="0" applyAlignment="0" applyProtection="0"/>
    <xf numFmtId="0" fontId="7" fillId="12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9" borderId="0" applyNumberFormat="0" applyBorder="0" applyAlignment="0" applyProtection="0"/>
    <xf numFmtId="0" fontId="7" fillId="14" borderId="0" applyNumberFormat="0" applyBorder="0" applyAlignment="0" applyProtection="0"/>
    <xf numFmtId="0" fontId="7" fillId="20" borderId="0" applyNumberFormat="0" applyBorder="0" applyAlignment="0" applyProtection="0"/>
    <xf numFmtId="0" fontId="7" fillId="15" borderId="0" applyNumberFormat="0" applyBorder="0" applyAlignment="0" applyProtection="0"/>
    <xf numFmtId="0" fontId="7" fillId="21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9" borderId="30" applyNumberFormat="0" applyFont="0" applyAlignment="0" applyProtection="0"/>
    <xf numFmtId="0" fontId="7" fillId="10" borderId="0" applyNumberFormat="0" applyBorder="0" applyAlignment="0" applyProtection="0"/>
    <xf numFmtId="0" fontId="7" fillId="16" borderId="0" applyNumberFormat="0" applyBorder="0" applyAlignment="0" applyProtection="0"/>
    <xf numFmtId="0" fontId="7" fillId="11" borderId="0" applyNumberFormat="0" applyBorder="0" applyAlignment="0" applyProtection="0"/>
    <xf numFmtId="0" fontId="7" fillId="17" borderId="0" applyNumberFormat="0" applyBorder="0" applyAlignment="0" applyProtection="0"/>
    <xf numFmtId="0" fontId="7" fillId="12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9" borderId="0" applyNumberFormat="0" applyBorder="0" applyAlignment="0" applyProtection="0"/>
    <xf numFmtId="0" fontId="7" fillId="14" borderId="0" applyNumberFormat="0" applyBorder="0" applyAlignment="0" applyProtection="0"/>
    <xf numFmtId="0" fontId="7" fillId="20" borderId="0" applyNumberFormat="0" applyBorder="0" applyAlignment="0" applyProtection="0"/>
    <xf numFmtId="0" fontId="7" fillId="15" borderId="0" applyNumberFormat="0" applyBorder="0" applyAlignment="0" applyProtection="0"/>
    <xf numFmtId="0" fontId="7" fillId="2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0" borderId="0"/>
    <xf numFmtId="0" fontId="7" fillId="39" borderId="30" applyNumberFormat="0" applyFont="0" applyAlignment="0" applyProtection="0"/>
    <xf numFmtId="0" fontId="7" fillId="0" borderId="0"/>
    <xf numFmtId="0" fontId="7" fillId="39" borderId="30" applyNumberFormat="0" applyFont="0" applyAlignment="0" applyProtection="0"/>
    <xf numFmtId="0" fontId="7" fillId="10" borderId="0" applyNumberFormat="0" applyBorder="0" applyAlignment="0" applyProtection="0"/>
    <xf numFmtId="0" fontId="7" fillId="16" borderId="0" applyNumberFormat="0" applyBorder="0" applyAlignment="0" applyProtection="0"/>
    <xf numFmtId="0" fontId="7" fillId="11" borderId="0" applyNumberFormat="0" applyBorder="0" applyAlignment="0" applyProtection="0"/>
    <xf numFmtId="0" fontId="7" fillId="17" borderId="0" applyNumberFormat="0" applyBorder="0" applyAlignment="0" applyProtection="0"/>
    <xf numFmtId="0" fontId="7" fillId="12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9" borderId="0" applyNumberFormat="0" applyBorder="0" applyAlignment="0" applyProtection="0"/>
    <xf numFmtId="0" fontId="7" fillId="14" borderId="0" applyNumberFormat="0" applyBorder="0" applyAlignment="0" applyProtection="0"/>
    <xf numFmtId="0" fontId="7" fillId="20" borderId="0" applyNumberFormat="0" applyBorder="0" applyAlignment="0" applyProtection="0"/>
    <xf numFmtId="0" fontId="7" fillId="15" borderId="0" applyNumberFormat="0" applyBorder="0" applyAlignment="0" applyProtection="0"/>
    <xf numFmtId="0" fontId="7" fillId="21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9" borderId="30" applyNumberFormat="0" applyFont="0" applyAlignment="0" applyProtection="0"/>
    <xf numFmtId="0" fontId="7" fillId="10" borderId="0" applyNumberFormat="0" applyBorder="0" applyAlignment="0" applyProtection="0"/>
    <xf numFmtId="0" fontId="7" fillId="16" borderId="0" applyNumberFormat="0" applyBorder="0" applyAlignment="0" applyProtection="0"/>
    <xf numFmtId="0" fontId="7" fillId="11" borderId="0" applyNumberFormat="0" applyBorder="0" applyAlignment="0" applyProtection="0"/>
    <xf numFmtId="0" fontId="7" fillId="17" borderId="0" applyNumberFormat="0" applyBorder="0" applyAlignment="0" applyProtection="0"/>
    <xf numFmtId="0" fontId="7" fillId="12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9" borderId="0" applyNumberFormat="0" applyBorder="0" applyAlignment="0" applyProtection="0"/>
    <xf numFmtId="0" fontId="7" fillId="14" borderId="0" applyNumberFormat="0" applyBorder="0" applyAlignment="0" applyProtection="0"/>
    <xf numFmtId="0" fontId="7" fillId="20" borderId="0" applyNumberFormat="0" applyBorder="0" applyAlignment="0" applyProtection="0"/>
    <xf numFmtId="0" fontId="7" fillId="15" borderId="0" applyNumberFormat="0" applyBorder="0" applyAlignment="0" applyProtection="0"/>
    <xf numFmtId="0" fontId="7" fillId="21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0" borderId="0"/>
    <xf numFmtId="0" fontId="6" fillId="39" borderId="30" applyNumberFormat="0" applyFont="0" applyAlignment="0" applyProtection="0"/>
    <xf numFmtId="0" fontId="6" fillId="0" borderId="0"/>
    <xf numFmtId="0" fontId="6" fillId="39" borderId="30" applyNumberFormat="0" applyFont="0" applyAlignment="0" applyProtection="0"/>
    <xf numFmtId="0" fontId="6" fillId="10" borderId="0" applyNumberFormat="0" applyBorder="0" applyAlignment="0" applyProtection="0"/>
    <xf numFmtId="0" fontId="6" fillId="16" borderId="0" applyNumberFormat="0" applyBorder="0" applyAlignment="0" applyProtection="0"/>
    <xf numFmtId="0" fontId="6" fillId="11" borderId="0" applyNumberFormat="0" applyBorder="0" applyAlignment="0" applyProtection="0"/>
    <xf numFmtId="0" fontId="6" fillId="17" borderId="0" applyNumberFormat="0" applyBorder="0" applyAlignment="0" applyProtection="0"/>
    <xf numFmtId="0" fontId="6" fillId="12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4" borderId="0" applyNumberFormat="0" applyBorder="0" applyAlignment="0" applyProtection="0"/>
    <xf numFmtId="0" fontId="6" fillId="20" borderId="0" applyNumberFormat="0" applyBorder="0" applyAlignment="0" applyProtection="0"/>
    <xf numFmtId="0" fontId="6" fillId="15" borderId="0" applyNumberFormat="0" applyBorder="0" applyAlignment="0" applyProtection="0"/>
    <xf numFmtId="0" fontId="6" fillId="21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39" borderId="30" applyNumberFormat="0" applyFont="0" applyAlignment="0" applyProtection="0"/>
    <xf numFmtId="0" fontId="6" fillId="10" borderId="0" applyNumberFormat="0" applyBorder="0" applyAlignment="0" applyProtection="0"/>
    <xf numFmtId="0" fontId="6" fillId="16" borderId="0" applyNumberFormat="0" applyBorder="0" applyAlignment="0" applyProtection="0"/>
    <xf numFmtId="0" fontId="6" fillId="11" borderId="0" applyNumberFormat="0" applyBorder="0" applyAlignment="0" applyProtection="0"/>
    <xf numFmtId="0" fontId="6" fillId="17" borderId="0" applyNumberFormat="0" applyBorder="0" applyAlignment="0" applyProtection="0"/>
    <xf numFmtId="0" fontId="6" fillId="12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4" borderId="0" applyNumberFormat="0" applyBorder="0" applyAlignment="0" applyProtection="0"/>
    <xf numFmtId="0" fontId="6" fillId="20" borderId="0" applyNumberFormat="0" applyBorder="0" applyAlignment="0" applyProtection="0"/>
    <xf numFmtId="0" fontId="6" fillId="15" borderId="0" applyNumberFormat="0" applyBorder="0" applyAlignment="0" applyProtection="0"/>
    <xf numFmtId="0" fontId="6" fillId="21" borderId="0" applyNumberFormat="0" applyBorder="0" applyAlignment="0" applyProtection="0"/>
    <xf numFmtId="0" fontId="6" fillId="0" borderId="0"/>
    <xf numFmtId="0" fontId="6" fillId="39" borderId="30" applyNumberFormat="0" applyFont="0" applyAlignment="0" applyProtection="0"/>
    <xf numFmtId="0" fontId="6" fillId="10" borderId="0" applyNumberFormat="0" applyBorder="0" applyAlignment="0" applyProtection="0"/>
    <xf numFmtId="0" fontId="6" fillId="16" borderId="0" applyNumberFormat="0" applyBorder="0" applyAlignment="0" applyProtection="0"/>
    <xf numFmtId="0" fontId="6" fillId="11" borderId="0" applyNumberFormat="0" applyBorder="0" applyAlignment="0" applyProtection="0"/>
    <xf numFmtId="0" fontId="6" fillId="17" borderId="0" applyNumberFormat="0" applyBorder="0" applyAlignment="0" applyProtection="0"/>
    <xf numFmtId="0" fontId="6" fillId="12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4" borderId="0" applyNumberFormat="0" applyBorder="0" applyAlignment="0" applyProtection="0"/>
    <xf numFmtId="0" fontId="6" fillId="20" borderId="0" applyNumberFormat="0" applyBorder="0" applyAlignment="0" applyProtection="0"/>
    <xf numFmtId="0" fontId="6" fillId="15" borderId="0" applyNumberFormat="0" applyBorder="0" applyAlignment="0" applyProtection="0"/>
    <xf numFmtId="0" fontId="6" fillId="21" borderId="0" applyNumberFormat="0" applyBorder="0" applyAlignment="0" applyProtection="0"/>
    <xf numFmtId="0" fontId="5" fillId="0" borderId="0"/>
    <xf numFmtId="0" fontId="5" fillId="39" borderId="30" applyNumberFormat="0" applyFont="0" applyAlignment="0" applyProtection="0"/>
    <xf numFmtId="0" fontId="5" fillId="10" borderId="0" applyNumberFormat="0" applyBorder="0" applyAlignment="0" applyProtection="0"/>
    <xf numFmtId="0" fontId="5" fillId="16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2" borderId="0" applyNumberFormat="0" applyBorder="0" applyAlignment="0" applyProtection="0"/>
    <xf numFmtId="0" fontId="5" fillId="18" borderId="0" applyNumberFormat="0" applyBorder="0" applyAlignment="0" applyProtection="0"/>
    <xf numFmtId="0" fontId="5" fillId="13" borderId="0" applyNumberFormat="0" applyBorder="0" applyAlignment="0" applyProtection="0"/>
    <xf numFmtId="0" fontId="5" fillId="19" borderId="0" applyNumberFormat="0" applyBorder="0" applyAlignment="0" applyProtection="0"/>
    <xf numFmtId="0" fontId="5" fillId="14" borderId="0" applyNumberFormat="0" applyBorder="0" applyAlignment="0" applyProtection="0"/>
    <xf numFmtId="0" fontId="5" fillId="20" borderId="0" applyNumberFormat="0" applyBorder="0" applyAlignment="0" applyProtection="0"/>
    <xf numFmtId="0" fontId="5" fillId="15" borderId="0" applyNumberFormat="0" applyBorder="0" applyAlignment="0" applyProtection="0"/>
    <xf numFmtId="0" fontId="5" fillId="21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30" applyNumberFormat="0" applyFont="0" applyAlignment="0" applyProtection="0"/>
    <xf numFmtId="0" fontId="4" fillId="0" borderId="0"/>
    <xf numFmtId="0" fontId="4" fillId="39" borderId="30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30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30" applyNumberFormat="0" applyFont="0" applyAlignment="0" applyProtection="0"/>
    <xf numFmtId="0" fontId="4" fillId="0" borderId="0"/>
    <xf numFmtId="0" fontId="4" fillId="39" borderId="30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30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30" applyNumberFormat="0" applyFont="0" applyAlignment="0" applyProtection="0"/>
    <xf numFmtId="0" fontId="4" fillId="0" borderId="0"/>
    <xf numFmtId="0" fontId="4" fillId="39" borderId="30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30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30" applyNumberFormat="0" applyFont="0" applyAlignment="0" applyProtection="0"/>
    <xf numFmtId="0" fontId="4" fillId="0" borderId="0"/>
    <xf numFmtId="0" fontId="4" fillId="39" borderId="30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30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30" applyNumberFormat="0" applyFont="0" applyAlignment="0" applyProtection="0"/>
    <xf numFmtId="0" fontId="4" fillId="0" borderId="0"/>
    <xf numFmtId="0" fontId="4" fillId="39" borderId="30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30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30" applyNumberFormat="0" applyFont="0" applyAlignment="0" applyProtection="0"/>
    <xf numFmtId="0" fontId="4" fillId="0" borderId="0"/>
    <xf numFmtId="0" fontId="4" fillId="39" borderId="30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30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30" applyNumberFormat="0" applyFont="0" applyAlignment="0" applyProtection="0"/>
    <xf numFmtId="0" fontId="4" fillId="0" borderId="0"/>
    <xf numFmtId="0" fontId="4" fillId="39" borderId="30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30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30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30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3" fillId="0" borderId="0"/>
    <xf numFmtId="0" fontId="3" fillId="39" borderId="30" applyNumberFormat="0" applyFont="0" applyAlignment="0" applyProtection="0"/>
    <xf numFmtId="0" fontId="3" fillId="10" borderId="0" applyNumberFormat="0" applyBorder="0" applyAlignment="0" applyProtection="0"/>
    <xf numFmtId="0" fontId="3" fillId="16" borderId="0" applyNumberFormat="0" applyBorder="0" applyAlignment="0" applyProtection="0"/>
    <xf numFmtId="0" fontId="3" fillId="11" borderId="0" applyNumberFormat="0" applyBorder="0" applyAlignment="0" applyProtection="0"/>
    <xf numFmtId="0" fontId="3" fillId="17" borderId="0" applyNumberFormat="0" applyBorder="0" applyAlignment="0" applyProtection="0"/>
    <xf numFmtId="0" fontId="3" fillId="12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9" borderId="0" applyNumberFormat="0" applyBorder="0" applyAlignment="0" applyProtection="0"/>
    <xf numFmtId="0" fontId="3" fillId="14" borderId="0" applyNumberFormat="0" applyBorder="0" applyAlignment="0" applyProtection="0"/>
    <xf numFmtId="0" fontId="3" fillId="20" borderId="0" applyNumberFormat="0" applyBorder="0" applyAlignment="0" applyProtection="0"/>
    <xf numFmtId="0" fontId="3" fillId="15" borderId="0" applyNumberFormat="0" applyBorder="0" applyAlignment="0" applyProtection="0"/>
    <xf numFmtId="0" fontId="3" fillId="21" borderId="0" applyNumberFormat="0" applyBorder="0" applyAlignment="0" applyProtection="0"/>
    <xf numFmtId="0" fontId="2" fillId="0" borderId="0"/>
    <xf numFmtId="0" fontId="2" fillId="39" borderId="30" applyNumberFormat="0" applyFont="0" applyAlignment="0" applyProtection="0"/>
    <xf numFmtId="0" fontId="2" fillId="10" borderId="0" applyNumberFormat="0" applyBorder="0" applyAlignment="0" applyProtection="0"/>
    <xf numFmtId="0" fontId="2" fillId="16" borderId="0" applyNumberFormat="0" applyBorder="0" applyAlignment="0" applyProtection="0"/>
    <xf numFmtId="0" fontId="2" fillId="11" borderId="0" applyNumberFormat="0" applyBorder="0" applyAlignment="0" applyProtection="0"/>
    <xf numFmtId="0" fontId="2" fillId="17" borderId="0" applyNumberFormat="0" applyBorder="0" applyAlignment="0" applyProtection="0"/>
    <xf numFmtId="0" fontId="2" fillId="12" borderId="0" applyNumberFormat="0" applyBorder="0" applyAlignment="0" applyProtection="0"/>
    <xf numFmtId="0" fontId="2" fillId="18" borderId="0" applyNumberFormat="0" applyBorder="0" applyAlignment="0" applyProtection="0"/>
    <xf numFmtId="0" fontId="2" fillId="13" borderId="0" applyNumberFormat="0" applyBorder="0" applyAlignment="0" applyProtection="0"/>
    <xf numFmtId="0" fontId="2" fillId="19" borderId="0" applyNumberFormat="0" applyBorder="0" applyAlignment="0" applyProtection="0"/>
    <xf numFmtId="0" fontId="2" fillId="14" borderId="0" applyNumberFormat="0" applyBorder="0" applyAlignment="0" applyProtection="0"/>
    <xf numFmtId="0" fontId="2" fillId="20" borderId="0" applyNumberFormat="0" applyBorder="0" applyAlignment="0" applyProtection="0"/>
    <xf numFmtId="0" fontId="2" fillId="15" borderId="0" applyNumberFormat="0" applyBorder="0" applyAlignment="0" applyProtection="0"/>
    <xf numFmtId="0" fontId="2" fillId="21" borderId="0" applyNumberFormat="0" applyBorder="0" applyAlignment="0" applyProtection="0"/>
    <xf numFmtId="0" fontId="53" fillId="0" borderId="0"/>
    <xf numFmtId="0" fontId="55" fillId="0" borderId="0"/>
    <xf numFmtId="44" fontId="15" fillId="0" borderId="0" applyFont="0" applyFill="0" applyBorder="0" applyAlignment="0" applyProtection="0"/>
    <xf numFmtId="0" fontId="1" fillId="0" borderId="0"/>
  </cellStyleXfs>
  <cellXfs count="202">
    <xf numFmtId="0" fontId="0" fillId="0" borderId="0" xfId="0"/>
    <xf numFmtId="0" fontId="20" fillId="0" borderId="0" xfId="0" applyFont="1" applyAlignment="1">
      <alignment vertical="center"/>
    </xf>
    <xf numFmtId="0" fontId="21" fillId="0" borderId="0" xfId="0" applyFont="1" applyBorder="1" applyAlignment="1">
      <alignment vertical="center"/>
    </xf>
    <xf numFmtId="0" fontId="23" fillId="0" borderId="0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Border="1" applyAlignment="1">
      <alignment vertical="center"/>
    </xf>
    <xf numFmtId="0" fontId="24" fillId="0" borderId="0" xfId="0" applyFont="1" applyBorder="1" applyAlignment="1">
      <alignment horizontal="right" vertical="center"/>
    </xf>
    <xf numFmtId="3" fontId="23" fillId="0" borderId="0" xfId="0" applyNumberFormat="1" applyFont="1" applyBorder="1"/>
    <xf numFmtId="165" fontId="23" fillId="0" borderId="0" xfId="48" applyNumberFormat="1" applyFont="1" applyBorder="1"/>
    <xf numFmtId="0" fontId="24" fillId="0" borderId="0" xfId="0" applyFont="1" applyBorder="1" applyAlignment="1">
      <alignment horizontal="justify" vertical="center"/>
    </xf>
    <xf numFmtId="0" fontId="24" fillId="0" borderId="0" xfId="0" applyFont="1" applyBorder="1" applyAlignment="1">
      <alignment horizontal="center" vertical="center"/>
    </xf>
    <xf numFmtId="3" fontId="25" fillId="0" borderId="1" xfId="0" applyNumberFormat="1" applyFont="1" applyBorder="1" applyAlignment="1">
      <alignment vertical="center" wrapText="1"/>
    </xf>
    <xf numFmtId="3" fontId="21" fillId="0" borderId="2" xfId="0" applyNumberFormat="1" applyFont="1" applyBorder="1" applyAlignment="1">
      <alignment vertical="center"/>
    </xf>
    <xf numFmtId="3" fontId="21" fillId="0" borderId="4" xfId="0" applyNumberFormat="1" applyFont="1" applyBorder="1" applyAlignment="1">
      <alignment vertical="center"/>
    </xf>
    <xf numFmtId="0" fontId="24" fillId="2" borderId="5" xfId="0" applyFont="1" applyFill="1" applyBorder="1" applyAlignment="1">
      <alignment vertical="center"/>
    </xf>
    <xf numFmtId="0" fontId="24" fillId="4" borderId="5" xfId="0" applyFont="1" applyFill="1" applyBorder="1" applyAlignment="1">
      <alignment vertical="center"/>
    </xf>
    <xf numFmtId="0" fontId="21" fillId="4" borderId="0" xfId="0" applyFont="1" applyFill="1" applyBorder="1" applyAlignment="1">
      <alignment vertical="center"/>
    </xf>
    <xf numFmtId="0" fontId="20" fillId="4" borderId="0" xfId="0" applyFont="1" applyFill="1" applyBorder="1" applyAlignment="1">
      <alignment horizontal="right" vertical="center"/>
    </xf>
    <xf numFmtId="0" fontId="21" fillId="0" borderId="3" xfId="0" applyFont="1" applyBorder="1" applyAlignment="1">
      <alignment horizontal="right" vertical="center" wrapText="1"/>
    </xf>
    <xf numFmtId="0" fontId="20" fillId="4" borderId="0" xfId="0" applyFont="1" applyFill="1" applyAlignment="1">
      <alignment vertical="center"/>
    </xf>
    <xf numFmtId="0" fontId="20" fillId="4" borderId="0" xfId="0" applyFont="1" applyFill="1" applyBorder="1" applyAlignment="1">
      <alignment vertical="center"/>
    </xf>
    <xf numFmtId="0" fontId="20" fillId="2" borderId="0" xfId="0" applyFont="1" applyFill="1" applyAlignment="1">
      <alignment vertical="center"/>
    </xf>
    <xf numFmtId="0" fontId="20" fillId="2" borderId="0" xfId="0" applyFont="1" applyFill="1" applyBorder="1" applyAlignment="1">
      <alignment vertical="center"/>
    </xf>
    <xf numFmtId="0" fontId="20" fillId="4" borderId="5" xfId="0" applyFont="1" applyFill="1" applyBorder="1" applyAlignment="1">
      <alignment vertical="center"/>
    </xf>
    <xf numFmtId="0" fontId="20" fillId="2" borderId="5" xfId="0" applyFont="1" applyFill="1" applyBorder="1" applyAlignment="1">
      <alignment vertical="center"/>
    </xf>
    <xf numFmtId="0" fontId="21" fillId="2" borderId="5" xfId="0" applyFont="1" applyFill="1" applyBorder="1" applyAlignment="1">
      <alignment vertical="center"/>
    </xf>
    <xf numFmtId="0" fontId="20" fillId="2" borderId="5" xfId="0" applyFont="1" applyFill="1" applyBorder="1" applyAlignment="1">
      <alignment horizontal="right" vertical="center"/>
    </xf>
    <xf numFmtId="0" fontId="17" fillId="6" borderId="8" xfId="0" applyFont="1" applyFill="1" applyBorder="1" applyAlignment="1">
      <alignment vertical="center"/>
    </xf>
    <xf numFmtId="0" fontId="17" fillId="7" borderId="9" xfId="0" applyFont="1" applyFill="1" applyBorder="1" applyAlignment="1">
      <alignment vertical="center"/>
    </xf>
    <xf numFmtId="0" fontId="18" fillId="8" borderId="10" xfId="0" applyFont="1" applyFill="1" applyBorder="1" applyAlignment="1">
      <alignment vertical="center"/>
    </xf>
    <xf numFmtId="0" fontId="17" fillId="5" borderId="11" xfId="0" applyFont="1" applyFill="1" applyBorder="1" applyAlignment="1">
      <alignment vertical="center" wrapText="1"/>
    </xf>
    <xf numFmtId="0" fontId="20" fillId="3" borderId="0" xfId="0" applyFont="1" applyFill="1" applyAlignment="1">
      <alignment vertical="center"/>
    </xf>
    <xf numFmtId="0" fontId="20" fillId="3" borderId="0" xfId="0" applyFont="1" applyFill="1" applyBorder="1" applyAlignment="1">
      <alignment vertical="center"/>
    </xf>
    <xf numFmtId="0" fontId="20" fillId="3" borderId="5" xfId="0" applyFont="1" applyFill="1" applyBorder="1" applyAlignment="1">
      <alignment vertical="center"/>
    </xf>
    <xf numFmtId="0" fontId="19" fillId="0" borderId="6" xfId="0" applyFont="1" applyBorder="1" applyAlignment="1">
      <alignment vertical="center" wrapText="1"/>
    </xf>
    <xf numFmtId="0" fontId="20" fillId="9" borderId="0" xfId="0" applyFont="1" applyFill="1" applyAlignment="1">
      <alignment vertical="center"/>
    </xf>
    <xf numFmtId="0" fontId="20" fillId="9" borderId="0" xfId="0" applyFont="1" applyFill="1" applyBorder="1" applyAlignment="1">
      <alignment vertical="center"/>
    </xf>
    <xf numFmtId="0" fontId="20" fillId="9" borderId="5" xfId="0" applyFont="1" applyFill="1" applyBorder="1" applyAlignment="1">
      <alignment vertical="center"/>
    </xf>
    <xf numFmtId="0" fontId="21" fillId="3" borderId="5" xfId="0" applyFont="1" applyFill="1" applyBorder="1" applyAlignment="1">
      <alignment vertical="center"/>
    </xf>
    <xf numFmtId="0" fontId="20" fillId="3" borderId="5" xfId="0" applyFont="1" applyFill="1" applyBorder="1" applyAlignment="1">
      <alignment horizontal="right" vertical="center"/>
    </xf>
    <xf numFmtId="0" fontId="24" fillId="9" borderId="5" xfId="0" applyFont="1" applyFill="1" applyBorder="1" applyAlignment="1">
      <alignment vertical="center"/>
    </xf>
    <xf numFmtId="0" fontId="21" fillId="9" borderId="0" xfId="0" applyFont="1" applyFill="1" applyBorder="1" applyAlignment="1">
      <alignment vertical="center"/>
    </xf>
    <xf numFmtId="0" fontId="20" fillId="9" borderId="0" xfId="0" applyFont="1" applyFill="1" applyBorder="1" applyAlignment="1">
      <alignment horizontal="right" vertical="center"/>
    </xf>
    <xf numFmtId="0" fontId="25" fillId="0" borderId="0" xfId="0" applyFont="1" applyBorder="1" applyAlignment="1">
      <alignment horizontal="left" vertical="center" wrapText="1"/>
    </xf>
    <xf numFmtId="3" fontId="25" fillId="0" borderId="0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vertical="center" wrapText="1"/>
    </xf>
    <xf numFmtId="3" fontId="23" fillId="0" borderId="0" xfId="0" applyNumberFormat="1" applyFont="1" applyBorder="1" applyAlignment="1">
      <alignment vertical="center"/>
    </xf>
    <xf numFmtId="10" fontId="23" fillId="0" borderId="0" xfId="45" applyNumberFormat="1" applyFont="1" applyBorder="1" applyAlignment="1">
      <alignment vertical="center"/>
    </xf>
    <xf numFmtId="0" fontId="21" fillId="0" borderId="3" xfId="0" applyFont="1" applyFill="1" applyBorder="1" applyAlignment="1">
      <alignment horizontal="right" vertical="center" wrapText="1"/>
    </xf>
    <xf numFmtId="0" fontId="21" fillId="0" borderId="0" xfId="0" applyFont="1" applyFill="1" applyAlignment="1">
      <alignment vertical="center" wrapText="1"/>
    </xf>
    <xf numFmtId="0" fontId="28" fillId="0" borderId="0" xfId="38" applyFont="1" applyFill="1" applyBorder="1" applyAlignment="1"/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3" fontId="16" fillId="0" borderId="0" xfId="41" applyNumberFormat="1" applyBorder="1"/>
    <xf numFmtId="0" fontId="31" fillId="0" borderId="0" xfId="40" applyFont="1" applyFill="1" applyBorder="1" applyAlignment="1">
      <alignment horizontal="left"/>
    </xf>
    <xf numFmtId="0" fontId="0" fillId="0" borderId="0" xfId="0" applyBorder="1"/>
    <xf numFmtId="0" fontId="28" fillId="0" borderId="0" xfId="37" applyFont="1" applyFill="1" applyBorder="1" applyAlignment="1"/>
    <xf numFmtId="0" fontId="16" fillId="0" borderId="0" xfId="41" applyBorder="1"/>
    <xf numFmtId="0" fontId="28" fillId="0" borderId="0" xfId="39" applyFont="1" applyFill="1" applyBorder="1" applyAlignment="1"/>
    <xf numFmtId="3" fontId="28" fillId="0" borderId="0" xfId="39" applyNumberFormat="1" applyFont="1" applyFill="1" applyBorder="1" applyAlignment="1">
      <alignment horizontal="right"/>
    </xf>
    <xf numFmtId="3" fontId="28" fillId="0" borderId="0" xfId="39" applyNumberFormat="1" applyFont="1" applyFill="1" applyBorder="1" applyAlignment="1">
      <alignment horizontal="left"/>
    </xf>
    <xf numFmtId="0" fontId="32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3" fillId="0" borderId="0" xfId="0" applyFont="1" applyFill="1" applyAlignment="1">
      <alignment vertical="center" wrapText="1"/>
    </xf>
    <xf numFmtId="0" fontId="16" fillId="0" borderId="0" xfId="0" applyFont="1"/>
    <xf numFmtId="3" fontId="16" fillId="0" borderId="0" xfId="0" applyNumberFormat="1" applyFont="1"/>
    <xf numFmtId="3" fontId="21" fillId="0" borderId="0" xfId="0" applyNumberFormat="1" applyFont="1" applyAlignment="1">
      <alignment vertical="center"/>
    </xf>
    <xf numFmtId="10" fontId="21" fillId="0" borderId="2" xfId="45" applyNumberFormat="1" applyFont="1" applyBorder="1" applyAlignment="1">
      <alignment vertical="center"/>
    </xf>
    <xf numFmtId="10" fontId="21" fillId="0" borderId="4" xfId="45" applyNumberFormat="1" applyFont="1" applyBorder="1" applyAlignment="1">
      <alignment vertical="center"/>
    </xf>
    <xf numFmtId="0" fontId="24" fillId="0" borderId="3" xfId="0" applyFont="1" applyFill="1" applyBorder="1" applyAlignment="1">
      <alignment horizontal="right" vertical="center"/>
    </xf>
    <xf numFmtId="0" fontId="24" fillId="0" borderId="6" xfId="0" applyFont="1" applyFill="1" applyBorder="1" applyAlignment="1">
      <alignment horizontal="right" vertical="center"/>
    </xf>
    <xf numFmtId="14" fontId="24" fillId="3" borderId="5" xfId="0" applyNumberFormat="1" applyFont="1" applyFill="1" applyBorder="1" applyAlignment="1">
      <alignment vertical="center"/>
    </xf>
    <xf numFmtId="3" fontId="17" fillId="6" borderId="8" xfId="0" applyNumberFormat="1" applyFont="1" applyFill="1" applyBorder="1" applyAlignment="1">
      <alignment vertical="center"/>
    </xf>
    <xf numFmtId="3" fontId="17" fillId="7" borderId="9" xfId="0" applyNumberFormat="1" applyFont="1" applyFill="1" applyBorder="1" applyAlignment="1">
      <alignment vertical="center"/>
    </xf>
    <xf numFmtId="3" fontId="18" fillId="8" borderId="10" xfId="0" applyNumberFormat="1" applyFont="1" applyFill="1" applyBorder="1" applyAlignment="1">
      <alignment vertical="center"/>
    </xf>
    <xf numFmtId="3" fontId="17" fillId="5" borderId="11" xfId="0" applyNumberFormat="1" applyFont="1" applyFill="1" applyBorder="1" applyAlignment="1">
      <alignment vertical="center" wrapText="1"/>
    </xf>
    <xf numFmtId="3" fontId="24" fillId="0" borderId="6" xfId="0" applyNumberFormat="1" applyFont="1" applyBorder="1" applyAlignment="1">
      <alignment horizontal="right" vertical="center"/>
    </xf>
    <xf numFmtId="166" fontId="20" fillId="4" borderId="0" xfId="0" applyNumberFormat="1" applyFont="1" applyFill="1" applyAlignment="1">
      <alignment vertical="center"/>
    </xf>
    <xf numFmtId="10" fontId="24" fillId="0" borderId="3" xfId="45" applyNumberFormat="1" applyFont="1" applyBorder="1" applyAlignment="1">
      <alignment vertical="center"/>
    </xf>
    <xf numFmtId="0" fontId="25" fillId="0" borderId="0" xfId="0" applyFont="1" applyFill="1" applyAlignment="1">
      <alignment vertical="center"/>
    </xf>
    <xf numFmtId="0" fontId="52" fillId="0" borderId="0" xfId="0" applyFont="1"/>
    <xf numFmtId="0" fontId="25" fillId="0" borderId="0" xfId="0" applyFont="1" applyAlignment="1">
      <alignment vertical="center"/>
    </xf>
    <xf numFmtId="3" fontId="24" fillId="0" borderId="3" xfId="0" applyNumberFormat="1" applyFont="1" applyFill="1" applyBorder="1" applyAlignment="1">
      <alignment horizontal="right" vertical="center"/>
    </xf>
    <xf numFmtId="166" fontId="24" fillId="0" borderId="3" xfId="0" applyNumberFormat="1" applyFont="1" applyBorder="1" applyAlignment="1">
      <alignment horizontal="right" vertical="center" wrapText="1"/>
    </xf>
    <xf numFmtId="166" fontId="20" fillId="9" borderId="0" xfId="0" applyNumberFormat="1" applyFont="1" applyFill="1" applyAlignment="1">
      <alignment vertical="center"/>
    </xf>
    <xf numFmtId="166" fontId="24" fillId="0" borderId="3" xfId="0" applyNumberFormat="1" applyFont="1" applyFill="1" applyBorder="1" applyAlignment="1">
      <alignment vertical="center" wrapText="1"/>
    </xf>
    <xf numFmtId="166" fontId="20" fillId="3" borderId="0" xfId="0" applyNumberFormat="1" applyFont="1" applyFill="1" applyBorder="1" applyAlignment="1">
      <alignment vertical="center"/>
    </xf>
    <xf numFmtId="166" fontId="24" fillId="3" borderId="5" xfId="0" applyNumberFormat="1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0" xfId="0" applyFont="1" applyFill="1" applyAlignment="1">
      <alignment vertical="center"/>
    </xf>
    <xf numFmtId="1" fontId="0" fillId="0" borderId="0" xfId="0" applyNumberFormat="1"/>
    <xf numFmtId="0" fontId="33" fillId="0" borderId="0" xfId="0" applyFont="1" applyAlignment="1">
      <alignment vertical="center"/>
    </xf>
    <xf numFmtId="0" fontId="33" fillId="0" borderId="0" xfId="0" applyFont="1" applyFill="1" applyAlignment="1">
      <alignment vertical="center"/>
    </xf>
    <xf numFmtId="3" fontId="21" fillId="0" borderId="1" xfId="0" applyNumberFormat="1" applyFont="1" applyFill="1" applyBorder="1" applyAlignment="1">
      <alignment vertical="center"/>
    </xf>
    <xf numFmtId="10" fontId="21" fillId="0" borderId="1" xfId="45" applyNumberFormat="1" applyFont="1" applyFill="1" applyBorder="1" applyAlignment="1">
      <alignment vertical="center"/>
    </xf>
    <xf numFmtId="3" fontId="21" fillId="0" borderId="1" xfId="0" applyNumberFormat="1" applyFont="1" applyBorder="1" applyAlignment="1">
      <alignment vertical="center"/>
    </xf>
    <xf numFmtId="10" fontId="21" fillId="0" borderId="1" xfId="45" applyNumberFormat="1" applyFont="1" applyBorder="1" applyAlignment="1">
      <alignment vertical="center"/>
    </xf>
    <xf numFmtId="3" fontId="25" fillId="0" borderId="4" xfId="0" applyNumberFormat="1" applyFont="1" applyBorder="1" applyAlignment="1">
      <alignment vertical="center" wrapText="1"/>
    </xf>
    <xf numFmtId="3" fontId="25" fillId="5" borderId="5" xfId="0" applyNumberFormat="1" applyFont="1" applyFill="1" applyBorder="1"/>
    <xf numFmtId="3" fontId="25" fillId="6" borderId="7" xfId="0" applyNumberFormat="1" applyFont="1" applyFill="1" applyBorder="1"/>
    <xf numFmtId="3" fontId="25" fillId="7" borderId="1" xfId="0" applyNumberFormat="1" applyFont="1" applyFill="1" applyBorder="1"/>
    <xf numFmtId="3" fontId="24" fillId="0" borderId="3" xfId="0" applyNumberFormat="1" applyFont="1" applyBorder="1" applyAlignment="1">
      <alignment horizontal="right"/>
    </xf>
    <xf numFmtId="3" fontId="26" fillId="8" borderId="1" xfId="0" applyNumberFormat="1" applyFont="1" applyFill="1" applyBorder="1"/>
    <xf numFmtId="3" fontId="25" fillId="0" borderId="4" xfId="0" applyNumberFormat="1" applyFont="1" applyFill="1" applyBorder="1" applyAlignment="1">
      <alignment vertical="center" wrapText="1"/>
    </xf>
    <xf numFmtId="0" fontId="24" fillId="0" borderId="6" xfId="0" applyFont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54" fillId="0" borderId="0" xfId="672" applyFont="1" applyAlignment="1">
      <alignment horizontal="right"/>
    </xf>
    <xf numFmtId="0" fontId="24" fillId="0" borderId="6" xfId="0" applyFont="1" applyBorder="1" applyAlignment="1">
      <alignment horizontal="right" vertical="center"/>
    </xf>
    <xf numFmtId="0" fontId="25" fillId="0" borderId="19" xfId="0" applyFont="1" applyBorder="1" applyAlignment="1">
      <alignment horizontal="left" vertical="center" wrapText="1"/>
    </xf>
    <xf numFmtId="0" fontId="24" fillId="0" borderId="6" xfId="0" applyFont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10" fontId="21" fillId="0" borderId="0" xfId="0" applyNumberFormat="1" applyFont="1" applyFill="1" applyAlignment="1">
      <alignment vertical="center"/>
    </xf>
    <xf numFmtId="4" fontId="21" fillId="0" borderId="0" xfId="0" applyNumberFormat="1" applyFont="1" applyFill="1" applyAlignment="1">
      <alignment vertical="center"/>
    </xf>
    <xf numFmtId="2" fontId="0" fillId="0" borderId="0" xfId="0" applyNumberFormat="1"/>
    <xf numFmtId="0" fontId="24" fillId="0" borderId="6" xfId="0" applyFont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4" fillId="9" borderId="0" xfId="0" applyFont="1" applyFill="1" applyBorder="1" applyAlignment="1">
      <alignment vertical="center"/>
    </xf>
    <xf numFmtId="0" fontId="56" fillId="9" borderId="5" xfId="0" applyFont="1" applyFill="1" applyBorder="1" applyAlignment="1">
      <alignment vertical="center"/>
    </xf>
    <xf numFmtId="0" fontId="24" fillId="0" borderId="6" xfId="0" applyFont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7" fillId="0" borderId="0" xfId="0" applyFont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0" fontId="24" fillId="0" borderId="3" xfId="0" applyFont="1" applyFill="1" applyBorder="1" applyAlignment="1">
      <alignment horizontal="left" vertical="center" wrapText="1"/>
    </xf>
    <xf numFmtId="0" fontId="24" fillId="0" borderId="6" xfId="0" applyFont="1" applyFill="1" applyBorder="1" applyAlignment="1">
      <alignment horizontal="left" vertical="center" wrapText="1"/>
    </xf>
    <xf numFmtId="0" fontId="25" fillId="0" borderId="4" xfId="0" applyFont="1" applyFill="1" applyBorder="1" applyAlignment="1">
      <alignment horizontal="left" vertical="center" wrapText="1"/>
    </xf>
    <xf numFmtId="0" fontId="25" fillId="0" borderId="10" xfId="0" applyFont="1" applyFill="1" applyBorder="1" applyAlignment="1">
      <alignment horizontal="left" vertical="center" wrapText="1"/>
    </xf>
    <xf numFmtId="0" fontId="25" fillId="0" borderId="1" xfId="0" applyFont="1" applyFill="1" applyBorder="1" applyAlignment="1">
      <alignment horizontal="left" vertical="center" wrapText="1"/>
    </xf>
    <xf numFmtId="0" fontId="25" fillId="0" borderId="9" xfId="0" applyFont="1" applyFill="1" applyBorder="1" applyAlignment="1">
      <alignment horizontal="left" vertical="center" wrapText="1"/>
    </xf>
    <xf numFmtId="0" fontId="25" fillId="0" borderId="1" xfId="0" applyFont="1" applyFill="1" applyBorder="1" applyAlignment="1">
      <alignment horizontal="left" vertical="center" wrapText="1" indent="1"/>
    </xf>
    <xf numFmtId="0" fontId="25" fillId="0" borderId="9" xfId="0" applyFont="1" applyFill="1" applyBorder="1" applyAlignment="1">
      <alignment horizontal="left" vertical="center" wrapText="1" indent="1"/>
    </xf>
    <xf numFmtId="0" fontId="25" fillId="0" borderId="2" xfId="0" applyFont="1" applyFill="1" applyBorder="1" applyAlignment="1">
      <alignment horizontal="left" vertical="center" wrapText="1" indent="1"/>
    </xf>
    <xf numFmtId="0" fontId="25" fillId="0" borderId="18" xfId="0" applyFont="1" applyFill="1" applyBorder="1" applyAlignment="1">
      <alignment horizontal="left" vertical="center" wrapText="1" indent="1"/>
    </xf>
    <xf numFmtId="0" fontId="25" fillId="0" borderId="2" xfId="0" applyFont="1" applyFill="1" applyBorder="1" applyAlignment="1">
      <alignment horizontal="left" vertical="center" wrapText="1"/>
    </xf>
    <xf numFmtId="0" fontId="25" fillId="0" borderId="18" xfId="0" applyFont="1" applyFill="1" applyBorder="1" applyAlignment="1">
      <alignment horizontal="left" vertical="center" wrapText="1"/>
    </xf>
    <xf numFmtId="0" fontId="24" fillId="0" borderId="3" xfId="0" applyFont="1" applyBorder="1" applyAlignment="1">
      <alignment horizontal="left" vertical="center" wrapText="1"/>
    </xf>
    <xf numFmtId="0" fontId="24" fillId="0" borderId="6" xfId="0" applyFont="1" applyBorder="1" applyAlignment="1">
      <alignment horizontal="left" vertical="center" wrapText="1"/>
    </xf>
    <xf numFmtId="0" fontId="25" fillId="0" borderId="4" xfId="0" applyFont="1" applyBorder="1" applyAlignment="1">
      <alignment horizontal="left" vertical="center" wrapText="1"/>
    </xf>
    <xf numFmtId="0" fontId="25" fillId="0" borderId="10" xfId="0" applyFont="1" applyBorder="1" applyAlignment="1">
      <alignment horizontal="left" vertical="center" wrapText="1"/>
    </xf>
    <xf numFmtId="0" fontId="25" fillId="6" borderId="7" xfId="0" applyFont="1" applyFill="1" applyBorder="1" applyAlignment="1">
      <alignment horizontal="left" vertical="center"/>
    </xf>
    <xf numFmtId="0" fontId="25" fillId="6" borderId="8" xfId="0" applyFont="1" applyFill="1" applyBorder="1" applyAlignment="1">
      <alignment horizontal="left" vertical="center"/>
    </xf>
    <xf numFmtId="0" fontId="25" fillId="7" borderId="1" xfId="0" applyFont="1" applyFill="1" applyBorder="1" applyAlignment="1">
      <alignment horizontal="left" vertical="center"/>
    </xf>
    <xf numFmtId="0" fontId="25" fillId="7" borderId="9" xfId="0" applyFont="1" applyFill="1" applyBorder="1" applyAlignment="1">
      <alignment horizontal="left" vertical="center"/>
    </xf>
    <xf numFmtId="0" fontId="26" fillId="8" borderId="1" xfId="0" applyFont="1" applyFill="1" applyBorder="1" applyAlignment="1">
      <alignment horizontal="left" vertical="center"/>
    </xf>
    <xf numFmtId="0" fontId="26" fillId="8" borderId="9" xfId="0" applyFont="1" applyFill="1" applyBorder="1" applyAlignment="1">
      <alignment horizontal="left" vertical="center"/>
    </xf>
    <xf numFmtId="0" fontId="25" fillId="5" borderId="5" xfId="0" applyFont="1" applyFill="1" applyBorder="1" applyAlignment="1">
      <alignment horizontal="left" vertical="center" wrapText="1"/>
    </xf>
    <xf numFmtId="0" fontId="25" fillId="5" borderId="11" xfId="0" applyFont="1" applyFill="1" applyBorder="1" applyAlignment="1">
      <alignment horizontal="left" vertical="center" wrapText="1"/>
    </xf>
    <xf numFmtId="0" fontId="24" fillId="0" borderId="3" xfId="0" applyFont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4" fillId="0" borderId="33" xfId="0" applyFont="1" applyBorder="1" applyAlignment="1">
      <alignment horizontal="left" vertical="center" wrapText="1"/>
    </xf>
    <xf numFmtId="0" fontId="25" fillId="0" borderId="1" xfId="0" applyFont="1" applyBorder="1" applyAlignment="1">
      <alignment horizontal="left" vertical="center" wrapText="1"/>
    </xf>
    <xf numFmtId="0" fontId="25" fillId="0" borderId="9" xfId="0" applyFont="1" applyBorder="1" applyAlignment="1">
      <alignment horizontal="left" vertical="center" wrapText="1"/>
    </xf>
    <xf numFmtId="0" fontId="25" fillId="0" borderId="2" xfId="0" applyFont="1" applyBorder="1" applyAlignment="1">
      <alignment horizontal="left" vertical="center" wrapText="1"/>
    </xf>
    <xf numFmtId="0" fontId="25" fillId="0" borderId="18" xfId="0" applyFont="1" applyBorder="1" applyAlignment="1">
      <alignment horizontal="left" vertical="center" wrapText="1"/>
    </xf>
    <xf numFmtId="14" fontId="24" fillId="0" borderId="3" xfId="0" applyNumberFormat="1" applyFont="1" applyFill="1" applyBorder="1" applyAlignment="1">
      <alignment horizontal="right" vertical="center" wrapText="1"/>
    </xf>
    <xf numFmtId="0" fontId="25" fillId="0" borderId="7" xfId="0" applyFont="1" applyBorder="1" applyAlignment="1">
      <alignment horizontal="left" vertical="center" wrapText="1"/>
    </xf>
    <xf numFmtId="0" fontId="25" fillId="0" borderId="8" xfId="0" applyFont="1" applyBorder="1" applyAlignment="1">
      <alignment horizontal="left" vertical="center" wrapText="1"/>
    </xf>
    <xf numFmtId="3" fontId="25" fillId="0" borderId="20" xfId="0" applyNumberFormat="1" applyFont="1" applyBorder="1" applyAlignment="1">
      <alignment horizontal="right" vertical="center"/>
    </xf>
    <xf numFmtId="3" fontId="25" fillId="0" borderId="7" xfId="0" applyNumberFormat="1" applyFont="1" applyBorder="1" applyAlignment="1">
      <alignment horizontal="right" vertical="center"/>
    </xf>
    <xf numFmtId="3" fontId="25" fillId="0" borderId="21" xfId="0" applyNumberFormat="1" applyFont="1" applyBorder="1" applyAlignment="1">
      <alignment horizontal="right" vertical="center"/>
    </xf>
    <xf numFmtId="3" fontId="25" fillId="0" borderId="1" xfId="0" applyNumberFormat="1" applyFont="1" applyBorder="1" applyAlignment="1">
      <alignment horizontal="right" vertical="center"/>
    </xf>
    <xf numFmtId="14" fontId="24" fillId="0" borderId="33" xfId="0" applyNumberFormat="1" applyFont="1" applyBorder="1" applyAlignment="1">
      <alignment horizontal="center" vertical="center" wrapText="1"/>
    </xf>
    <xf numFmtId="14" fontId="24" fillId="0" borderId="13" xfId="0" applyNumberFormat="1" applyFont="1" applyBorder="1" applyAlignment="1">
      <alignment horizontal="center" vertical="center" wrapText="1"/>
    </xf>
    <xf numFmtId="0" fontId="25" fillId="0" borderId="15" xfId="0" applyFont="1" applyBorder="1" applyAlignment="1">
      <alignment horizontal="left" vertical="center" wrapText="1"/>
    </xf>
    <xf numFmtId="1" fontId="25" fillId="0" borderId="15" xfId="45" applyNumberFormat="1" applyFont="1" applyBorder="1" applyAlignment="1">
      <alignment horizontal="center" vertical="center"/>
    </xf>
    <xf numFmtId="1" fontId="25" fillId="0" borderId="32" xfId="45" applyNumberFormat="1" applyFont="1" applyBorder="1" applyAlignment="1">
      <alignment horizontal="center" vertical="center"/>
    </xf>
    <xf numFmtId="0" fontId="25" fillId="0" borderId="14" xfId="0" applyFont="1" applyBorder="1" applyAlignment="1">
      <alignment horizontal="left" vertical="center" wrapText="1"/>
    </xf>
    <xf numFmtId="0" fontId="25" fillId="0" borderId="19" xfId="0" applyFont="1" applyBorder="1" applyAlignment="1">
      <alignment horizontal="left" vertical="center" wrapText="1"/>
    </xf>
    <xf numFmtId="0" fontId="25" fillId="0" borderId="16" xfId="0" applyFont="1" applyBorder="1" applyAlignment="1">
      <alignment horizontal="left" vertical="center" wrapText="1"/>
    </xf>
    <xf numFmtId="0" fontId="25" fillId="0" borderId="12" xfId="0" applyFont="1" applyBorder="1" applyAlignment="1">
      <alignment horizontal="left" vertical="center" wrapText="1"/>
    </xf>
    <xf numFmtId="3" fontId="25" fillId="0" borderId="22" xfId="0" applyNumberFormat="1" applyFont="1" applyBorder="1" applyAlignment="1">
      <alignment horizontal="right" vertical="center"/>
    </xf>
    <xf numFmtId="3" fontId="25" fillId="0" borderId="12" xfId="0" applyNumberFormat="1" applyFont="1" applyBorder="1" applyAlignment="1">
      <alignment horizontal="right" vertical="center"/>
    </xf>
    <xf numFmtId="0" fontId="25" fillId="0" borderId="1" xfId="0" applyFont="1" applyBorder="1" applyAlignment="1">
      <alignment vertical="center" wrapText="1"/>
    </xf>
    <xf numFmtId="0" fontId="25" fillId="0" borderId="9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5" fillId="0" borderId="19" xfId="0" applyFont="1" applyBorder="1" applyAlignment="1">
      <alignment vertical="center" wrapText="1"/>
    </xf>
    <xf numFmtId="0" fontId="25" fillId="0" borderId="7" xfId="0" applyFont="1" applyBorder="1" applyAlignment="1">
      <alignment vertical="center" wrapText="1"/>
    </xf>
    <xf numFmtId="0" fontId="25" fillId="0" borderId="8" xfId="0" applyFont="1" applyBorder="1" applyAlignment="1">
      <alignment vertical="center" wrapText="1"/>
    </xf>
    <xf numFmtId="1" fontId="25" fillId="0" borderId="16" xfId="45" applyNumberFormat="1" applyFont="1" applyBorder="1" applyAlignment="1">
      <alignment horizontal="center" vertical="center"/>
    </xf>
    <xf numFmtId="1" fontId="25" fillId="0" borderId="20" xfId="45" applyNumberFormat="1" applyFont="1" applyBorder="1" applyAlignment="1">
      <alignment horizontal="center" vertical="center"/>
    </xf>
    <xf numFmtId="1" fontId="25" fillId="0" borderId="7" xfId="45" applyNumberFormat="1" applyFont="1" applyBorder="1" applyAlignment="1">
      <alignment horizontal="center" vertical="center"/>
    </xf>
    <xf numFmtId="1" fontId="25" fillId="0" borderId="21" xfId="45" applyNumberFormat="1" applyFont="1" applyBorder="1" applyAlignment="1">
      <alignment horizontal="center" vertical="center"/>
    </xf>
    <xf numFmtId="1" fontId="25" fillId="0" borderId="1" xfId="45" applyNumberFormat="1" applyFont="1" applyBorder="1" applyAlignment="1">
      <alignment horizontal="center" vertical="center"/>
    </xf>
    <xf numFmtId="1" fontId="25" fillId="0" borderId="22" xfId="45" applyNumberFormat="1" applyFont="1" applyBorder="1" applyAlignment="1">
      <alignment horizontal="center" vertical="center"/>
    </xf>
    <xf numFmtId="1" fontId="25" fillId="0" borderId="19" xfId="45" applyNumberFormat="1" applyFont="1" applyBorder="1" applyAlignment="1">
      <alignment horizontal="center" vertical="center"/>
    </xf>
    <xf numFmtId="44" fontId="25" fillId="0" borderId="1" xfId="674" applyFont="1" applyBorder="1" applyAlignment="1">
      <alignment horizontal="left" vertical="center" wrapText="1"/>
    </xf>
    <xf numFmtId="44" fontId="25" fillId="0" borderId="9" xfId="674" applyFont="1" applyBorder="1" applyAlignment="1">
      <alignment horizontal="left" vertical="center" wrapText="1"/>
    </xf>
    <xf numFmtId="44" fontId="25" fillId="0" borderId="1" xfId="674" applyFont="1" applyBorder="1" applyAlignment="1">
      <alignment vertical="center" wrapText="1"/>
    </xf>
    <xf numFmtId="44" fontId="25" fillId="0" borderId="9" xfId="674" applyFont="1" applyBorder="1" applyAlignment="1">
      <alignment vertical="center" wrapText="1"/>
    </xf>
    <xf numFmtId="0" fontId="24" fillId="0" borderId="3" xfId="0" applyFont="1" applyBorder="1" applyAlignment="1">
      <alignment vertical="center" wrapText="1"/>
    </xf>
    <xf numFmtId="0" fontId="24" fillId="0" borderId="6" xfId="0" applyFont="1" applyBorder="1" applyAlignment="1">
      <alignment vertical="center" wrapText="1"/>
    </xf>
    <xf numFmtId="3" fontId="25" fillId="0" borderId="21" xfId="0" applyNumberFormat="1" applyFont="1" applyBorder="1" applyAlignment="1">
      <alignment horizontal="right" vertical="center" wrapText="1"/>
    </xf>
    <xf numFmtId="3" fontId="25" fillId="0" borderId="1" xfId="0" applyNumberFormat="1" applyFont="1" applyBorder="1" applyAlignment="1">
      <alignment horizontal="right" vertical="center" wrapText="1"/>
    </xf>
    <xf numFmtId="3" fontId="25" fillId="0" borderId="21" xfId="674" applyNumberFormat="1" applyFont="1" applyBorder="1" applyAlignment="1">
      <alignment horizontal="right" vertical="center" wrapText="1"/>
    </xf>
    <xf numFmtId="3" fontId="25" fillId="0" borderId="1" xfId="674" applyNumberFormat="1" applyFont="1" applyBorder="1" applyAlignment="1">
      <alignment horizontal="right" vertical="center" wrapText="1"/>
    </xf>
    <xf numFmtId="3" fontId="25" fillId="0" borderId="22" xfId="0" applyNumberFormat="1" applyFont="1" applyBorder="1" applyAlignment="1">
      <alignment horizontal="right" vertical="center" wrapText="1"/>
    </xf>
    <xf numFmtId="3" fontId="25" fillId="0" borderId="12" xfId="0" applyNumberFormat="1" applyFont="1" applyBorder="1" applyAlignment="1">
      <alignment horizontal="right" vertical="center" wrapText="1"/>
    </xf>
    <xf numFmtId="0" fontId="20" fillId="2" borderId="5" xfId="0" applyFont="1" applyFill="1" applyBorder="1" applyAlignment="1">
      <alignment horizontal="center" vertical="center"/>
    </xf>
    <xf numFmtId="3" fontId="25" fillId="0" borderId="20" xfId="0" applyNumberFormat="1" applyFont="1" applyBorder="1" applyAlignment="1">
      <alignment horizontal="right" vertical="center" wrapText="1"/>
    </xf>
    <xf numFmtId="3" fontId="25" fillId="0" borderId="7" xfId="0" applyNumberFormat="1" applyFont="1" applyBorder="1" applyAlignment="1">
      <alignment horizontal="right" vertical="center" wrapText="1"/>
    </xf>
  </cellXfs>
  <cellStyles count="676">
    <cellStyle name="20% - Акцент1" xfId="1" builtinId="30" customBuiltin="1"/>
    <cellStyle name="20% - Акцент1 10" xfId="646"/>
    <cellStyle name="20% - Акцент1 11" xfId="660"/>
    <cellStyle name="20% - Акцент1 2" xfId="52"/>
    <cellStyle name="20% - Акцент1 2 2" xfId="98"/>
    <cellStyle name="20% - Акцент1 2 2 2" xfId="190"/>
    <cellStyle name="20% - Акцент1 2 2 2 2" xfId="540"/>
    <cellStyle name="20% - Акцент1 2 2 3" xfId="448"/>
    <cellStyle name="20% - Акцент1 2 2 4" xfId="356"/>
    <cellStyle name="20% - Акцент1 2 3" xfId="144"/>
    <cellStyle name="20% - Акцент1 2 3 2" xfId="494"/>
    <cellStyle name="20% - Акцент1 2 4" xfId="236"/>
    <cellStyle name="20% - Акцент1 2 4 2" xfId="586"/>
    <cellStyle name="20% - Акцент1 2 5" xfId="402"/>
    <cellStyle name="20% - Акцент1 2 6" xfId="310"/>
    <cellStyle name="20% - Акцент1 3" xfId="70"/>
    <cellStyle name="20% - Акцент1 3 2" xfId="116"/>
    <cellStyle name="20% - Акцент1 3 2 2" xfId="208"/>
    <cellStyle name="20% - Акцент1 3 2 2 2" xfId="558"/>
    <cellStyle name="20% - Акцент1 3 2 3" xfId="466"/>
    <cellStyle name="20% - Акцент1 3 2 4" xfId="374"/>
    <cellStyle name="20% - Акцент1 3 3" xfId="162"/>
    <cellStyle name="20% - Акцент1 3 3 2" xfId="512"/>
    <cellStyle name="20% - Акцент1 3 4" xfId="254"/>
    <cellStyle name="20% - Акцент1 3 4 2" xfId="604"/>
    <cellStyle name="20% - Акцент1 3 5" xfId="420"/>
    <cellStyle name="20% - Акцент1 3 6" xfId="328"/>
    <cellStyle name="20% - Акцент1 4" xfId="82"/>
    <cellStyle name="20% - Акцент1 4 2" xfId="174"/>
    <cellStyle name="20% - Акцент1 4 2 2" xfId="524"/>
    <cellStyle name="20% - Акцент1 4 3" xfId="268"/>
    <cellStyle name="20% - Акцент1 4 3 2" xfId="618"/>
    <cellStyle name="20% - Акцент1 4 4" xfId="432"/>
    <cellStyle name="20% - Акцент1 4 5" xfId="340"/>
    <cellStyle name="20% - Акцент1 5" xfId="128"/>
    <cellStyle name="20% - Акцент1 5 2" xfId="478"/>
    <cellStyle name="20% - Акцент1 6" xfId="220"/>
    <cellStyle name="20% - Акцент1 6 2" xfId="570"/>
    <cellStyle name="20% - Акцент1 7" xfId="282"/>
    <cellStyle name="20% - Акцент1 7 2" xfId="632"/>
    <cellStyle name="20% - Акцент1 8" xfId="386"/>
    <cellStyle name="20% - Акцент1 9" xfId="294"/>
    <cellStyle name="20% - Акцент2" xfId="2" builtinId="34" customBuiltin="1"/>
    <cellStyle name="20% - Акцент2 10" xfId="648"/>
    <cellStyle name="20% - Акцент2 11" xfId="662"/>
    <cellStyle name="20% - Акцент2 2" xfId="54"/>
    <cellStyle name="20% - Акцент2 2 2" xfId="100"/>
    <cellStyle name="20% - Акцент2 2 2 2" xfId="192"/>
    <cellStyle name="20% - Акцент2 2 2 2 2" xfId="542"/>
    <cellStyle name="20% - Акцент2 2 2 3" xfId="450"/>
    <cellStyle name="20% - Акцент2 2 2 4" xfId="358"/>
    <cellStyle name="20% - Акцент2 2 3" xfId="146"/>
    <cellStyle name="20% - Акцент2 2 3 2" xfId="496"/>
    <cellStyle name="20% - Акцент2 2 4" xfId="238"/>
    <cellStyle name="20% - Акцент2 2 4 2" xfId="588"/>
    <cellStyle name="20% - Акцент2 2 5" xfId="404"/>
    <cellStyle name="20% - Акцент2 2 6" xfId="312"/>
    <cellStyle name="20% - Акцент2 3" xfId="72"/>
    <cellStyle name="20% - Акцент2 3 2" xfId="118"/>
    <cellStyle name="20% - Акцент2 3 2 2" xfId="210"/>
    <cellStyle name="20% - Акцент2 3 2 2 2" xfId="560"/>
    <cellStyle name="20% - Акцент2 3 2 3" xfId="468"/>
    <cellStyle name="20% - Акцент2 3 2 4" xfId="376"/>
    <cellStyle name="20% - Акцент2 3 3" xfId="164"/>
    <cellStyle name="20% - Акцент2 3 3 2" xfId="514"/>
    <cellStyle name="20% - Акцент2 3 4" xfId="256"/>
    <cellStyle name="20% - Акцент2 3 4 2" xfId="606"/>
    <cellStyle name="20% - Акцент2 3 5" xfId="422"/>
    <cellStyle name="20% - Акцент2 3 6" xfId="330"/>
    <cellStyle name="20% - Акцент2 4" xfId="83"/>
    <cellStyle name="20% - Акцент2 4 2" xfId="175"/>
    <cellStyle name="20% - Акцент2 4 2 2" xfId="525"/>
    <cellStyle name="20% - Акцент2 4 3" xfId="270"/>
    <cellStyle name="20% - Акцент2 4 3 2" xfId="620"/>
    <cellStyle name="20% - Акцент2 4 4" xfId="433"/>
    <cellStyle name="20% - Акцент2 4 5" xfId="341"/>
    <cellStyle name="20% - Акцент2 5" xfId="129"/>
    <cellStyle name="20% - Акцент2 5 2" xfId="479"/>
    <cellStyle name="20% - Акцент2 6" xfId="221"/>
    <cellStyle name="20% - Акцент2 6 2" xfId="571"/>
    <cellStyle name="20% - Акцент2 7" xfId="284"/>
    <cellStyle name="20% - Акцент2 7 2" xfId="634"/>
    <cellStyle name="20% - Акцент2 8" xfId="387"/>
    <cellStyle name="20% - Акцент2 9" xfId="295"/>
    <cellStyle name="20% - Акцент3" xfId="3" builtinId="38" customBuiltin="1"/>
    <cellStyle name="20% - Акцент3 10" xfId="650"/>
    <cellStyle name="20% - Акцент3 11" xfId="664"/>
    <cellStyle name="20% - Акцент3 2" xfId="56"/>
    <cellStyle name="20% - Акцент3 2 2" xfId="102"/>
    <cellStyle name="20% - Акцент3 2 2 2" xfId="194"/>
    <cellStyle name="20% - Акцент3 2 2 2 2" xfId="544"/>
    <cellStyle name="20% - Акцент3 2 2 3" xfId="452"/>
    <cellStyle name="20% - Акцент3 2 2 4" xfId="360"/>
    <cellStyle name="20% - Акцент3 2 3" xfId="148"/>
    <cellStyle name="20% - Акцент3 2 3 2" xfId="498"/>
    <cellStyle name="20% - Акцент3 2 4" xfId="240"/>
    <cellStyle name="20% - Акцент3 2 4 2" xfId="590"/>
    <cellStyle name="20% - Акцент3 2 5" xfId="406"/>
    <cellStyle name="20% - Акцент3 2 6" xfId="314"/>
    <cellStyle name="20% - Акцент3 3" xfId="74"/>
    <cellStyle name="20% - Акцент3 3 2" xfId="120"/>
    <cellStyle name="20% - Акцент3 3 2 2" xfId="212"/>
    <cellStyle name="20% - Акцент3 3 2 2 2" xfId="562"/>
    <cellStyle name="20% - Акцент3 3 2 3" xfId="470"/>
    <cellStyle name="20% - Акцент3 3 2 4" xfId="378"/>
    <cellStyle name="20% - Акцент3 3 3" xfId="166"/>
    <cellStyle name="20% - Акцент3 3 3 2" xfId="516"/>
    <cellStyle name="20% - Акцент3 3 4" xfId="258"/>
    <cellStyle name="20% - Акцент3 3 4 2" xfId="608"/>
    <cellStyle name="20% - Акцент3 3 5" xfId="424"/>
    <cellStyle name="20% - Акцент3 3 6" xfId="332"/>
    <cellStyle name="20% - Акцент3 4" xfId="84"/>
    <cellStyle name="20% - Акцент3 4 2" xfId="176"/>
    <cellStyle name="20% - Акцент3 4 2 2" xfId="526"/>
    <cellStyle name="20% - Акцент3 4 3" xfId="272"/>
    <cellStyle name="20% - Акцент3 4 3 2" xfId="622"/>
    <cellStyle name="20% - Акцент3 4 4" xfId="434"/>
    <cellStyle name="20% - Акцент3 4 5" xfId="342"/>
    <cellStyle name="20% - Акцент3 5" xfId="130"/>
    <cellStyle name="20% - Акцент3 5 2" xfId="480"/>
    <cellStyle name="20% - Акцент3 6" xfId="222"/>
    <cellStyle name="20% - Акцент3 6 2" xfId="572"/>
    <cellStyle name="20% - Акцент3 7" xfId="286"/>
    <cellStyle name="20% - Акцент3 7 2" xfId="636"/>
    <cellStyle name="20% - Акцент3 8" xfId="388"/>
    <cellStyle name="20% - Акцент3 9" xfId="296"/>
    <cellStyle name="20% - Акцент4" xfId="4" builtinId="42" customBuiltin="1"/>
    <cellStyle name="20% - Акцент4 10" xfId="652"/>
    <cellStyle name="20% - Акцент4 11" xfId="666"/>
    <cellStyle name="20% - Акцент4 2" xfId="58"/>
    <cellStyle name="20% - Акцент4 2 2" xfId="104"/>
    <cellStyle name="20% - Акцент4 2 2 2" xfId="196"/>
    <cellStyle name="20% - Акцент4 2 2 2 2" xfId="546"/>
    <cellStyle name="20% - Акцент4 2 2 3" xfId="454"/>
    <cellStyle name="20% - Акцент4 2 2 4" xfId="362"/>
    <cellStyle name="20% - Акцент4 2 3" xfId="150"/>
    <cellStyle name="20% - Акцент4 2 3 2" xfId="500"/>
    <cellStyle name="20% - Акцент4 2 4" xfId="242"/>
    <cellStyle name="20% - Акцент4 2 4 2" xfId="592"/>
    <cellStyle name="20% - Акцент4 2 5" xfId="408"/>
    <cellStyle name="20% - Акцент4 2 6" xfId="316"/>
    <cellStyle name="20% - Акцент4 3" xfId="76"/>
    <cellStyle name="20% - Акцент4 3 2" xfId="122"/>
    <cellStyle name="20% - Акцент4 3 2 2" xfId="214"/>
    <cellStyle name="20% - Акцент4 3 2 2 2" xfId="564"/>
    <cellStyle name="20% - Акцент4 3 2 3" xfId="472"/>
    <cellStyle name="20% - Акцент4 3 2 4" xfId="380"/>
    <cellStyle name="20% - Акцент4 3 3" xfId="168"/>
    <cellStyle name="20% - Акцент4 3 3 2" xfId="518"/>
    <cellStyle name="20% - Акцент4 3 4" xfId="260"/>
    <cellStyle name="20% - Акцент4 3 4 2" xfId="610"/>
    <cellStyle name="20% - Акцент4 3 5" xfId="426"/>
    <cellStyle name="20% - Акцент4 3 6" xfId="334"/>
    <cellStyle name="20% - Акцент4 4" xfId="85"/>
    <cellStyle name="20% - Акцент4 4 2" xfId="177"/>
    <cellStyle name="20% - Акцент4 4 2 2" xfId="527"/>
    <cellStyle name="20% - Акцент4 4 3" xfId="274"/>
    <cellStyle name="20% - Акцент4 4 3 2" xfId="624"/>
    <cellStyle name="20% - Акцент4 4 4" xfId="435"/>
    <cellStyle name="20% - Акцент4 4 5" xfId="343"/>
    <cellStyle name="20% - Акцент4 5" xfId="131"/>
    <cellStyle name="20% - Акцент4 5 2" xfId="481"/>
    <cellStyle name="20% - Акцент4 6" xfId="223"/>
    <cellStyle name="20% - Акцент4 6 2" xfId="573"/>
    <cellStyle name="20% - Акцент4 7" xfId="288"/>
    <cellStyle name="20% - Акцент4 7 2" xfId="638"/>
    <cellStyle name="20% - Акцент4 8" xfId="389"/>
    <cellStyle name="20% - Акцент4 9" xfId="297"/>
    <cellStyle name="20% - Акцент5" xfId="5" builtinId="46" customBuiltin="1"/>
    <cellStyle name="20% - Акцент5 10" xfId="654"/>
    <cellStyle name="20% - Акцент5 11" xfId="668"/>
    <cellStyle name="20% - Акцент5 2" xfId="60"/>
    <cellStyle name="20% - Акцент5 2 2" xfId="106"/>
    <cellStyle name="20% - Акцент5 2 2 2" xfId="198"/>
    <cellStyle name="20% - Акцент5 2 2 2 2" xfId="548"/>
    <cellStyle name="20% - Акцент5 2 2 3" xfId="456"/>
    <cellStyle name="20% - Акцент5 2 2 4" xfId="364"/>
    <cellStyle name="20% - Акцент5 2 3" xfId="152"/>
    <cellStyle name="20% - Акцент5 2 3 2" xfId="502"/>
    <cellStyle name="20% - Акцент5 2 4" xfId="244"/>
    <cellStyle name="20% - Акцент5 2 4 2" xfId="594"/>
    <cellStyle name="20% - Акцент5 2 5" xfId="410"/>
    <cellStyle name="20% - Акцент5 2 6" xfId="318"/>
    <cellStyle name="20% - Акцент5 3" xfId="78"/>
    <cellStyle name="20% - Акцент5 3 2" xfId="124"/>
    <cellStyle name="20% - Акцент5 3 2 2" xfId="216"/>
    <cellStyle name="20% - Акцент5 3 2 2 2" xfId="566"/>
    <cellStyle name="20% - Акцент5 3 2 3" xfId="474"/>
    <cellStyle name="20% - Акцент5 3 2 4" xfId="382"/>
    <cellStyle name="20% - Акцент5 3 3" xfId="170"/>
    <cellStyle name="20% - Акцент5 3 3 2" xfId="520"/>
    <cellStyle name="20% - Акцент5 3 4" xfId="262"/>
    <cellStyle name="20% - Акцент5 3 4 2" xfId="612"/>
    <cellStyle name="20% - Акцент5 3 5" xfId="428"/>
    <cellStyle name="20% - Акцент5 3 6" xfId="336"/>
    <cellStyle name="20% - Акцент5 4" xfId="86"/>
    <cellStyle name="20% - Акцент5 4 2" xfId="178"/>
    <cellStyle name="20% - Акцент5 4 2 2" xfId="528"/>
    <cellStyle name="20% - Акцент5 4 3" xfId="276"/>
    <cellStyle name="20% - Акцент5 4 3 2" xfId="626"/>
    <cellStyle name="20% - Акцент5 4 4" xfId="436"/>
    <cellStyle name="20% - Акцент5 4 5" xfId="344"/>
    <cellStyle name="20% - Акцент5 5" xfId="132"/>
    <cellStyle name="20% - Акцент5 5 2" xfId="482"/>
    <cellStyle name="20% - Акцент5 6" xfId="224"/>
    <cellStyle name="20% - Акцент5 6 2" xfId="574"/>
    <cellStyle name="20% - Акцент5 7" xfId="290"/>
    <cellStyle name="20% - Акцент5 7 2" xfId="640"/>
    <cellStyle name="20% - Акцент5 8" xfId="390"/>
    <cellStyle name="20% - Акцент5 9" xfId="298"/>
    <cellStyle name="20% - Акцент6" xfId="6" builtinId="50" customBuiltin="1"/>
    <cellStyle name="20% - Акцент6 10" xfId="656"/>
    <cellStyle name="20% - Акцент6 11" xfId="670"/>
    <cellStyle name="20% - Акцент6 2" xfId="62"/>
    <cellStyle name="20% - Акцент6 2 2" xfId="108"/>
    <cellStyle name="20% - Акцент6 2 2 2" xfId="200"/>
    <cellStyle name="20% - Акцент6 2 2 2 2" xfId="550"/>
    <cellStyle name="20% - Акцент6 2 2 3" xfId="458"/>
    <cellStyle name="20% - Акцент6 2 2 4" xfId="366"/>
    <cellStyle name="20% - Акцент6 2 3" xfId="154"/>
    <cellStyle name="20% - Акцент6 2 3 2" xfId="504"/>
    <cellStyle name="20% - Акцент6 2 4" xfId="246"/>
    <cellStyle name="20% - Акцент6 2 4 2" xfId="596"/>
    <cellStyle name="20% - Акцент6 2 5" xfId="412"/>
    <cellStyle name="20% - Акцент6 2 6" xfId="320"/>
    <cellStyle name="20% - Акцент6 3" xfId="80"/>
    <cellStyle name="20% - Акцент6 3 2" xfId="126"/>
    <cellStyle name="20% - Акцент6 3 2 2" xfId="218"/>
    <cellStyle name="20% - Акцент6 3 2 2 2" xfId="568"/>
    <cellStyle name="20% - Акцент6 3 2 3" xfId="476"/>
    <cellStyle name="20% - Акцент6 3 2 4" xfId="384"/>
    <cellStyle name="20% - Акцент6 3 3" xfId="172"/>
    <cellStyle name="20% - Акцент6 3 3 2" xfId="522"/>
    <cellStyle name="20% - Акцент6 3 4" xfId="264"/>
    <cellStyle name="20% - Акцент6 3 4 2" xfId="614"/>
    <cellStyle name="20% - Акцент6 3 5" xfId="430"/>
    <cellStyle name="20% - Акцент6 3 6" xfId="338"/>
    <cellStyle name="20% - Акцент6 4" xfId="87"/>
    <cellStyle name="20% - Акцент6 4 2" xfId="179"/>
    <cellStyle name="20% - Акцент6 4 2 2" xfId="529"/>
    <cellStyle name="20% - Акцент6 4 3" xfId="278"/>
    <cellStyle name="20% - Акцент6 4 3 2" xfId="628"/>
    <cellStyle name="20% - Акцент6 4 4" xfId="437"/>
    <cellStyle name="20% - Акцент6 4 5" xfId="345"/>
    <cellStyle name="20% - Акцент6 5" xfId="133"/>
    <cellStyle name="20% - Акцент6 5 2" xfId="483"/>
    <cellStyle name="20% - Акцент6 6" xfId="225"/>
    <cellStyle name="20% - Акцент6 6 2" xfId="575"/>
    <cellStyle name="20% - Акцент6 7" xfId="292"/>
    <cellStyle name="20% - Акцент6 7 2" xfId="642"/>
    <cellStyle name="20% - Акцент6 8" xfId="391"/>
    <cellStyle name="20% - Акцент6 9" xfId="299"/>
    <cellStyle name="40% - Акцент1" xfId="7" builtinId="31" customBuiltin="1"/>
    <cellStyle name="40% - Акцент1 10" xfId="647"/>
    <cellStyle name="40% - Акцент1 11" xfId="661"/>
    <cellStyle name="40% - Акцент1 2" xfId="53"/>
    <cellStyle name="40% - Акцент1 2 2" xfId="99"/>
    <cellStyle name="40% - Акцент1 2 2 2" xfId="191"/>
    <cellStyle name="40% - Акцент1 2 2 2 2" xfId="541"/>
    <cellStyle name="40% - Акцент1 2 2 3" xfId="449"/>
    <cellStyle name="40% - Акцент1 2 2 4" xfId="357"/>
    <cellStyle name="40% - Акцент1 2 3" xfId="145"/>
    <cellStyle name="40% - Акцент1 2 3 2" xfId="495"/>
    <cellStyle name="40% - Акцент1 2 4" xfId="237"/>
    <cellStyle name="40% - Акцент1 2 4 2" xfId="587"/>
    <cellStyle name="40% - Акцент1 2 5" xfId="403"/>
    <cellStyle name="40% - Акцент1 2 6" xfId="311"/>
    <cellStyle name="40% - Акцент1 3" xfId="71"/>
    <cellStyle name="40% - Акцент1 3 2" xfId="117"/>
    <cellStyle name="40% - Акцент1 3 2 2" xfId="209"/>
    <cellStyle name="40% - Акцент1 3 2 2 2" xfId="559"/>
    <cellStyle name="40% - Акцент1 3 2 3" xfId="467"/>
    <cellStyle name="40% - Акцент1 3 2 4" xfId="375"/>
    <cellStyle name="40% - Акцент1 3 3" xfId="163"/>
    <cellStyle name="40% - Акцент1 3 3 2" xfId="513"/>
    <cellStyle name="40% - Акцент1 3 4" xfId="255"/>
    <cellStyle name="40% - Акцент1 3 4 2" xfId="605"/>
    <cellStyle name="40% - Акцент1 3 5" xfId="421"/>
    <cellStyle name="40% - Акцент1 3 6" xfId="329"/>
    <cellStyle name="40% - Акцент1 4" xfId="88"/>
    <cellStyle name="40% - Акцент1 4 2" xfId="180"/>
    <cellStyle name="40% - Акцент1 4 2 2" xfId="530"/>
    <cellStyle name="40% - Акцент1 4 3" xfId="269"/>
    <cellStyle name="40% - Акцент1 4 3 2" xfId="619"/>
    <cellStyle name="40% - Акцент1 4 4" xfId="438"/>
    <cellStyle name="40% - Акцент1 4 5" xfId="346"/>
    <cellStyle name="40% - Акцент1 5" xfId="134"/>
    <cellStyle name="40% - Акцент1 5 2" xfId="484"/>
    <cellStyle name="40% - Акцент1 6" xfId="226"/>
    <cellStyle name="40% - Акцент1 6 2" xfId="576"/>
    <cellStyle name="40% - Акцент1 7" xfId="283"/>
    <cellStyle name="40% - Акцент1 7 2" xfId="633"/>
    <cellStyle name="40% - Акцент1 8" xfId="392"/>
    <cellStyle name="40% - Акцент1 9" xfId="300"/>
    <cellStyle name="40% - Акцент2" xfId="8" builtinId="35" customBuiltin="1"/>
    <cellStyle name="40% - Акцент2 10" xfId="649"/>
    <cellStyle name="40% - Акцент2 11" xfId="663"/>
    <cellStyle name="40% - Акцент2 2" xfId="55"/>
    <cellStyle name="40% - Акцент2 2 2" xfId="101"/>
    <cellStyle name="40% - Акцент2 2 2 2" xfId="193"/>
    <cellStyle name="40% - Акцент2 2 2 2 2" xfId="543"/>
    <cellStyle name="40% - Акцент2 2 2 3" xfId="451"/>
    <cellStyle name="40% - Акцент2 2 2 4" xfId="359"/>
    <cellStyle name="40% - Акцент2 2 3" xfId="147"/>
    <cellStyle name="40% - Акцент2 2 3 2" xfId="497"/>
    <cellStyle name="40% - Акцент2 2 4" xfId="239"/>
    <cellStyle name="40% - Акцент2 2 4 2" xfId="589"/>
    <cellStyle name="40% - Акцент2 2 5" xfId="405"/>
    <cellStyle name="40% - Акцент2 2 6" xfId="313"/>
    <cellStyle name="40% - Акцент2 3" xfId="73"/>
    <cellStyle name="40% - Акцент2 3 2" xfId="119"/>
    <cellStyle name="40% - Акцент2 3 2 2" xfId="211"/>
    <cellStyle name="40% - Акцент2 3 2 2 2" xfId="561"/>
    <cellStyle name="40% - Акцент2 3 2 3" xfId="469"/>
    <cellStyle name="40% - Акцент2 3 2 4" xfId="377"/>
    <cellStyle name="40% - Акцент2 3 3" xfId="165"/>
    <cellStyle name="40% - Акцент2 3 3 2" xfId="515"/>
    <cellStyle name="40% - Акцент2 3 4" xfId="257"/>
    <cellStyle name="40% - Акцент2 3 4 2" xfId="607"/>
    <cellStyle name="40% - Акцент2 3 5" xfId="423"/>
    <cellStyle name="40% - Акцент2 3 6" xfId="331"/>
    <cellStyle name="40% - Акцент2 4" xfId="89"/>
    <cellStyle name="40% - Акцент2 4 2" xfId="181"/>
    <cellStyle name="40% - Акцент2 4 2 2" xfId="531"/>
    <cellStyle name="40% - Акцент2 4 3" xfId="271"/>
    <cellStyle name="40% - Акцент2 4 3 2" xfId="621"/>
    <cellStyle name="40% - Акцент2 4 4" xfId="439"/>
    <cellStyle name="40% - Акцент2 4 5" xfId="347"/>
    <cellStyle name="40% - Акцент2 5" xfId="135"/>
    <cellStyle name="40% - Акцент2 5 2" xfId="485"/>
    <cellStyle name="40% - Акцент2 6" xfId="227"/>
    <cellStyle name="40% - Акцент2 6 2" xfId="577"/>
    <cellStyle name="40% - Акцент2 7" xfId="285"/>
    <cellStyle name="40% - Акцент2 7 2" xfId="635"/>
    <cellStyle name="40% - Акцент2 8" xfId="393"/>
    <cellStyle name="40% - Акцент2 9" xfId="301"/>
    <cellStyle name="40% - Акцент3" xfId="9" builtinId="39" customBuiltin="1"/>
    <cellStyle name="40% - Акцент3 10" xfId="651"/>
    <cellStyle name="40% - Акцент3 11" xfId="665"/>
    <cellStyle name="40% - Акцент3 2" xfId="57"/>
    <cellStyle name="40% - Акцент3 2 2" xfId="103"/>
    <cellStyle name="40% - Акцент3 2 2 2" xfId="195"/>
    <cellStyle name="40% - Акцент3 2 2 2 2" xfId="545"/>
    <cellStyle name="40% - Акцент3 2 2 3" xfId="453"/>
    <cellStyle name="40% - Акцент3 2 2 4" xfId="361"/>
    <cellStyle name="40% - Акцент3 2 3" xfId="149"/>
    <cellStyle name="40% - Акцент3 2 3 2" xfId="499"/>
    <cellStyle name="40% - Акцент3 2 4" xfId="241"/>
    <cellStyle name="40% - Акцент3 2 4 2" xfId="591"/>
    <cellStyle name="40% - Акцент3 2 5" xfId="407"/>
    <cellStyle name="40% - Акцент3 2 6" xfId="315"/>
    <cellStyle name="40% - Акцент3 3" xfId="75"/>
    <cellStyle name="40% - Акцент3 3 2" xfId="121"/>
    <cellStyle name="40% - Акцент3 3 2 2" xfId="213"/>
    <cellStyle name="40% - Акцент3 3 2 2 2" xfId="563"/>
    <cellStyle name="40% - Акцент3 3 2 3" xfId="471"/>
    <cellStyle name="40% - Акцент3 3 2 4" xfId="379"/>
    <cellStyle name="40% - Акцент3 3 3" xfId="167"/>
    <cellStyle name="40% - Акцент3 3 3 2" xfId="517"/>
    <cellStyle name="40% - Акцент3 3 4" xfId="259"/>
    <cellStyle name="40% - Акцент3 3 4 2" xfId="609"/>
    <cellStyle name="40% - Акцент3 3 5" xfId="425"/>
    <cellStyle name="40% - Акцент3 3 6" xfId="333"/>
    <cellStyle name="40% - Акцент3 4" xfId="90"/>
    <cellStyle name="40% - Акцент3 4 2" xfId="182"/>
    <cellStyle name="40% - Акцент3 4 2 2" xfId="532"/>
    <cellStyle name="40% - Акцент3 4 3" xfId="273"/>
    <cellStyle name="40% - Акцент3 4 3 2" xfId="623"/>
    <cellStyle name="40% - Акцент3 4 4" xfId="440"/>
    <cellStyle name="40% - Акцент3 4 5" xfId="348"/>
    <cellStyle name="40% - Акцент3 5" xfId="136"/>
    <cellStyle name="40% - Акцент3 5 2" xfId="486"/>
    <cellStyle name="40% - Акцент3 6" xfId="228"/>
    <cellStyle name="40% - Акцент3 6 2" xfId="578"/>
    <cellStyle name="40% - Акцент3 7" xfId="287"/>
    <cellStyle name="40% - Акцент3 7 2" xfId="637"/>
    <cellStyle name="40% - Акцент3 8" xfId="394"/>
    <cellStyle name="40% - Акцент3 9" xfId="302"/>
    <cellStyle name="40% - Акцент4" xfId="10" builtinId="43" customBuiltin="1"/>
    <cellStyle name="40% - Акцент4 10" xfId="653"/>
    <cellStyle name="40% - Акцент4 11" xfId="667"/>
    <cellStyle name="40% - Акцент4 2" xfId="59"/>
    <cellStyle name="40% - Акцент4 2 2" xfId="105"/>
    <cellStyle name="40% - Акцент4 2 2 2" xfId="197"/>
    <cellStyle name="40% - Акцент4 2 2 2 2" xfId="547"/>
    <cellStyle name="40% - Акцент4 2 2 3" xfId="455"/>
    <cellStyle name="40% - Акцент4 2 2 4" xfId="363"/>
    <cellStyle name="40% - Акцент4 2 3" xfId="151"/>
    <cellStyle name="40% - Акцент4 2 3 2" xfId="501"/>
    <cellStyle name="40% - Акцент4 2 4" xfId="243"/>
    <cellStyle name="40% - Акцент4 2 4 2" xfId="593"/>
    <cellStyle name="40% - Акцент4 2 5" xfId="409"/>
    <cellStyle name="40% - Акцент4 2 6" xfId="317"/>
    <cellStyle name="40% - Акцент4 3" xfId="77"/>
    <cellStyle name="40% - Акцент4 3 2" xfId="123"/>
    <cellStyle name="40% - Акцент4 3 2 2" xfId="215"/>
    <cellStyle name="40% - Акцент4 3 2 2 2" xfId="565"/>
    <cellStyle name="40% - Акцент4 3 2 3" xfId="473"/>
    <cellStyle name="40% - Акцент4 3 2 4" xfId="381"/>
    <cellStyle name="40% - Акцент4 3 3" xfId="169"/>
    <cellStyle name="40% - Акцент4 3 3 2" xfId="519"/>
    <cellStyle name="40% - Акцент4 3 4" xfId="261"/>
    <cellStyle name="40% - Акцент4 3 4 2" xfId="611"/>
    <cellStyle name="40% - Акцент4 3 5" xfId="427"/>
    <cellStyle name="40% - Акцент4 3 6" xfId="335"/>
    <cellStyle name="40% - Акцент4 4" xfId="91"/>
    <cellStyle name="40% - Акцент4 4 2" xfId="183"/>
    <cellStyle name="40% - Акцент4 4 2 2" xfId="533"/>
    <cellStyle name="40% - Акцент4 4 3" xfId="275"/>
    <cellStyle name="40% - Акцент4 4 3 2" xfId="625"/>
    <cellStyle name="40% - Акцент4 4 4" xfId="441"/>
    <cellStyle name="40% - Акцент4 4 5" xfId="349"/>
    <cellStyle name="40% - Акцент4 5" xfId="137"/>
    <cellStyle name="40% - Акцент4 5 2" xfId="487"/>
    <cellStyle name="40% - Акцент4 6" xfId="229"/>
    <cellStyle name="40% - Акцент4 6 2" xfId="579"/>
    <cellStyle name="40% - Акцент4 7" xfId="289"/>
    <cellStyle name="40% - Акцент4 7 2" xfId="639"/>
    <cellStyle name="40% - Акцент4 8" xfId="395"/>
    <cellStyle name="40% - Акцент4 9" xfId="303"/>
    <cellStyle name="40% - Акцент5" xfId="11" builtinId="47" customBuiltin="1"/>
    <cellStyle name="40% - Акцент5 10" xfId="655"/>
    <cellStyle name="40% - Акцент5 11" xfId="669"/>
    <cellStyle name="40% - Акцент5 2" xfId="61"/>
    <cellStyle name="40% - Акцент5 2 2" xfId="107"/>
    <cellStyle name="40% - Акцент5 2 2 2" xfId="199"/>
    <cellStyle name="40% - Акцент5 2 2 2 2" xfId="549"/>
    <cellStyle name="40% - Акцент5 2 2 3" xfId="457"/>
    <cellStyle name="40% - Акцент5 2 2 4" xfId="365"/>
    <cellStyle name="40% - Акцент5 2 3" xfId="153"/>
    <cellStyle name="40% - Акцент5 2 3 2" xfId="503"/>
    <cellStyle name="40% - Акцент5 2 4" xfId="245"/>
    <cellStyle name="40% - Акцент5 2 4 2" xfId="595"/>
    <cellStyle name="40% - Акцент5 2 5" xfId="411"/>
    <cellStyle name="40% - Акцент5 2 6" xfId="319"/>
    <cellStyle name="40% - Акцент5 3" xfId="79"/>
    <cellStyle name="40% - Акцент5 3 2" xfId="125"/>
    <cellStyle name="40% - Акцент5 3 2 2" xfId="217"/>
    <cellStyle name="40% - Акцент5 3 2 2 2" xfId="567"/>
    <cellStyle name="40% - Акцент5 3 2 3" xfId="475"/>
    <cellStyle name="40% - Акцент5 3 2 4" xfId="383"/>
    <cellStyle name="40% - Акцент5 3 3" xfId="171"/>
    <cellStyle name="40% - Акцент5 3 3 2" xfId="521"/>
    <cellStyle name="40% - Акцент5 3 4" xfId="263"/>
    <cellStyle name="40% - Акцент5 3 4 2" xfId="613"/>
    <cellStyle name="40% - Акцент5 3 5" xfId="429"/>
    <cellStyle name="40% - Акцент5 3 6" xfId="337"/>
    <cellStyle name="40% - Акцент5 4" xfId="92"/>
    <cellStyle name="40% - Акцент5 4 2" xfId="184"/>
    <cellStyle name="40% - Акцент5 4 2 2" xfId="534"/>
    <cellStyle name="40% - Акцент5 4 3" xfId="277"/>
    <cellStyle name="40% - Акцент5 4 3 2" xfId="627"/>
    <cellStyle name="40% - Акцент5 4 4" xfId="442"/>
    <cellStyle name="40% - Акцент5 4 5" xfId="350"/>
    <cellStyle name="40% - Акцент5 5" xfId="138"/>
    <cellStyle name="40% - Акцент5 5 2" xfId="488"/>
    <cellStyle name="40% - Акцент5 6" xfId="230"/>
    <cellStyle name="40% - Акцент5 6 2" xfId="580"/>
    <cellStyle name="40% - Акцент5 7" xfId="291"/>
    <cellStyle name="40% - Акцент5 7 2" xfId="641"/>
    <cellStyle name="40% - Акцент5 8" xfId="396"/>
    <cellStyle name="40% - Акцент5 9" xfId="304"/>
    <cellStyle name="40% - Акцент6" xfId="12" builtinId="51" customBuiltin="1"/>
    <cellStyle name="40% - Акцент6 10" xfId="657"/>
    <cellStyle name="40% - Акцент6 11" xfId="671"/>
    <cellStyle name="40% - Акцент6 2" xfId="63"/>
    <cellStyle name="40% - Акцент6 2 2" xfId="109"/>
    <cellStyle name="40% - Акцент6 2 2 2" xfId="201"/>
    <cellStyle name="40% - Акцент6 2 2 2 2" xfId="551"/>
    <cellStyle name="40% - Акцент6 2 2 3" xfId="459"/>
    <cellStyle name="40% - Акцент6 2 2 4" xfId="367"/>
    <cellStyle name="40% - Акцент6 2 3" xfId="155"/>
    <cellStyle name="40% - Акцент6 2 3 2" xfId="505"/>
    <cellStyle name="40% - Акцент6 2 4" xfId="247"/>
    <cellStyle name="40% - Акцент6 2 4 2" xfId="597"/>
    <cellStyle name="40% - Акцент6 2 5" xfId="413"/>
    <cellStyle name="40% - Акцент6 2 6" xfId="321"/>
    <cellStyle name="40% - Акцент6 3" xfId="81"/>
    <cellStyle name="40% - Акцент6 3 2" xfId="127"/>
    <cellStyle name="40% - Акцент6 3 2 2" xfId="219"/>
    <cellStyle name="40% - Акцент6 3 2 2 2" xfId="569"/>
    <cellStyle name="40% - Акцент6 3 2 3" xfId="477"/>
    <cellStyle name="40% - Акцент6 3 2 4" xfId="385"/>
    <cellStyle name="40% - Акцент6 3 3" xfId="173"/>
    <cellStyle name="40% - Акцент6 3 3 2" xfId="523"/>
    <cellStyle name="40% - Акцент6 3 4" xfId="265"/>
    <cellStyle name="40% - Акцент6 3 4 2" xfId="615"/>
    <cellStyle name="40% - Акцент6 3 5" xfId="431"/>
    <cellStyle name="40% - Акцент6 3 6" xfId="339"/>
    <cellStyle name="40% - Акцент6 4" xfId="93"/>
    <cellStyle name="40% - Акцент6 4 2" xfId="185"/>
    <cellStyle name="40% - Акцент6 4 2 2" xfId="535"/>
    <cellStyle name="40% - Акцент6 4 3" xfId="279"/>
    <cellStyle name="40% - Акцент6 4 3 2" xfId="629"/>
    <cellStyle name="40% - Акцент6 4 4" xfId="443"/>
    <cellStyle name="40% - Акцент6 4 5" xfId="351"/>
    <cellStyle name="40% - Акцент6 5" xfId="139"/>
    <cellStyle name="40% - Акцент6 5 2" xfId="489"/>
    <cellStyle name="40% - Акцент6 6" xfId="231"/>
    <cellStyle name="40% - Акцент6 6 2" xfId="581"/>
    <cellStyle name="40% - Акцент6 7" xfId="293"/>
    <cellStyle name="40% - Акцент6 7 2" xfId="643"/>
    <cellStyle name="40% - Акцент6 8" xfId="397"/>
    <cellStyle name="40% - Акцент6 9" xfId="305"/>
    <cellStyle name="60% - Акцент1" xfId="13" builtinId="32" customBuiltin="1"/>
    <cellStyle name="60% - Акцент2" xfId="14" builtinId="36" customBuiltin="1"/>
    <cellStyle name="60% - Акцент3" xfId="15" builtinId="40" customBuiltin="1"/>
    <cellStyle name="60% - Акцент4" xfId="16" builtinId="44" customBuiltin="1"/>
    <cellStyle name="60% - Акцент5" xfId="17" builtinId="48" customBuiltin="1"/>
    <cellStyle name="60% - Акцент6" xfId="18" builtinId="52" customBuiltin="1"/>
    <cellStyle name="Акцент1" xfId="19" builtinId="29" customBuiltin="1"/>
    <cellStyle name="Акцент2" xfId="20" builtinId="33" customBuiltin="1"/>
    <cellStyle name="Акцент3" xfId="21" builtinId="37" customBuiltin="1"/>
    <cellStyle name="Акцент4" xfId="22" builtinId="41" customBuiltin="1"/>
    <cellStyle name="Акцент5" xfId="23" builtinId="45" customBuiltin="1"/>
    <cellStyle name="Акцент6" xfId="24" builtinId="49" customBuiltin="1"/>
    <cellStyle name="Ввод " xfId="25" builtinId="20" customBuiltin="1"/>
    <cellStyle name="Вывод" xfId="26" builtinId="21" customBuiltin="1"/>
    <cellStyle name="Вычисление" xfId="27" builtinId="22" customBuiltin="1"/>
    <cellStyle name="Денежный" xfId="674" builtinId="4"/>
    <cellStyle name="Заголовок 1" xfId="28" builtinId="16" customBuiltin="1"/>
    <cellStyle name="Заголовок 2" xfId="29" builtinId="17" customBuiltin="1"/>
    <cellStyle name="Заголовок 3" xfId="30" builtinId="18" customBuiltin="1"/>
    <cellStyle name="Заголовок 4" xfId="31" builtinId="19" customBuiltin="1"/>
    <cellStyle name="Итог" xfId="32" builtinId="25" customBuiltin="1"/>
    <cellStyle name="Контрольная ячейка" xfId="33" builtinId="23" customBuiltin="1"/>
    <cellStyle name="Название" xfId="34" builtinId="15" customBuiltin="1"/>
    <cellStyle name="Нейтральный" xfId="35" builtinId="28" customBuiltin="1"/>
    <cellStyle name="Обычный" xfId="0" builtinId="0"/>
    <cellStyle name="Обычный 10" xfId="280"/>
    <cellStyle name="Обычный 10 2" xfId="630"/>
    <cellStyle name="Обычный 11" xfId="644"/>
    <cellStyle name="Обычный 12" xfId="658"/>
    <cellStyle name="Обычный 13" xfId="672"/>
    <cellStyle name="Обычный 14" xfId="673"/>
    <cellStyle name="Обычный 15" xfId="675"/>
    <cellStyle name="Обычный 2" xfId="36"/>
    <cellStyle name="Обычный 2 2" xfId="94"/>
    <cellStyle name="Обычный 2 2 2" xfId="186"/>
    <cellStyle name="Обычный 2 2 2 2" xfId="536"/>
    <cellStyle name="Обычный 2 2 3" xfId="444"/>
    <cellStyle name="Обычный 2 2 4" xfId="352"/>
    <cellStyle name="Обычный 2 3" xfId="140"/>
    <cellStyle name="Обычный 2 3 2" xfId="490"/>
    <cellStyle name="Обычный 2 4" xfId="232"/>
    <cellStyle name="Обычный 2 4 2" xfId="582"/>
    <cellStyle name="Обычный 2 5" xfId="398"/>
    <cellStyle name="Обычный 2 6" xfId="306"/>
    <cellStyle name="Обычный 3" xfId="50"/>
    <cellStyle name="Обычный 3 2" xfId="96"/>
    <cellStyle name="Обычный 3 2 2" xfId="188"/>
    <cellStyle name="Обычный 3 2 2 2" xfId="538"/>
    <cellStyle name="Обычный 3 2 3" xfId="446"/>
    <cellStyle name="Обычный 3 2 4" xfId="354"/>
    <cellStyle name="Обычный 3 3" xfId="142"/>
    <cellStyle name="Обычный 3 3 2" xfId="492"/>
    <cellStyle name="Обычный 3 4" xfId="234"/>
    <cellStyle name="Обычный 3 4 2" xfId="584"/>
    <cellStyle name="Обычный 3 5" xfId="400"/>
    <cellStyle name="Обычный 3 6" xfId="308"/>
    <cellStyle name="Обычный 4" xfId="64"/>
    <cellStyle name="Обычный 4 2" xfId="110"/>
    <cellStyle name="Обычный 4 2 2" xfId="202"/>
    <cellStyle name="Обычный 4 2 2 2" xfId="552"/>
    <cellStyle name="Обычный 4 2 3" xfId="460"/>
    <cellStyle name="Обычный 4 2 4" xfId="368"/>
    <cellStyle name="Обычный 4 3" xfId="156"/>
    <cellStyle name="Обычный 4 3 2" xfId="506"/>
    <cellStyle name="Обычный 4 4" xfId="248"/>
    <cellStyle name="Обычный 4 4 2" xfId="598"/>
    <cellStyle name="Обычный 4 5" xfId="414"/>
    <cellStyle name="Обычный 4 6" xfId="322"/>
    <cellStyle name="Обычный 5" xfId="65"/>
    <cellStyle name="Обычный 5 2" xfId="111"/>
    <cellStyle name="Обычный 5 2 2" xfId="203"/>
    <cellStyle name="Обычный 5 2 2 2" xfId="553"/>
    <cellStyle name="Обычный 5 2 3" xfId="461"/>
    <cellStyle name="Обычный 5 2 4" xfId="369"/>
    <cellStyle name="Обычный 5 3" xfId="157"/>
    <cellStyle name="Обычный 5 3 2" xfId="507"/>
    <cellStyle name="Обычный 5 4" xfId="249"/>
    <cellStyle name="Обычный 5 4 2" xfId="599"/>
    <cellStyle name="Обычный 5 5" xfId="415"/>
    <cellStyle name="Обычный 5 6" xfId="323"/>
    <cellStyle name="Обычный 6" xfId="66"/>
    <cellStyle name="Обычный 6 2" xfId="112"/>
    <cellStyle name="Обычный 6 2 2" xfId="204"/>
    <cellStyle name="Обычный 6 2 2 2" xfId="554"/>
    <cellStyle name="Обычный 6 2 3" xfId="462"/>
    <cellStyle name="Обычный 6 2 4" xfId="370"/>
    <cellStyle name="Обычный 6 3" xfId="158"/>
    <cellStyle name="Обычный 6 3 2" xfId="508"/>
    <cellStyle name="Обычный 6 4" xfId="250"/>
    <cellStyle name="Обычный 6 4 2" xfId="600"/>
    <cellStyle name="Обычный 6 5" xfId="416"/>
    <cellStyle name="Обычный 6 6" xfId="324"/>
    <cellStyle name="Обычный 7" xfId="67"/>
    <cellStyle name="Обычный 7 2" xfId="113"/>
    <cellStyle name="Обычный 7 2 2" xfId="205"/>
    <cellStyle name="Обычный 7 2 2 2" xfId="555"/>
    <cellStyle name="Обычный 7 2 3" xfId="463"/>
    <cellStyle name="Обычный 7 2 4" xfId="371"/>
    <cellStyle name="Обычный 7 3" xfId="159"/>
    <cellStyle name="Обычный 7 3 2" xfId="509"/>
    <cellStyle name="Обычный 7 4" xfId="251"/>
    <cellStyle name="Обычный 7 4 2" xfId="601"/>
    <cellStyle name="Обычный 7 5" xfId="417"/>
    <cellStyle name="Обычный 7 6" xfId="325"/>
    <cellStyle name="Обычный 8" xfId="68"/>
    <cellStyle name="Обычный 8 2" xfId="114"/>
    <cellStyle name="Обычный 8 2 2" xfId="206"/>
    <cellStyle name="Обычный 8 2 2 2" xfId="556"/>
    <cellStyle name="Обычный 8 2 3" xfId="464"/>
    <cellStyle name="Обычный 8 2 4" xfId="372"/>
    <cellStyle name="Обычный 8 3" xfId="160"/>
    <cellStyle name="Обычный 8 3 2" xfId="510"/>
    <cellStyle name="Обычный 8 4" xfId="252"/>
    <cellStyle name="Обычный 8 4 2" xfId="602"/>
    <cellStyle name="Обычный 8 5" xfId="418"/>
    <cellStyle name="Обычный 8 6" xfId="326"/>
    <cellStyle name="Обычный 9" xfId="266"/>
    <cellStyle name="Обычный 9 2" xfId="616"/>
    <cellStyle name="Обычный_CLAC_1" xfId="37"/>
    <cellStyle name="Обычный_CLRE_1" xfId="38"/>
    <cellStyle name="Обычный_CLVL_1" xfId="39"/>
    <cellStyle name="Обычный_EQEQ" xfId="40"/>
    <cellStyle name="Обычный_Март2010" xfId="41"/>
    <cellStyle name="Плохой" xfId="42" builtinId="27" customBuiltin="1"/>
    <cellStyle name="Пояснение" xfId="43" builtinId="53" customBuiltin="1"/>
    <cellStyle name="Примечание 2" xfId="44"/>
    <cellStyle name="Примечание 2 2" xfId="95"/>
    <cellStyle name="Примечание 2 2 2" xfId="187"/>
    <cellStyle name="Примечание 2 2 2 2" xfId="537"/>
    <cellStyle name="Примечание 2 2 3" xfId="445"/>
    <cellStyle name="Примечание 2 2 4" xfId="353"/>
    <cellStyle name="Примечание 2 3" xfId="141"/>
    <cellStyle name="Примечание 2 3 2" xfId="491"/>
    <cellStyle name="Примечание 2 4" xfId="233"/>
    <cellStyle name="Примечание 2 4 2" xfId="583"/>
    <cellStyle name="Примечание 2 5" xfId="399"/>
    <cellStyle name="Примечание 2 6" xfId="307"/>
    <cellStyle name="Примечание 3" xfId="51"/>
    <cellStyle name="Примечание 3 2" xfId="97"/>
    <cellStyle name="Примечание 3 2 2" xfId="189"/>
    <cellStyle name="Примечание 3 2 2 2" xfId="539"/>
    <cellStyle name="Примечание 3 2 3" xfId="447"/>
    <cellStyle name="Примечание 3 2 4" xfId="355"/>
    <cellStyle name="Примечание 3 3" xfId="143"/>
    <cellStyle name="Примечание 3 3 2" xfId="493"/>
    <cellStyle name="Примечание 3 4" xfId="235"/>
    <cellStyle name="Примечание 3 4 2" xfId="585"/>
    <cellStyle name="Примечание 3 5" xfId="401"/>
    <cellStyle name="Примечание 3 6" xfId="309"/>
    <cellStyle name="Примечание 4" xfId="69"/>
    <cellStyle name="Примечание 4 2" xfId="115"/>
    <cellStyle name="Примечание 4 2 2" xfId="207"/>
    <cellStyle name="Примечание 4 2 2 2" xfId="557"/>
    <cellStyle name="Примечание 4 2 3" xfId="465"/>
    <cellStyle name="Примечание 4 2 4" xfId="373"/>
    <cellStyle name="Примечание 4 3" xfId="161"/>
    <cellStyle name="Примечание 4 3 2" xfId="511"/>
    <cellStyle name="Примечание 4 4" xfId="253"/>
    <cellStyle name="Примечание 4 4 2" xfId="603"/>
    <cellStyle name="Примечание 4 5" xfId="419"/>
    <cellStyle name="Примечание 4 6" xfId="327"/>
    <cellStyle name="Примечание 5" xfId="267"/>
    <cellStyle name="Примечание 5 2" xfId="617"/>
    <cellStyle name="Примечание 6" xfId="281"/>
    <cellStyle name="Примечание 6 2" xfId="631"/>
    <cellStyle name="Примечание 7" xfId="645"/>
    <cellStyle name="Примечание 8" xfId="659"/>
    <cellStyle name="Процентный" xfId="45" builtinId="5"/>
    <cellStyle name="Связанная ячейка" xfId="46" builtinId="24" customBuiltin="1"/>
    <cellStyle name="Текст предупреждения" xfId="47" builtinId="11" customBuiltin="1"/>
    <cellStyle name="Финансовый" xfId="48" builtinId="3"/>
    <cellStyle name="Хороший" xfId="49" builtinId="26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Январь2013!$B$50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Январь2013!$C$49:$H$49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Январь2013!$C$50:$H$50</c:f>
              <c:numCache>
                <c:formatCode>General</c:formatCode>
                <c:ptCount val="6"/>
                <c:pt idx="2" formatCode="#,##0">
                  <c:v>671475</c:v>
                </c:pt>
                <c:pt idx="3" formatCode="#,##0">
                  <c:v>714295</c:v>
                </c:pt>
                <c:pt idx="4" formatCode="#,##0">
                  <c:v>772175</c:v>
                </c:pt>
                <c:pt idx="5" formatCode="#,##0">
                  <c:v>805549</c:v>
                </c:pt>
              </c:numCache>
            </c:numRef>
          </c:val>
        </c:ser>
        <c:ser>
          <c:idx val="1"/>
          <c:order val="1"/>
          <c:tx>
            <c:strRef>
              <c:f>Январь2013!$B$51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Январь2013!$C$49:$H$49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Январь2013!$C$51:$H$51</c:f>
              <c:numCache>
                <c:formatCode>General</c:formatCode>
                <c:ptCount val="6"/>
                <c:pt idx="2" formatCode="#,##0">
                  <c:v>16364</c:v>
                </c:pt>
                <c:pt idx="3" formatCode="#,##0">
                  <c:v>17170</c:v>
                </c:pt>
                <c:pt idx="4" formatCode="#,##0">
                  <c:v>16850</c:v>
                </c:pt>
                <c:pt idx="5" formatCode="#,##0">
                  <c:v>17821</c:v>
                </c:pt>
              </c:numCache>
            </c:numRef>
          </c:val>
        </c:ser>
        <c:ser>
          <c:idx val="2"/>
          <c:order val="2"/>
          <c:tx>
            <c:strRef>
              <c:f>Январь2013!$B$52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Январь2013!$C$49:$H$49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Январь2013!$C$52:$H$52</c:f>
              <c:numCache>
                <c:formatCode>General</c:formatCode>
                <c:ptCount val="6"/>
                <c:pt idx="2" formatCode="#,##0">
                  <c:v>3851</c:v>
                </c:pt>
                <c:pt idx="3" formatCode="#,##0">
                  <c:v>4295</c:v>
                </c:pt>
                <c:pt idx="4" formatCode="#,##0">
                  <c:v>5058</c:v>
                </c:pt>
                <c:pt idx="5" formatCode="#,##0">
                  <c:v>5876</c:v>
                </c:pt>
              </c:numCache>
            </c:numRef>
          </c:val>
        </c:ser>
        <c:ser>
          <c:idx val="3"/>
          <c:order val="3"/>
          <c:tx>
            <c:strRef>
              <c:f>Январь2013!$B$53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Январь2013!$C$49:$H$49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Январь2013!$C$53:$H$53</c:f>
              <c:numCache>
                <c:formatCode>General</c:formatCode>
                <c:ptCount val="6"/>
                <c:pt idx="2" formatCode="#,##0">
                  <c:v>4717</c:v>
                </c:pt>
                <c:pt idx="3" formatCode="#,##0">
                  <c:v>5348</c:v>
                </c:pt>
                <c:pt idx="4" formatCode="#,##0">
                  <c:v>5242</c:v>
                </c:pt>
                <c:pt idx="5" formatCode="#,##0">
                  <c:v>5261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7549952"/>
        <c:axId val="207551488"/>
        <c:axId val="0"/>
      </c:bar3DChart>
      <c:dateAx>
        <c:axId val="20754995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7551488"/>
        <c:crosses val="autoZero"/>
        <c:auto val="1"/>
        <c:lblOffset val="100"/>
        <c:baseTimeUnit val="years"/>
        <c:majorUnit val="1"/>
        <c:minorUnit val="1"/>
      </c:dateAx>
      <c:valAx>
        <c:axId val="207551488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754995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Январь2013!$B$84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Январь2013!$C$83:$H$83</c:f>
              <c:numCache>
                <c:formatCode>[$-419]mmmm\ yyyy;@</c:formatCode>
                <c:ptCount val="6"/>
                <c:pt idx="0">
                  <c:v>41151</c:v>
                </c:pt>
                <c:pt idx="1">
                  <c:v>41182</c:v>
                </c:pt>
                <c:pt idx="2">
                  <c:v>41212</c:v>
                </c:pt>
                <c:pt idx="3">
                  <c:v>41243</c:v>
                </c:pt>
                <c:pt idx="4">
                  <c:v>41273</c:v>
                </c:pt>
                <c:pt idx="5">
                  <c:v>41304</c:v>
                </c:pt>
              </c:numCache>
            </c:numRef>
          </c:cat>
          <c:val>
            <c:numRef>
              <c:f>Январь2013!$C$84:$H$84</c:f>
              <c:numCache>
                <c:formatCode>#,##0</c:formatCode>
                <c:ptCount val="6"/>
                <c:pt idx="0">
                  <c:v>791512</c:v>
                </c:pt>
                <c:pt idx="1">
                  <c:v>796839</c:v>
                </c:pt>
                <c:pt idx="2">
                  <c:v>804740</c:v>
                </c:pt>
                <c:pt idx="3">
                  <c:v>815485</c:v>
                </c:pt>
                <c:pt idx="4">
                  <c:v>805549</c:v>
                </c:pt>
                <c:pt idx="5">
                  <c:v>833454</c:v>
                </c:pt>
              </c:numCache>
            </c:numRef>
          </c:val>
        </c:ser>
        <c:ser>
          <c:idx val="1"/>
          <c:order val="1"/>
          <c:tx>
            <c:strRef>
              <c:f>Январь2013!$B$85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Январь2013!$C$83:$H$83</c:f>
              <c:numCache>
                <c:formatCode>[$-419]mmmm\ yyyy;@</c:formatCode>
                <c:ptCount val="6"/>
                <c:pt idx="0">
                  <c:v>41151</c:v>
                </c:pt>
                <c:pt idx="1">
                  <c:v>41182</c:v>
                </c:pt>
                <c:pt idx="2">
                  <c:v>41212</c:v>
                </c:pt>
                <c:pt idx="3">
                  <c:v>41243</c:v>
                </c:pt>
                <c:pt idx="4">
                  <c:v>41273</c:v>
                </c:pt>
                <c:pt idx="5">
                  <c:v>41304</c:v>
                </c:pt>
              </c:numCache>
            </c:numRef>
          </c:cat>
          <c:val>
            <c:numRef>
              <c:f>Январь2013!$C$85:$H$85</c:f>
              <c:numCache>
                <c:formatCode>#,##0</c:formatCode>
                <c:ptCount val="6"/>
                <c:pt idx="0">
                  <c:v>17475</c:v>
                </c:pt>
                <c:pt idx="1">
                  <c:v>17573</c:v>
                </c:pt>
                <c:pt idx="2">
                  <c:v>17648</c:v>
                </c:pt>
                <c:pt idx="3">
                  <c:v>17752</c:v>
                </c:pt>
                <c:pt idx="4">
                  <c:v>17821</c:v>
                </c:pt>
                <c:pt idx="5">
                  <c:v>18015</c:v>
                </c:pt>
              </c:numCache>
            </c:numRef>
          </c:val>
        </c:ser>
        <c:ser>
          <c:idx val="2"/>
          <c:order val="2"/>
          <c:tx>
            <c:strRef>
              <c:f>Январь2013!$B$86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Январь2013!$C$83:$H$83</c:f>
              <c:numCache>
                <c:formatCode>[$-419]mmmm\ yyyy;@</c:formatCode>
                <c:ptCount val="6"/>
                <c:pt idx="0">
                  <c:v>41151</c:v>
                </c:pt>
                <c:pt idx="1">
                  <c:v>41182</c:v>
                </c:pt>
                <c:pt idx="2">
                  <c:v>41212</c:v>
                </c:pt>
                <c:pt idx="3">
                  <c:v>41243</c:v>
                </c:pt>
                <c:pt idx="4">
                  <c:v>41273</c:v>
                </c:pt>
                <c:pt idx="5">
                  <c:v>41304</c:v>
                </c:pt>
              </c:numCache>
            </c:numRef>
          </c:cat>
          <c:val>
            <c:numRef>
              <c:f>Январь2013!$C$86:$H$86</c:f>
              <c:numCache>
                <c:formatCode>#,##0</c:formatCode>
                <c:ptCount val="6"/>
                <c:pt idx="0">
                  <c:v>5636</c:v>
                </c:pt>
                <c:pt idx="1">
                  <c:v>5703</c:v>
                </c:pt>
                <c:pt idx="2">
                  <c:v>5781</c:v>
                </c:pt>
                <c:pt idx="3">
                  <c:v>5845</c:v>
                </c:pt>
                <c:pt idx="4">
                  <c:v>5876</c:v>
                </c:pt>
                <c:pt idx="5">
                  <c:v>6049</c:v>
                </c:pt>
              </c:numCache>
            </c:numRef>
          </c:val>
        </c:ser>
        <c:ser>
          <c:idx val="3"/>
          <c:order val="3"/>
          <c:tx>
            <c:strRef>
              <c:f>Январь2013!$B$87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Январь2013!$C$83:$H$83</c:f>
              <c:numCache>
                <c:formatCode>[$-419]mmmm\ yyyy;@</c:formatCode>
                <c:ptCount val="6"/>
                <c:pt idx="0">
                  <c:v>41151</c:v>
                </c:pt>
                <c:pt idx="1">
                  <c:v>41182</c:v>
                </c:pt>
                <c:pt idx="2">
                  <c:v>41212</c:v>
                </c:pt>
                <c:pt idx="3">
                  <c:v>41243</c:v>
                </c:pt>
                <c:pt idx="4">
                  <c:v>41273</c:v>
                </c:pt>
                <c:pt idx="5">
                  <c:v>41304</c:v>
                </c:pt>
              </c:numCache>
            </c:numRef>
          </c:cat>
          <c:val>
            <c:numRef>
              <c:f>Январь2013!$C$87:$H$87</c:f>
              <c:numCache>
                <c:formatCode>#,##0</c:formatCode>
                <c:ptCount val="6"/>
                <c:pt idx="0">
                  <c:v>5250</c:v>
                </c:pt>
                <c:pt idx="1">
                  <c:v>5246</c:v>
                </c:pt>
                <c:pt idx="2">
                  <c:v>5247</c:v>
                </c:pt>
                <c:pt idx="3">
                  <c:v>5266</c:v>
                </c:pt>
                <c:pt idx="4">
                  <c:v>5261</c:v>
                </c:pt>
                <c:pt idx="5">
                  <c:v>5288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7586432"/>
        <c:axId val="207587968"/>
        <c:axId val="0"/>
      </c:bar3DChart>
      <c:dateAx>
        <c:axId val="207586432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758796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0758796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758643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Февраль2013!$B$50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Февраль2013!$C$49:$H$49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Февраль2013!$C$50:$H$50</c:f>
              <c:numCache>
                <c:formatCode>General</c:formatCode>
                <c:ptCount val="6"/>
                <c:pt idx="2" formatCode="#,##0">
                  <c:v>671475</c:v>
                </c:pt>
                <c:pt idx="3" formatCode="#,##0">
                  <c:v>714295</c:v>
                </c:pt>
                <c:pt idx="4" formatCode="#,##0">
                  <c:v>772175</c:v>
                </c:pt>
                <c:pt idx="5" formatCode="#,##0">
                  <c:v>805549</c:v>
                </c:pt>
              </c:numCache>
            </c:numRef>
          </c:val>
        </c:ser>
        <c:ser>
          <c:idx val="1"/>
          <c:order val="1"/>
          <c:tx>
            <c:strRef>
              <c:f>Февраль2013!$B$51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Февраль2013!$C$49:$H$49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Февраль2013!$C$51:$H$51</c:f>
              <c:numCache>
                <c:formatCode>General</c:formatCode>
                <c:ptCount val="6"/>
                <c:pt idx="2" formatCode="#,##0">
                  <c:v>16364</c:v>
                </c:pt>
                <c:pt idx="3" formatCode="#,##0">
                  <c:v>17170</c:v>
                </c:pt>
                <c:pt idx="4" formatCode="#,##0">
                  <c:v>16850</c:v>
                </c:pt>
                <c:pt idx="5" formatCode="#,##0">
                  <c:v>17821</c:v>
                </c:pt>
              </c:numCache>
            </c:numRef>
          </c:val>
        </c:ser>
        <c:ser>
          <c:idx val="2"/>
          <c:order val="2"/>
          <c:tx>
            <c:strRef>
              <c:f>Февраль2013!$B$52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Февраль2013!$C$49:$H$49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Февраль2013!$C$52:$H$52</c:f>
              <c:numCache>
                <c:formatCode>General</c:formatCode>
                <c:ptCount val="6"/>
                <c:pt idx="2" formatCode="#,##0">
                  <c:v>3851</c:v>
                </c:pt>
                <c:pt idx="3" formatCode="#,##0">
                  <c:v>4295</c:v>
                </c:pt>
                <c:pt idx="4" formatCode="#,##0">
                  <c:v>5058</c:v>
                </c:pt>
                <c:pt idx="5" formatCode="#,##0">
                  <c:v>5876</c:v>
                </c:pt>
              </c:numCache>
            </c:numRef>
          </c:val>
        </c:ser>
        <c:ser>
          <c:idx val="3"/>
          <c:order val="3"/>
          <c:tx>
            <c:strRef>
              <c:f>Февраль2013!$B$53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Февраль2013!$C$49:$H$49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Февраль2013!$C$53:$H$53</c:f>
              <c:numCache>
                <c:formatCode>General</c:formatCode>
                <c:ptCount val="6"/>
                <c:pt idx="2" formatCode="#,##0">
                  <c:v>4717</c:v>
                </c:pt>
                <c:pt idx="3" formatCode="#,##0">
                  <c:v>5348</c:v>
                </c:pt>
                <c:pt idx="4" formatCode="#,##0">
                  <c:v>5242</c:v>
                </c:pt>
                <c:pt idx="5" formatCode="#,##0">
                  <c:v>5261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7681024"/>
        <c:axId val="207682560"/>
        <c:axId val="0"/>
      </c:bar3DChart>
      <c:dateAx>
        <c:axId val="20768102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7682560"/>
        <c:crosses val="autoZero"/>
        <c:auto val="1"/>
        <c:lblOffset val="100"/>
        <c:baseTimeUnit val="years"/>
        <c:majorUnit val="1"/>
        <c:minorUnit val="1"/>
      </c:dateAx>
      <c:valAx>
        <c:axId val="207682560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76810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Февраль2013!$B$84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Февраль2013!$C$83:$H$83</c:f>
              <c:numCache>
                <c:formatCode>[$-419]mmmm\ yyyy;@</c:formatCode>
                <c:ptCount val="6"/>
                <c:pt idx="0">
                  <c:v>41180</c:v>
                </c:pt>
                <c:pt idx="1">
                  <c:v>41210</c:v>
                </c:pt>
                <c:pt idx="2">
                  <c:v>41241</c:v>
                </c:pt>
                <c:pt idx="3">
                  <c:v>41271</c:v>
                </c:pt>
                <c:pt idx="4">
                  <c:v>41302</c:v>
                </c:pt>
                <c:pt idx="5">
                  <c:v>41333</c:v>
                </c:pt>
              </c:numCache>
            </c:numRef>
          </c:cat>
          <c:val>
            <c:numRef>
              <c:f>Февраль2013!$C$84:$H$84</c:f>
              <c:numCache>
                <c:formatCode>#,##0</c:formatCode>
                <c:ptCount val="6"/>
                <c:pt idx="0">
                  <c:v>796839</c:v>
                </c:pt>
                <c:pt idx="1">
                  <c:v>804740</c:v>
                </c:pt>
                <c:pt idx="2">
                  <c:v>815485</c:v>
                </c:pt>
                <c:pt idx="3">
                  <c:v>805549</c:v>
                </c:pt>
                <c:pt idx="4">
                  <c:v>833454</c:v>
                </c:pt>
                <c:pt idx="5">
                  <c:v>830471</c:v>
                </c:pt>
              </c:numCache>
            </c:numRef>
          </c:val>
        </c:ser>
        <c:ser>
          <c:idx val="1"/>
          <c:order val="1"/>
          <c:tx>
            <c:strRef>
              <c:f>Февраль2013!$B$85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Февраль2013!$C$83:$H$83</c:f>
              <c:numCache>
                <c:formatCode>[$-419]mmmm\ yyyy;@</c:formatCode>
                <c:ptCount val="6"/>
                <c:pt idx="0">
                  <c:v>41180</c:v>
                </c:pt>
                <c:pt idx="1">
                  <c:v>41210</c:v>
                </c:pt>
                <c:pt idx="2">
                  <c:v>41241</c:v>
                </c:pt>
                <c:pt idx="3">
                  <c:v>41271</c:v>
                </c:pt>
                <c:pt idx="4">
                  <c:v>41302</c:v>
                </c:pt>
                <c:pt idx="5">
                  <c:v>41333</c:v>
                </c:pt>
              </c:numCache>
            </c:numRef>
          </c:cat>
          <c:val>
            <c:numRef>
              <c:f>Февраль2013!$C$85:$H$85</c:f>
              <c:numCache>
                <c:formatCode>#,##0</c:formatCode>
                <c:ptCount val="6"/>
                <c:pt idx="0">
                  <c:v>17573</c:v>
                </c:pt>
                <c:pt idx="1">
                  <c:v>17648</c:v>
                </c:pt>
                <c:pt idx="2">
                  <c:v>17752</c:v>
                </c:pt>
                <c:pt idx="3">
                  <c:v>17821</c:v>
                </c:pt>
                <c:pt idx="4">
                  <c:v>18015</c:v>
                </c:pt>
                <c:pt idx="5">
                  <c:v>17820</c:v>
                </c:pt>
              </c:numCache>
            </c:numRef>
          </c:val>
        </c:ser>
        <c:ser>
          <c:idx val="2"/>
          <c:order val="2"/>
          <c:tx>
            <c:strRef>
              <c:f>Февраль2013!$B$86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Февраль2013!$C$83:$H$83</c:f>
              <c:numCache>
                <c:formatCode>[$-419]mmmm\ yyyy;@</c:formatCode>
                <c:ptCount val="6"/>
                <c:pt idx="0">
                  <c:v>41180</c:v>
                </c:pt>
                <c:pt idx="1">
                  <c:v>41210</c:v>
                </c:pt>
                <c:pt idx="2">
                  <c:v>41241</c:v>
                </c:pt>
                <c:pt idx="3">
                  <c:v>41271</c:v>
                </c:pt>
                <c:pt idx="4">
                  <c:v>41302</c:v>
                </c:pt>
                <c:pt idx="5">
                  <c:v>41333</c:v>
                </c:pt>
              </c:numCache>
            </c:numRef>
          </c:cat>
          <c:val>
            <c:numRef>
              <c:f>Февраль2013!$C$86:$H$86</c:f>
              <c:numCache>
                <c:formatCode>#,##0</c:formatCode>
                <c:ptCount val="6"/>
                <c:pt idx="0">
                  <c:v>5703</c:v>
                </c:pt>
                <c:pt idx="1">
                  <c:v>5781</c:v>
                </c:pt>
                <c:pt idx="2">
                  <c:v>5845</c:v>
                </c:pt>
                <c:pt idx="3">
                  <c:v>5876</c:v>
                </c:pt>
                <c:pt idx="4">
                  <c:v>6049</c:v>
                </c:pt>
                <c:pt idx="5">
                  <c:v>6029</c:v>
                </c:pt>
              </c:numCache>
            </c:numRef>
          </c:val>
        </c:ser>
        <c:ser>
          <c:idx val="3"/>
          <c:order val="3"/>
          <c:tx>
            <c:strRef>
              <c:f>Февраль2013!$B$87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Февраль2013!$C$83:$H$83</c:f>
              <c:numCache>
                <c:formatCode>[$-419]mmmm\ yyyy;@</c:formatCode>
                <c:ptCount val="6"/>
                <c:pt idx="0">
                  <c:v>41180</c:v>
                </c:pt>
                <c:pt idx="1">
                  <c:v>41210</c:v>
                </c:pt>
                <c:pt idx="2">
                  <c:v>41241</c:v>
                </c:pt>
                <c:pt idx="3">
                  <c:v>41271</c:v>
                </c:pt>
                <c:pt idx="4">
                  <c:v>41302</c:v>
                </c:pt>
                <c:pt idx="5">
                  <c:v>41333</c:v>
                </c:pt>
              </c:numCache>
            </c:numRef>
          </c:cat>
          <c:val>
            <c:numRef>
              <c:f>Февраль2013!$C$87:$H$87</c:f>
              <c:numCache>
                <c:formatCode>#,##0</c:formatCode>
                <c:ptCount val="6"/>
                <c:pt idx="0">
                  <c:v>5246</c:v>
                </c:pt>
                <c:pt idx="1">
                  <c:v>5247</c:v>
                </c:pt>
                <c:pt idx="2">
                  <c:v>5266</c:v>
                </c:pt>
                <c:pt idx="3">
                  <c:v>5261</c:v>
                </c:pt>
                <c:pt idx="4">
                  <c:v>5288</c:v>
                </c:pt>
                <c:pt idx="5">
                  <c:v>5099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7834112"/>
        <c:axId val="207876864"/>
        <c:axId val="0"/>
      </c:bar3DChart>
      <c:dateAx>
        <c:axId val="207834112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787686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07876864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783411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'Март2013 '!$B$50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'Март2013 '!$C$49:$H$49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'Март2013 '!$C$50:$H$50</c:f>
              <c:numCache>
                <c:formatCode>General</c:formatCode>
                <c:ptCount val="6"/>
                <c:pt idx="2" formatCode="#,##0">
                  <c:v>671475</c:v>
                </c:pt>
                <c:pt idx="3" formatCode="#,##0">
                  <c:v>714295</c:v>
                </c:pt>
                <c:pt idx="4" formatCode="#,##0">
                  <c:v>772175</c:v>
                </c:pt>
                <c:pt idx="5" formatCode="#,##0">
                  <c:v>805549</c:v>
                </c:pt>
              </c:numCache>
            </c:numRef>
          </c:val>
        </c:ser>
        <c:ser>
          <c:idx val="1"/>
          <c:order val="1"/>
          <c:tx>
            <c:strRef>
              <c:f>'Март2013 '!$B$51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'Март2013 '!$C$49:$H$49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'Март2013 '!$C$51:$H$51</c:f>
              <c:numCache>
                <c:formatCode>General</c:formatCode>
                <c:ptCount val="6"/>
                <c:pt idx="2" formatCode="#,##0">
                  <c:v>16364</c:v>
                </c:pt>
                <c:pt idx="3" formatCode="#,##0">
                  <c:v>17170</c:v>
                </c:pt>
                <c:pt idx="4" formatCode="#,##0">
                  <c:v>16850</c:v>
                </c:pt>
                <c:pt idx="5" formatCode="#,##0">
                  <c:v>17821</c:v>
                </c:pt>
              </c:numCache>
            </c:numRef>
          </c:val>
        </c:ser>
        <c:ser>
          <c:idx val="2"/>
          <c:order val="2"/>
          <c:tx>
            <c:strRef>
              <c:f>'Март2013 '!$B$52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'Март2013 '!$C$49:$H$49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'Март2013 '!$C$52:$H$52</c:f>
              <c:numCache>
                <c:formatCode>General</c:formatCode>
                <c:ptCount val="6"/>
                <c:pt idx="2" formatCode="#,##0">
                  <c:v>3851</c:v>
                </c:pt>
                <c:pt idx="3" formatCode="#,##0">
                  <c:v>4295</c:v>
                </c:pt>
                <c:pt idx="4" formatCode="#,##0">
                  <c:v>5058</c:v>
                </c:pt>
                <c:pt idx="5" formatCode="#,##0">
                  <c:v>5876</c:v>
                </c:pt>
              </c:numCache>
            </c:numRef>
          </c:val>
        </c:ser>
        <c:ser>
          <c:idx val="3"/>
          <c:order val="3"/>
          <c:tx>
            <c:strRef>
              <c:f>'Март2013 '!$B$53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'Март2013 '!$C$49:$H$49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'Март2013 '!$C$53:$H$53</c:f>
              <c:numCache>
                <c:formatCode>General</c:formatCode>
                <c:ptCount val="6"/>
                <c:pt idx="2" formatCode="#,##0">
                  <c:v>4717</c:v>
                </c:pt>
                <c:pt idx="3" formatCode="#,##0">
                  <c:v>5348</c:v>
                </c:pt>
                <c:pt idx="4" formatCode="#,##0">
                  <c:v>5242</c:v>
                </c:pt>
                <c:pt idx="5" formatCode="#,##0">
                  <c:v>5261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7973760"/>
        <c:axId val="207975552"/>
        <c:axId val="0"/>
      </c:bar3DChart>
      <c:dateAx>
        <c:axId val="20797376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7975552"/>
        <c:crosses val="autoZero"/>
        <c:auto val="1"/>
        <c:lblOffset val="100"/>
        <c:baseTimeUnit val="years"/>
        <c:majorUnit val="1"/>
        <c:minorUnit val="1"/>
      </c:dateAx>
      <c:valAx>
        <c:axId val="207975552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797376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'Март2013 '!$B$84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'Март2013 '!$C$83:$H$83</c:f>
              <c:numCache>
                <c:formatCode>[$-419]mmmm\ yyyy;@</c:formatCode>
                <c:ptCount val="6"/>
                <c:pt idx="0">
                  <c:v>41210</c:v>
                </c:pt>
                <c:pt idx="1">
                  <c:v>41241</c:v>
                </c:pt>
                <c:pt idx="2">
                  <c:v>41271</c:v>
                </c:pt>
                <c:pt idx="3">
                  <c:v>41302</c:v>
                </c:pt>
                <c:pt idx="4">
                  <c:v>41333</c:v>
                </c:pt>
                <c:pt idx="5">
                  <c:v>41361</c:v>
                </c:pt>
              </c:numCache>
            </c:numRef>
          </c:cat>
          <c:val>
            <c:numRef>
              <c:f>'Март2013 '!$C$84:$H$84</c:f>
              <c:numCache>
                <c:formatCode>#,##0</c:formatCode>
                <c:ptCount val="6"/>
                <c:pt idx="0">
                  <c:v>804740</c:v>
                </c:pt>
                <c:pt idx="1">
                  <c:v>815485</c:v>
                </c:pt>
                <c:pt idx="2">
                  <c:v>805549</c:v>
                </c:pt>
                <c:pt idx="3">
                  <c:v>833454</c:v>
                </c:pt>
                <c:pt idx="4">
                  <c:v>830471</c:v>
                </c:pt>
                <c:pt idx="5">
                  <c:v>871195</c:v>
                </c:pt>
              </c:numCache>
            </c:numRef>
          </c:val>
        </c:ser>
        <c:ser>
          <c:idx val="1"/>
          <c:order val="1"/>
          <c:tx>
            <c:strRef>
              <c:f>'Март2013 '!$B$85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'Март2013 '!$C$83:$H$83</c:f>
              <c:numCache>
                <c:formatCode>[$-419]mmmm\ yyyy;@</c:formatCode>
                <c:ptCount val="6"/>
                <c:pt idx="0">
                  <c:v>41210</c:v>
                </c:pt>
                <c:pt idx="1">
                  <c:v>41241</c:v>
                </c:pt>
                <c:pt idx="2">
                  <c:v>41271</c:v>
                </c:pt>
                <c:pt idx="3">
                  <c:v>41302</c:v>
                </c:pt>
                <c:pt idx="4">
                  <c:v>41333</c:v>
                </c:pt>
                <c:pt idx="5">
                  <c:v>41361</c:v>
                </c:pt>
              </c:numCache>
            </c:numRef>
          </c:cat>
          <c:val>
            <c:numRef>
              <c:f>'Март2013 '!$C$85:$H$85</c:f>
              <c:numCache>
                <c:formatCode>#,##0</c:formatCode>
                <c:ptCount val="6"/>
                <c:pt idx="0">
                  <c:v>17648</c:v>
                </c:pt>
                <c:pt idx="1">
                  <c:v>17752</c:v>
                </c:pt>
                <c:pt idx="2">
                  <c:v>17821</c:v>
                </c:pt>
                <c:pt idx="3">
                  <c:v>18015</c:v>
                </c:pt>
                <c:pt idx="4">
                  <c:v>17820</c:v>
                </c:pt>
                <c:pt idx="5">
                  <c:v>18896</c:v>
                </c:pt>
              </c:numCache>
            </c:numRef>
          </c:val>
        </c:ser>
        <c:ser>
          <c:idx val="2"/>
          <c:order val="2"/>
          <c:tx>
            <c:strRef>
              <c:f>'Март2013 '!$B$86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'Март2013 '!$C$83:$H$83</c:f>
              <c:numCache>
                <c:formatCode>[$-419]mmmm\ yyyy;@</c:formatCode>
                <c:ptCount val="6"/>
                <c:pt idx="0">
                  <c:v>41210</c:v>
                </c:pt>
                <c:pt idx="1">
                  <c:v>41241</c:v>
                </c:pt>
                <c:pt idx="2">
                  <c:v>41271</c:v>
                </c:pt>
                <c:pt idx="3">
                  <c:v>41302</c:v>
                </c:pt>
                <c:pt idx="4">
                  <c:v>41333</c:v>
                </c:pt>
                <c:pt idx="5">
                  <c:v>41361</c:v>
                </c:pt>
              </c:numCache>
            </c:numRef>
          </c:cat>
          <c:val>
            <c:numRef>
              <c:f>'Март2013 '!$C$86:$H$86</c:f>
              <c:numCache>
                <c:formatCode>#,##0</c:formatCode>
                <c:ptCount val="6"/>
                <c:pt idx="0">
                  <c:v>5781</c:v>
                </c:pt>
                <c:pt idx="1">
                  <c:v>5845</c:v>
                </c:pt>
                <c:pt idx="2">
                  <c:v>5876</c:v>
                </c:pt>
                <c:pt idx="3">
                  <c:v>6049</c:v>
                </c:pt>
                <c:pt idx="4">
                  <c:v>6029</c:v>
                </c:pt>
                <c:pt idx="5">
                  <c:v>6333</c:v>
                </c:pt>
              </c:numCache>
            </c:numRef>
          </c:val>
        </c:ser>
        <c:ser>
          <c:idx val="3"/>
          <c:order val="3"/>
          <c:tx>
            <c:strRef>
              <c:f>'Март2013 '!$B$87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'Март2013 '!$C$83:$H$83</c:f>
              <c:numCache>
                <c:formatCode>[$-419]mmmm\ yyyy;@</c:formatCode>
                <c:ptCount val="6"/>
                <c:pt idx="0">
                  <c:v>41210</c:v>
                </c:pt>
                <c:pt idx="1">
                  <c:v>41241</c:v>
                </c:pt>
                <c:pt idx="2">
                  <c:v>41271</c:v>
                </c:pt>
                <c:pt idx="3">
                  <c:v>41302</c:v>
                </c:pt>
                <c:pt idx="4">
                  <c:v>41333</c:v>
                </c:pt>
                <c:pt idx="5">
                  <c:v>41361</c:v>
                </c:pt>
              </c:numCache>
            </c:numRef>
          </c:cat>
          <c:val>
            <c:numRef>
              <c:f>'Март2013 '!$C$87:$H$87</c:f>
              <c:numCache>
                <c:formatCode>#,##0</c:formatCode>
                <c:ptCount val="6"/>
                <c:pt idx="0">
                  <c:v>5247</c:v>
                </c:pt>
                <c:pt idx="1">
                  <c:v>5266</c:v>
                </c:pt>
                <c:pt idx="2">
                  <c:v>5261</c:v>
                </c:pt>
                <c:pt idx="3">
                  <c:v>5288</c:v>
                </c:pt>
                <c:pt idx="4">
                  <c:v>5099</c:v>
                </c:pt>
                <c:pt idx="5">
                  <c:v>5433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8018432"/>
        <c:axId val="208020224"/>
        <c:axId val="0"/>
      </c:bar3DChart>
      <c:dateAx>
        <c:axId val="208018432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802022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08020224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801843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Апрель2013!$B$50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Апрель2013!$C$49:$H$49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Апрель2013!$C$50:$H$50</c:f>
              <c:numCache>
                <c:formatCode>General</c:formatCode>
                <c:ptCount val="6"/>
                <c:pt idx="2" formatCode="#,##0">
                  <c:v>671475</c:v>
                </c:pt>
                <c:pt idx="3" formatCode="#,##0">
                  <c:v>714295</c:v>
                </c:pt>
                <c:pt idx="4" formatCode="#,##0">
                  <c:v>772175</c:v>
                </c:pt>
                <c:pt idx="5" formatCode="#,##0">
                  <c:v>805549</c:v>
                </c:pt>
              </c:numCache>
            </c:numRef>
          </c:val>
        </c:ser>
        <c:ser>
          <c:idx val="1"/>
          <c:order val="1"/>
          <c:tx>
            <c:strRef>
              <c:f>Апрель2013!$B$51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Апрель2013!$C$49:$H$49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Апрель2013!$C$51:$H$51</c:f>
              <c:numCache>
                <c:formatCode>General</c:formatCode>
                <c:ptCount val="6"/>
                <c:pt idx="2" formatCode="#,##0">
                  <c:v>16364</c:v>
                </c:pt>
                <c:pt idx="3" formatCode="#,##0">
                  <c:v>17170</c:v>
                </c:pt>
                <c:pt idx="4" formatCode="#,##0">
                  <c:v>16850</c:v>
                </c:pt>
                <c:pt idx="5" formatCode="#,##0">
                  <c:v>17821</c:v>
                </c:pt>
              </c:numCache>
            </c:numRef>
          </c:val>
        </c:ser>
        <c:ser>
          <c:idx val="2"/>
          <c:order val="2"/>
          <c:tx>
            <c:strRef>
              <c:f>Апрель2013!$B$52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Апрель2013!$C$49:$H$49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Апрель2013!$C$52:$H$52</c:f>
              <c:numCache>
                <c:formatCode>General</c:formatCode>
                <c:ptCount val="6"/>
                <c:pt idx="2" formatCode="#,##0">
                  <c:v>3851</c:v>
                </c:pt>
                <c:pt idx="3" formatCode="#,##0">
                  <c:v>4295</c:v>
                </c:pt>
                <c:pt idx="4" formatCode="#,##0">
                  <c:v>5058</c:v>
                </c:pt>
                <c:pt idx="5" formatCode="#,##0">
                  <c:v>5876</c:v>
                </c:pt>
              </c:numCache>
            </c:numRef>
          </c:val>
        </c:ser>
        <c:ser>
          <c:idx val="3"/>
          <c:order val="3"/>
          <c:tx>
            <c:strRef>
              <c:f>Апрель2013!$B$53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Апрель2013!$C$49:$H$49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Апрель2013!$C$53:$H$53</c:f>
              <c:numCache>
                <c:formatCode>General</c:formatCode>
                <c:ptCount val="6"/>
                <c:pt idx="2" formatCode="#,##0">
                  <c:v>4717</c:v>
                </c:pt>
                <c:pt idx="3" formatCode="#,##0">
                  <c:v>5348</c:v>
                </c:pt>
                <c:pt idx="4" formatCode="#,##0">
                  <c:v>5242</c:v>
                </c:pt>
                <c:pt idx="5" formatCode="#,##0">
                  <c:v>5261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7248768"/>
        <c:axId val="207254656"/>
        <c:axId val="0"/>
      </c:bar3DChart>
      <c:dateAx>
        <c:axId val="20724876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7254656"/>
        <c:crosses val="autoZero"/>
        <c:auto val="1"/>
        <c:lblOffset val="100"/>
        <c:baseTimeUnit val="years"/>
        <c:majorUnit val="1"/>
        <c:minorUnit val="1"/>
      </c:dateAx>
      <c:valAx>
        <c:axId val="207254656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724876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Апрель2013!$B$84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Апрель2013!$C$83:$H$83</c:f>
              <c:numCache>
                <c:formatCode>[$-419]mmmm\ yyyy;@</c:formatCode>
                <c:ptCount val="6"/>
                <c:pt idx="0">
                  <c:v>41241</c:v>
                </c:pt>
                <c:pt idx="1">
                  <c:v>41271</c:v>
                </c:pt>
                <c:pt idx="2">
                  <c:v>41302</c:v>
                </c:pt>
                <c:pt idx="3">
                  <c:v>41333</c:v>
                </c:pt>
                <c:pt idx="4">
                  <c:v>41363</c:v>
                </c:pt>
                <c:pt idx="5">
                  <c:v>41394</c:v>
                </c:pt>
              </c:numCache>
            </c:numRef>
          </c:cat>
          <c:val>
            <c:numRef>
              <c:f>Апрель2013!$C$84:$H$84</c:f>
              <c:numCache>
                <c:formatCode>#,##0</c:formatCode>
                <c:ptCount val="6"/>
                <c:pt idx="0">
                  <c:v>815485</c:v>
                </c:pt>
                <c:pt idx="1">
                  <c:v>805549</c:v>
                </c:pt>
                <c:pt idx="2">
                  <c:v>833454</c:v>
                </c:pt>
                <c:pt idx="3">
                  <c:v>830471</c:v>
                </c:pt>
                <c:pt idx="4">
                  <c:v>871195</c:v>
                </c:pt>
                <c:pt idx="5">
                  <c:v>875529</c:v>
                </c:pt>
              </c:numCache>
            </c:numRef>
          </c:val>
        </c:ser>
        <c:ser>
          <c:idx val="1"/>
          <c:order val="1"/>
          <c:tx>
            <c:strRef>
              <c:f>Апрель2013!$B$85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Апрель2013!$C$83:$H$83</c:f>
              <c:numCache>
                <c:formatCode>[$-419]mmmm\ yyyy;@</c:formatCode>
                <c:ptCount val="6"/>
                <c:pt idx="0">
                  <c:v>41241</c:v>
                </c:pt>
                <c:pt idx="1">
                  <c:v>41271</c:v>
                </c:pt>
                <c:pt idx="2">
                  <c:v>41302</c:v>
                </c:pt>
                <c:pt idx="3">
                  <c:v>41333</c:v>
                </c:pt>
                <c:pt idx="4">
                  <c:v>41363</c:v>
                </c:pt>
                <c:pt idx="5">
                  <c:v>41394</c:v>
                </c:pt>
              </c:numCache>
            </c:numRef>
          </c:cat>
          <c:val>
            <c:numRef>
              <c:f>Апрель2013!$C$85:$H$85</c:f>
              <c:numCache>
                <c:formatCode>#,##0</c:formatCode>
                <c:ptCount val="6"/>
                <c:pt idx="0">
                  <c:v>17752</c:v>
                </c:pt>
                <c:pt idx="1">
                  <c:v>17821</c:v>
                </c:pt>
                <c:pt idx="2">
                  <c:v>18015</c:v>
                </c:pt>
                <c:pt idx="3">
                  <c:v>17820</c:v>
                </c:pt>
                <c:pt idx="4">
                  <c:v>18896</c:v>
                </c:pt>
                <c:pt idx="5">
                  <c:v>18984</c:v>
                </c:pt>
              </c:numCache>
            </c:numRef>
          </c:val>
        </c:ser>
        <c:ser>
          <c:idx val="2"/>
          <c:order val="2"/>
          <c:tx>
            <c:strRef>
              <c:f>Апрель2013!$B$86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Апрель2013!$C$83:$H$83</c:f>
              <c:numCache>
                <c:formatCode>[$-419]mmmm\ yyyy;@</c:formatCode>
                <c:ptCount val="6"/>
                <c:pt idx="0">
                  <c:v>41241</c:v>
                </c:pt>
                <c:pt idx="1">
                  <c:v>41271</c:v>
                </c:pt>
                <c:pt idx="2">
                  <c:v>41302</c:v>
                </c:pt>
                <c:pt idx="3">
                  <c:v>41333</c:v>
                </c:pt>
                <c:pt idx="4">
                  <c:v>41363</c:v>
                </c:pt>
                <c:pt idx="5">
                  <c:v>41394</c:v>
                </c:pt>
              </c:numCache>
            </c:numRef>
          </c:cat>
          <c:val>
            <c:numRef>
              <c:f>Апрель2013!$C$86:$H$86</c:f>
              <c:numCache>
                <c:formatCode>#,##0</c:formatCode>
                <c:ptCount val="6"/>
                <c:pt idx="0">
                  <c:v>5845</c:v>
                </c:pt>
                <c:pt idx="1">
                  <c:v>5876</c:v>
                </c:pt>
                <c:pt idx="2">
                  <c:v>6049</c:v>
                </c:pt>
                <c:pt idx="3">
                  <c:v>6029</c:v>
                </c:pt>
                <c:pt idx="4">
                  <c:v>6333</c:v>
                </c:pt>
                <c:pt idx="5">
                  <c:v>6397</c:v>
                </c:pt>
              </c:numCache>
            </c:numRef>
          </c:val>
        </c:ser>
        <c:ser>
          <c:idx val="3"/>
          <c:order val="3"/>
          <c:tx>
            <c:strRef>
              <c:f>Апрель2013!$B$87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Апрель2013!$C$83:$H$83</c:f>
              <c:numCache>
                <c:formatCode>[$-419]mmmm\ yyyy;@</c:formatCode>
                <c:ptCount val="6"/>
                <c:pt idx="0">
                  <c:v>41241</c:v>
                </c:pt>
                <c:pt idx="1">
                  <c:v>41271</c:v>
                </c:pt>
                <c:pt idx="2">
                  <c:v>41302</c:v>
                </c:pt>
                <c:pt idx="3">
                  <c:v>41333</c:v>
                </c:pt>
                <c:pt idx="4">
                  <c:v>41363</c:v>
                </c:pt>
                <c:pt idx="5">
                  <c:v>41394</c:v>
                </c:pt>
              </c:numCache>
            </c:numRef>
          </c:cat>
          <c:val>
            <c:numRef>
              <c:f>Апрель2013!$C$87:$H$87</c:f>
              <c:numCache>
                <c:formatCode>#,##0</c:formatCode>
                <c:ptCount val="6"/>
                <c:pt idx="0">
                  <c:v>5266</c:v>
                </c:pt>
                <c:pt idx="1">
                  <c:v>5261</c:v>
                </c:pt>
                <c:pt idx="2">
                  <c:v>5288</c:v>
                </c:pt>
                <c:pt idx="3">
                  <c:v>5099</c:v>
                </c:pt>
                <c:pt idx="4">
                  <c:v>5433</c:v>
                </c:pt>
                <c:pt idx="5">
                  <c:v>5262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7449088"/>
        <c:axId val="207627008"/>
        <c:axId val="0"/>
      </c:bar3DChart>
      <c:dateAx>
        <c:axId val="207449088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762700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0762700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74490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Май2013!$B$50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Май2013!$C$49:$H$49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Май2013!$C$50:$H$50</c:f>
              <c:numCache>
                <c:formatCode>General</c:formatCode>
                <c:ptCount val="6"/>
                <c:pt idx="2" formatCode="#,##0">
                  <c:v>671475</c:v>
                </c:pt>
                <c:pt idx="3" formatCode="#,##0">
                  <c:v>714295</c:v>
                </c:pt>
                <c:pt idx="4" formatCode="#,##0">
                  <c:v>772175</c:v>
                </c:pt>
                <c:pt idx="5" formatCode="#,##0">
                  <c:v>805549</c:v>
                </c:pt>
              </c:numCache>
            </c:numRef>
          </c:val>
        </c:ser>
        <c:ser>
          <c:idx val="1"/>
          <c:order val="1"/>
          <c:tx>
            <c:strRef>
              <c:f>Май2013!$B$51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Май2013!$C$49:$H$49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Май2013!$C$51:$H$51</c:f>
              <c:numCache>
                <c:formatCode>General</c:formatCode>
                <c:ptCount val="6"/>
                <c:pt idx="2" formatCode="#,##0">
                  <c:v>16364</c:v>
                </c:pt>
                <c:pt idx="3" formatCode="#,##0">
                  <c:v>17170</c:v>
                </c:pt>
                <c:pt idx="4" formatCode="#,##0">
                  <c:v>16850</c:v>
                </c:pt>
                <c:pt idx="5" formatCode="#,##0">
                  <c:v>17821</c:v>
                </c:pt>
              </c:numCache>
            </c:numRef>
          </c:val>
        </c:ser>
        <c:ser>
          <c:idx val="2"/>
          <c:order val="2"/>
          <c:tx>
            <c:strRef>
              <c:f>Май2013!$B$52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Май2013!$C$49:$H$49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Май2013!$C$52:$H$52</c:f>
              <c:numCache>
                <c:formatCode>General</c:formatCode>
                <c:ptCount val="6"/>
                <c:pt idx="2" formatCode="#,##0">
                  <c:v>3851</c:v>
                </c:pt>
                <c:pt idx="3" formatCode="#,##0">
                  <c:v>4295</c:v>
                </c:pt>
                <c:pt idx="4" formatCode="#,##0">
                  <c:v>5058</c:v>
                </c:pt>
                <c:pt idx="5" formatCode="#,##0">
                  <c:v>5876</c:v>
                </c:pt>
              </c:numCache>
            </c:numRef>
          </c:val>
        </c:ser>
        <c:ser>
          <c:idx val="3"/>
          <c:order val="3"/>
          <c:tx>
            <c:strRef>
              <c:f>Май2013!$B$53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Май2013!$C$49:$H$49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Май2013!$C$53:$H$53</c:f>
              <c:numCache>
                <c:formatCode>General</c:formatCode>
                <c:ptCount val="6"/>
                <c:pt idx="2" formatCode="#,##0">
                  <c:v>4717</c:v>
                </c:pt>
                <c:pt idx="3" formatCode="#,##0">
                  <c:v>5348</c:v>
                </c:pt>
                <c:pt idx="4" formatCode="#,##0">
                  <c:v>5242</c:v>
                </c:pt>
                <c:pt idx="5" formatCode="#,##0">
                  <c:v>5261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8412032"/>
        <c:axId val="208413824"/>
        <c:axId val="0"/>
      </c:bar3DChart>
      <c:dateAx>
        <c:axId val="2084120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8413824"/>
        <c:crosses val="autoZero"/>
        <c:auto val="1"/>
        <c:lblOffset val="100"/>
        <c:baseTimeUnit val="years"/>
        <c:majorUnit val="1"/>
        <c:minorUnit val="1"/>
      </c:dateAx>
      <c:valAx>
        <c:axId val="208413824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841203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Май2013!$B$84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Май2013!$C$83:$H$83</c:f>
              <c:numCache>
                <c:formatCode>[$-419]mmmm\ yyyy;@</c:formatCode>
                <c:ptCount val="6"/>
                <c:pt idx="0">
                  <c:v>41271</c:v>
                </c:pt>
                <c:pt idx="1">
                  <c:v>41302</c:v>
                </c:pt>
                <c:pt idx="2">
                  <c:v>41333</c:v>
                </c:pt>
                <c:pt idx="3">
                  <c:v>41363</c:v>
                </c:pt>
                <c:pt idx="4">
                  <c:v>41394</c:v>
                </c:pt>
                <c:pt idx="5">
                  <c:v>41424</c:v>
                </c:pt>
              </c:numCache>
            </c:numRef>
          </c:cat>
          <c:val>
            <c:numRef>
              <c:f>Май2013!$C$84:$H$84</c:f>
              <c:numCache>
                <c:formatCode>#,##0</c:formatCode>
                <c:ptCount val="6"/>
                <c:pt idx="0">
                  <c:v>805549</c:v>
                </c:pt>
                <c:pt idx="1">
                  <c:v>833454</c:v>
                </c:pt>
                <c:pt idx="2">
                  <c:v>830471</c:v>
                </c:pt>
                <c:pt idx="3">
                  <c:v>871195</c:v>
                </c:pt>
                <c:pt idx="4">
                  <c:v>875529</c:v>
                </c:pt>
                <c:pt idx="5">
                  <c:v>877243</c:v>
                </c:pt>
              </c:numCache>
            </c:numRef>
          </c:val>
        </c:ser>
        <c:ser>
          <c:idx val="1"/>
          <c:order val="1"/>
          <c:tx>
            <c:strRef>
              <c:f>Май2013!$B$85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Май2013!$C$83:$H$83</c:f>
              <c:numCache>
                <c:formatCode>[$-419]mmmm\ yyyy;@</c:formatCode>
                <c:ptCount val="6"/>
                <c:pt idx="0">
                  <c:v>41271</c:v>
                </c:pt>
                <c:pt idx="1">
                  <c:v>41302</c:v>
                </c:pt>
                <c:pt idx="2">
                  <c:v>41333</c:v>
                </c:pt>
                <c:pt idx="3">
                  <c:v>41363</c:v>
                </c:pt>
                <c:pt idx="4">
                  <c:v>41394</c:v>
                </c:pt>
                <c:pt idx="5">
                  <c:v>41424</c:v>
                </c:pt>
              </c:numCache>
            </c:numRef>
          </c:cat>
          <c:val>
            <c:numRef>
              <c:f>Май2013!$C$85:$H$85</c:f>
              <c:numCache>
                <c:formatCode>#,##0</c:formatCode>
                <c:ptCount val="6"/>
                <c:pt idx="0">
                  <c:v>17821</c:v>
                </c:pt>
                <c:pt idx="1">
                  <c:v>18015</c:v>
                </c:pt>
                <c:pt idx="2">
                  <c:v>17820</c:v>
                </c:pt>
                <c:pt idx="3">
                  <c:v>18896</c:v>
                </c:pt>
                <c:pt idx="4">
                  <c:v>18984</c:v>
                </c:pt>
                <c:pt idx="5">
                  <c:v>18978</c:v>
                </c:pt>
              </c:numCache>
            </c:numRef>
          </c:val>
        </c:ser>
        <c:ser>
          <c:idx val="2"/>
          <c:order val="2"/>
          <c:tx>
            <c:strRef>
              <c:f>Май2013!$B$86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Май2013!$C$83:$H$83</c:f>
              <c:numCache>
                <c:formatCode>[$-419]mmmm\ yyyy;@</c:formatCode>
                <c:ptCount val="6"/>
                <c:pt idx="0">
                  <c:v>41271</c:v>
                </c:pt>
                <c:pt idx="1">
                  <c:v>41302</c:v>
                </c:pt>
                <c:pt idx="2">
                  <c:v>41333</c:v>
                </c:pt>
                <c:pt idx="3">
                  <c:v>41363</c:v>
                </c:pt>
                <c:pt idx="4">
                  <c:v>41394</c:v>
                </c:pt>
                <c:pt idx="5">
                  <c:v>41424</c:v>
                </c:pt>
              </c:numCache>
            </c:numRef>
          </c:cat>
          <c:val>
            <c:numRef>
              <c:f>Май2013!$C$86:$H$86</c:f>
              <c:numCache>
                <c:formatCode>#,##0</c:formatCode>
                <c:ptCount val="6"/>
                <c:pt idx="0">
                  <c:v>5876</c:v>
                </c:pt>
                <c:pt idx="1">
                  <c:v>6049</c:v>
                </c:pt>
                <c:pt idx="2">
                  <c:v>6029</c:v>
                </c:pt>
                <c:pt idx="3">
                  <c:v>6333</c:v>
                </c:pt>
                <c:pt idx="4">
                  <c:v>6397</c:v>
                </c:pt>
                <c:pt idx="5">
                  <c:v>6424</c:v>
                </c:pt>
              </c:numCache>
            </c:numRef>
          </c:val>
        </c:ser>
        <c:ser>
          <c:idx val="3"/>
          <c:order val="3"/>
          <c:tx>
            <c:strRef>
              <c:f>Май2013!$B$87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Май2013!$C$83:$H$83</c:f>
              <c:numCache>
                <c:formatCode>[$-419]mmmm\ yyyy;@</c:formatCode>
                <c:ptCount val="6"/>
                <c:pt idx="0">
                  <c:v>41271</c:v>
                </c:pt>
                <c:pt idx="1">
                  <c:v>41302</c:v>
                </c:pt>
                <c:pt idx="2">
                  <c:v>41333</c:v>
                </c:pt>
                <c:pt idx="3">
                  <c:v>41363</c:v>
                </c:pt>
                <c:pt idx="4">
                  <c:v>41394</c:v>
                </c:pt>
                <c:pt idx="5">
                  <c:v>41424</c:v>
                </c:pt>
              </c:numCache>
            </c:numRef>
          </c:cat>
          <c:val>
            <c:numRef>
              <c:f>Май2013!$C$87:$H$87</c:f>
              <c:numCache>
                <c:formatCode>#,##0</c:formatCode>
                <c:ptCount val="6"/>
                <c:pt idx="0">
                  <c:v>5261</c:v>
                </c:pt>
                <c:pt idx="1">
                  <c:v>5288</c:v>
                </c:pt>
                <c:pt idx="2">
                  <c:v>5099</c:v>
                </c:pt>
                <c:pt idx="3">
                  <c:v>5433</c:v>
                </c:pt>
                <c:pt idx="4">
                  <c:v>5262</c:v>
                </c:pt>
                <c:pt idx="5">
                  <c:v>5237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8460800"/>
        <c:axId val="208466688"/>
        <c:axId val="0"/>
      </c:bar3DChart>
      <c:dateAx>
        <c:axId val="208460800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846668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0846668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846080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Июнь2013!$B$50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Июнь2013!$C$49:$H$49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Июнь2013!$C$50:$H$50</c:f>
              <c:numCache>
                <c:formatCode>General</c:formatCode>
                <c:ptCount val="6"/>
                <c:pt idx="2" formatCode="#,##0">
                  <c:v>671475</c:v>
                </c:pt>
                <c:pt idx="3" formatCode="#,##0">
                  <c:v>714295</c:v>
                </c:pt>
                <c:pt idx="4" formatCode="#,##0">
                  <c:v>772175</c:v>
                </c:pt>
                <c:pt idx="5" formatCode="#,##0">
                  <c:v>805549</c:v>
                </c:pt>
              </c:numCache>
            </c:numRef>
          </c:val>
        </c:ser>
        <c:ser>
          <c:idx val="1"/>
          <c:order val="1"/>
          <c:tx>
            <c:strRef>
              <c:f>Июнь2013!$B$51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Июнь2013!$C$49:$H$49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Июнь2013!$C$51:$H$51</c:f>
              <c:numCache>
                <c:formatCode>General</c:formatCode>
                <c:ptCount val="6"/>
                <c:pt idx="2" formatCode="#,##0">
                  <c:v>16364</c:v>
                </c:pt>
                <c:pt idx="3" formatCode="#,##0">
                  <c:v>17170</c:v>
                </c:pt>
                <c:pt idx="4" formatCode="#,##0">
                  <c:v>16850</c:v>
                </c:pt>
                <c:pt idx="5" formatCode="#,##0">
                  <c:v>17821</c:v>
                </c:pt>
              </c:numCache>
            </c:numRef>
          </c:val>
        </c:ser>
        <c:ser>
          <c:idx val="2"/>
          <c:order val="2"/>
          <c:tx>
            <c:strRef>
              <c:f>Июнь2013!$B$52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Июнь2013!$C$49:$H$49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Июнь2013!$C$52:$H$52</c:f>
              <c:numCache>
                <c:formatCode>General</c:formatCode>
                <c:ptCount val="6"/>
                <c:pt idx="2" formatCode="#,##0">
                  <c:v>3851</c:v>
                </c:pt>
                <c:pt idx="3" formatCode="#,##0">
                  <c:v>4295</c:v>
                </c:pt>
                <c:pt idx="4" formatCode="#,##0">
                  <c:v>5058</c:v>
                </c:pt>
                <c:pt idx="5" formatCode="#,##0">
                  <c:v>5876</c:v>
                </c:pt>
              </c:numCache>
            </c:numRef>
          </c:val>
        </c:ser>
        <c:ser>
          <c:idx val="3"/>
          <c:order val="3"/>
          <c:tx>
            <c:strRef>
              <c:f>Июнь2013!$B$53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Июнь2013!$C$49:$H$49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Июнь2013!$C$53:$H$53</c:f>
              <c:numCache>
                <c:formatCode>General</c:formatCode>
                <c:ptCount val="6"/>
                <c:pt idx="2" formatCode="#,##0">
                  <c:v>4717</c:v>
                </c:pt>
                <c:pt idx="3" formatCode="#,##0">
                  <c:v>5348</c:v>
                </c:pt>
                <c:pt idx="4" formatCode="#,##0">
                  <c:v>5242</c:v>
                </c:pt>
                <c:pt idx="5" formatCode="#,##0">
                  <c:v>5261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8547200"/>
        <c:axId val="208557184"/>
        <c:axId val="0"/>
      </c:bar3DChart>
      <c:dateAx>
        <c:axId val="20854720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8557184"/>
        <c:crosses val="autoZero"/>
        <c:auto val="1"/>
        <c:lblOffset val="100"/>
        <c:baseTimeUnit val="years"/>
        <c:majorUnit val="1"/>
        <c:minorUnit val="1"/>
      </c:dateAx>
      <c:valAx>
        <c:axId val="208557184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854720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Июнь2013!$B$84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Июнь2013!$C$83:$H$83</c:f>
              <c:numCache>
                <c:formatCode>[$-419]mmmm\ yyyy;@</c:formatCode>
                <c:ptCount val="6"/>
                <c:pt idx="0">
                  <c:v>41302</c:v>
                </c:pt>
                <c:pt idx="1">
                  <c:v>41333</c:v>
                </c:pt>
                <c:pt idx="2">
                  <c:v>41363</c:v>
                </c:pt>
                <c:pt idx="3">
                  <c:v>41394</c:v>
                </c:pt>
                <c:pt idx="4">
                  <c:v>41424</c:v>
                </c:pt>
                <c:pt idx="5">
                  <c:v>41455</c:v>
                </c:pt>
              </c:numCache>
            </c:numRef>
          </c:cat>
          <c:val>
            <c:numRef>
              <c:f>Июнь2013!$C$84:$H$84</c:f>
              <c:numCache>
                <c:formatCode>#,##0</c:formatCode>
                <c:ptCount val="6"/>
                <c:pt idx="0">
                  <c:v>833454</c:v>
                </c:pt>
                <c:pt idx="1">
                  <c:v>830471</c:v>
                </c:pt>
                <c:pt idx="2">
                  <c:v>871195</c:v>
                </c:pt>
                <c:pt idx="3">
                  <c:v>875529</c:v>
                </c:pt>
                <c:pt idx="4">
                  <c:v>877243</c:v>
                </c:pt>
                <c:pt idx="5">
                  <c:v>880422</c:v>
                </c:pt>
              </c:numCache>
            </c:numRef>
          </c:val>
        </c:ser>
        <c:ser>
          <c:idx val="1"/>
          <c:order val="1"/>
          <c:tx>
            <c:strRef>
              <c:f>Июнь2013!$B$85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Июнь2013!$C$83:$H$83</c:f>
              <c:numCache>
                <c:formatCode>[$-419]mmmm\ yyyy;@</c:formatCode>
                <c:ptCount val="6"/>
                <c:pt idx="0">
                  <c:v>41302</c:v>
                </c:pt>
                <c:pt idx="1">
                  <c:v>41333</c:v>
                </c:pt>
                <c:pt idx="2">
                  <c:v>41363</c:v>
                </c:pt>
                <c:pt idx="3">
                  <c:v>41394</c:v>
                </c:pt>
                <c:pt idx="4">
                  <c:v>41424</c:v>
                </c:pt>
                <c:pt idx="5">
                  <c:v>41455</c:v>
                </c:pt>
              </c:numCache>
            </c:numRef>
          </c:cat>
          <c:val>
            <c:numRef>
              <c:f>Июнь2013!$C$85:$H$85</c:f>
              <c:numCache>
                <c:formatCode>#,##0</c:formatCode>
                <c:ptCount val="6"/>
                <c:pt idx="0">
                  <c:v>18015</c:v>
                </c:pt>
                <c:pt idx="1">
                  <c:v>17820</c:v>
                </c:pt>
                <c:pt idx="2">
                  <c:v>18896</c:v>
                </c:pt>
                <c:pt idx="3">
                  <c:v>18984</c:v>
                </c:pt>
                <c:pt idx="4">
                  <c:v>18978</c:v>
                </c:pt>
                <c:pt idx="5">
                  <c:v>19092</c:v>
                </c:pt>
              </c:numCache>
            </c:numRef>
          </c:val>
        </c:ser>
        <c:ser>
          <c:idx val="2"/>
          <c:order val="2"/>
          <c:tx>
            <c:strRef>
              <c:f>Июнь2013!$B$86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Июнь2013!$C$83:$H$83</c:f>
              <c:numCache>
                <c:formatCode>[$-419]mmmm\ yyyy;@</c:formatCode>
                <c:ptCount val="6"/>
                <c:pt idx="0">
                  <c:v>41302</c:v>
                </c:pt>
                <c:pt idx="1">
                  <c:v>41333</c:v>
                </c:pt>
                <c:pt idx="2">
                  <c:v>41363</c:v>
                </c:pt>
                <c:pt idx="3">
                  <c:v>41394</c:v>
                </c:pt>
                <c:pt idx="4">
                  <c:v>41424</c:v>
                </c:pt>
                <c:pt idx="5">
                  <c:v>41455</c:v>
                </c:pt>
              </c:numCache>
            </c:numRef>
          </c:cat>
          <c:val>
            <c:numRef>
              <c:f>Июнь2013!$C$86:$H$86</c:f>
              <c:numCache>
                <c:formatCode>#,##0</c:formatCode>
                <c:ptCount val="6"/>
                <c:pt idx="0">
                  <c:v>6049</c:v>
                </c:pt>
                <c:pt idx="1">
                  <c:v>6029</c:v>
                </c:pt>
                <c:pt idx="2">
                  <c:v>6333</c:v>
                </c:pt>
                <c:pt idx="3">
                  <c:v>6397</c:v>
                </c:pt>
                <c:pt idx="4">
                  <c:v>6424</c:v>
                </c:pt>
                <c:pt idx="5">
                  <c:v>6588</c:v>
                </c:pt>
              </c:numCache>
            </c:numRef>
          </c:val>
        </c:ser>
        <c:ser>
          <c:idx val="3"/>
          <c:order val="3"/>
          <c:tx>
            <c:strRef>
              <c:f>Июнь2013!$B$87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Июнь2013!$C$83:$H$83</c:f>
              <c:numCache>
                <c:formatCode>[$-419]mmmm\ yyyy;@</c:formatCode>
                <c:ptCount val="6"/>
                <c:pt idx="0">
                  <c:v>41302</c:v>
                </c:pt>
                <c:pt idx="1">
                  <c:v>41333</c:v>
                </c:pt>
                <c:pt idx="2">
                  <c:v>41363</c:v>
                </c:pt>
                <c:pt idx="3">
                  <c:v>41394</c:v>
                </c:pt>
                <c:pt idx="4">
                  <c:v>41424</c:v>
                </c:pt>
                <c:pt idx="5">
                  <c:v>41455</c:v>
                </c:pt>
              </c:numCache>
            </c:numRef>
          </c:cat>
          <c:val>
            <c:numRef>
              <c:f>Июнь2013!$C$87:$H$87</c:f>
              <c:numCache>
                <c:formatCode>#,##0</c:formatCode>
                <c:ptCount val="6"/>
                <c:pt idx="0">
                  <c:v>5288</c:v>
                </c:pt>
                <c:pt idx="1">
                  <c:v>5099</c:v>
                </c:pt>
                <c:pt idx="2">
                  <c:v>5433</c:v>
                </c:pt>
                <c:pt idx="3">
                  <c:v>5262</c:v>
                </c:pt>
                <c:pt idx="4">
                  <c:v>5237</c:v>
                </c:pt>
                <c:pt idx="5">
                  <c:v>5221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8587776"/>
        <c:axId val="208597760"/>
        <c:axId val="0"/>
      </c:bar3DChart>
      <c:dateAx>
        <c:axId val="208587776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859776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0859776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85877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Июль2013!$B$50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Июль2013!$C$49:$H$49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Июль2013!$C$50:$H$50</c:f>
              <c:numCache>
                <c:formatCode>General</c:formatCode>
                <c:ptCount val="6"/>
                <c:pt idx="2" formatCode="#,##0">
                  <c:v>671475</c:v>
                </c:pt>
                <c:pt idx="3" formatCode="#,##0">
                  <c:v>714295</c:v>
                </c:pt>
                <c:pt idx="4" formatCode="#,##0">
                  <c:v>772175</c:v>
                </c:pt>
                <c:pt idx="5" formatCode="#,##0">
                  <c:v>805549</c:v>
                </c:pt>
              </c:numCache>
            </c:numRef>
          </c:val>
        </c:ser>
        <c:ser>
          <c:idx val="1"/>
          <c:order val="1"/>
          <c:tx>
            <c:strRef>
              <c:f>Июль2013!$B$51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Июль2013!$C$49:$H$49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Июль2013!$C$51:$H$51</c:f>
              <c:numCache>
                <c:formatCode>General</c:formatCode>
                <c:ptCount val="6"/>
                <c:pt idx="2" formatCode="#,##0">
                  <c:v>16364</c:v>
                </c:pt>
                <c:pt idx="3" formatCode="#,##0">
                  <c:v>17170</c:v>
                </c:pt>
                <c:pt idx="4" formatCode="#,##0">
                  <c:v>16850</c:v>
                </c:pt>
                <c:pt idx="5" formatCode="#,##0">
                  <c:v>17821</c:v>
                </c:pt>
              </c:numCache>
            </c:numRef>
          </c:val>
        </c:ser>
        <c:ser>
          <c:idx val="2"/>
          <c:order val="2"/>
          <c:tx>
            <c:strRef>
              <c:f>Июль2013!$B$52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Июль2013!$C$49:$H$49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Июль2013!$C$52:$H$52</c:f>
              <c:numCache>
                <c:formatCode>General</c:formatCode>
                <c:ptCount val="6"/>
                <c:pt idx="2" formatCode="#,##0">
                  <c:v>3851</c:v>
                </c:pt>
                <c:pt idx="3" formatCode="#,##0">
                  <c:v>4295</c:v>
                </c:pt>
                <c:pt idx="4" formatCode="#,##0">
                  <c:v>5058</c:v>
                </c:pt>
                <c:pt idx="5" formatCode="#,##0">
                  <c:v>5876</c:v>
                </c:pt>
              </c:numCache>
            </c:numRef>
          </c:val>
        </c:ser>
        <c:ser>
          <c:idx val="3"/>
          <c:order val="3"/>
          <c:tx>
            <c:strRef>
              <c:f>Июль2013!$B$53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Июль2013!$C$49:$H$49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Июль2013!$C$53:$H$53</c:f>
              <c:numCache>
                <c:formatCode>General</c:formatCode>
                <c:ptCount val="6"/>
                <c:pt idx="2" formatCode="#,##0">
                  <c:v>4717</c:v>
                </c:pt>
                <c:pt idx="3" formatCode="#,##0">
                  <c:v>5348</c:v>
                </c:pt>
                <c:pt idx="4" formatCode="#,##0">
                  <c:v>5242</c:v>
                </c:pt>
                <c:pt idx="5" formatCode="#,##0">
                  <c:v>5261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8731520"/>
        <c:axId val="208217216"/>
        <c:axId val="0"/>
      </c:bar3DChart>
      <c:dateAx>
        <c:axId val="20873152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8217216"/>
        <c:crosses val="autoZero"/>
        <c:auto val="1"/>
        <c:lblOffset val="100"/>
        <c:baseTimeUnit val="years"/>
        <c:majorUnit val="1"/>
        <c:minorUnit val="1"/>
      </c:dateAx>
      <c:valAx>
        <c:axId val="208217216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873152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Июль2013!$B$84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Июль2013!$C$83:$H$83</c:f>
              <c:numCache>
                <c:formatCode>[$-419]mmmm\ yyyy;@</c:formatCode>
                <c:ptCount val="6"/>
                <c:pt idx="0">
                  <c:v>41333</c:v>
                </c:pt>
                <c:pt idx="1">
                  <c:v>41363</c:v>
                </c:pt>
                <c:pt idx="2">
                  <c:v>41394</c:v>
                </c:pt>
                <c:pt idx="3">
                  <c:v>41424</c:v>
                </c:pt>
                <c:pt idx="4">
                  <c:v>41455</c:v>
                </c:pt>
                <c:pt idx="5">
                  <c:v>41485</c:v>
                </c:pt>
              </c:numCache>
            </c:numRef>
          </c:cat>
          <c:val>
            <c:numRef>
              <c:f>Июль2013!$C$84:$H$84</c:f>
              <c:numCache>
                <c:formatCode>#,##0</c:formatCode>
                <c:ptCount val="6"/>
                <c:pt idx="0">
                  <c:v>830471</c:v>
                </c:pt>
                <c:pt idx="1">
                  <c:v>871195</c:v>
                </c:pt>
                <c:pt idx="2">
                  <c:v>875529</c:v>
                </c:pt>
                <c:pt idx="3">
                  <c:v>877243</c:v>
                </c:pt>
                <c:pt idx="4">
                  <c:v>880422</c:v>
                </c:pt>
                <c:pt idx="5">
                  <c:v>884194</c:v>
                </c:pt>
              </c:numCache>
            </c:numRef>
          </c:val>
        </c:ser>
        <c:ser>
          <c:idx val="1"/>
          <c:order val="1"/>
          <c:tx>
            <c:strRef>
              <c:f>Июль2013!$B$85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Июль2013!$C$83:$H$83</c:f>
              <c:numCache>
                <c:formatCode>[$-419]mmmm\ yyyy;@</c:formatCode>
                <c:ptCount val="6"/>
                <c:pt idx="0">
                  <c:v>41333</c:v>
                </c:pt>
                <c:pt idx="1">
                  <c:v>41363</c:v>
                </c:pt>
                <c:pt idx="2">
                  <c:v>41394</c:v>
                </c:pt>
                <c:pt idx="3">
                  <c:v>41424</c:v>
                </c:pt>
                <c:pt idx="4">
                  <c:v>41455</c:v>
                </c:pt>
                <c:pt idx="5">
                  <c:v>41485</c:v>
                </c:pt>
              </c:numCache>
            </c:numRef>
          </c:cat>
          <c:val>
            <c:numRef>
              <c:f>Июль2013!$C$85:$H$85</c:f>
              <c:numCache>
                <c:formatCode>#,##0</c:formatCode>
                <c:ptCount val="6"/>
                <c:pt idx="0">
                  <c:v>17820</c:v>
                </c:pt>
                <c:pt idx="1">
                  <c:v>18896</c:v>
                </c:pt>
                <c:pt idx="2">
                  <c:v>18984</c:v>
                </c:pt>
                <c:pt idx="3">
                  <c:v>18978</c:v>
                </c:pt>
                <c:pt idx="4">
                  <c:v>19092</c:v>
                </c:pt>
                <c:pt idx="5">
                  <c:v>19208</c:v>
                </c:pt>
              </c:numCache>
            </c:numRef>
          </c:val>
        </c:ser>
        <c:ser>
          <c:idx val="2"/>
          <c:order val="2"/>
          <c:tx>
            <c:strRef>
              <c:f>Июль2013!$B$86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Июль2013!$C$83:$H$83</c:f>
              <c:numCache>
                <c:formatCode>[$-419]mmmm\ yyyy;@</c:formatCode>
                <c:ptCount val="6"/>
                <c:pt idx="0">
                  <c:v>41333</c:v>
                </c:pt>
                <c:pt idx="1">
                  <c:v>41363</c:v>
                </c:pt>
                <c:pt idx="2">
                  <c:v>41394</c:v>
                </c:pt>
                <c:pt idx="3">
                  <c:v>41424</c:v>
                </c:pt>
                <c:pt idx="4">
                  <c:v>41455</c:v>
                </c:pt>
                <c:pt idx="5">
                  <c:v>41485</c:v>
                </c:pt>
              </c:numCache>
            </c:numRef>
          </c:cat>
          <c:val>
            <c:numRef>
              <c:f>Июль2013!$C$86:$H$86</c:f>
              <c:numCache>
                <c:formatCode>#,##0</c:formatCode>
                <c:ptCount val="6"/>
                <c:pt idx="0">
                  <c:v>6029</c:v>
                </c:pt>
                <c:pt idx="1">
                  <c:v>6333</c:v>
                </c:pt>
                <c:pt idx="2">
                  <c:v>6397</c:v>
                </c:pt>
                <c:pt idx="3">
                  <c:v>6424</c:v>
                </c:pt>
                <c:pt idx="4">
                  <c:v>6588</c:v>
                </c:pt>
                <c:pt idx="5">
                  <c:v>6682</c:v>
                </c:pt>
              </c:numCache>
            </c:numRef>
          </c:val>
        </c:ser>
        <c:ser>
          <c:idx val="3"/>
          <c:order val="3"/>
          <c:tx>
            <c:strRef>
              <c:f>Июль2013!$B$87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Июль2013!$C$83:$H$83</c:f>
              <c:numCache>
                <c:formatCode>[$-419]mmmm\ yyyy;@</c:formatCode>
                <c:ptCount val="6"/>
                <c:pt idx="0">
                  <c:v>41333</c:v>
                </c:pt>
                <c:pt idx="1">
                  <c:v>41363</c:v>
                </c:pt>
                <c:pt idx="2">
                  <c:v>41394</c:v>
                </c:pt>
                <c:pt idx="3">
                  <c:v>41424</c:v>
                </c:pt>
                <c:pt idx="4">
                  <c:v>41455</c:v>
                </c:pt>
                <c:pt idx="5">
                  <c:v>41485</c:v>
                </c:pt>
              </c:numCache>
            </c:numRef>
          </c:cat>
          <c:val>
            <c:numRef>
              <c:f>Июль2013!$C$87:$H$87</c:f>
              <c:numCache>
                <c:formatCode>#,##0</c:formatCode>
                <c:ptCount val="6"/>
                <c:pt idx="0">
                  <c:v>5099</c:v>
                </c:pt>
                <c:pt idx="1">
                  <c:v>5433</c:v>
                </c:pt>
                <c:pt idx="2">
                  <c:v>5262</c:v>
                </c:pt>
                <c:pt idx="3">
                  <c:v>5237</c:v>
                </c:pt>
                <c:pt idx="4">
                  <c:v>5221</c:v>
                </c:pt>
                <c:pt idx="5">
                  <c:v>5233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8243712"/>
        <c:axId val="208245504"/>
        <c:axId val="0"/>
      </c:bar3DChart>
      <c:dateAx>
        <c:axId val="208243712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824550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08245504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824371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Август2013!$B$50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Август2013!$C$49:$H$49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Август2013!$C$50:$H$50</c:f>
              <c:numCache>
                <c:formatCode>General</c:formatCode>
                <c:ptCount val="6"/>
                <c:pt idx="2" formatCode="#,##0">
                  <c:v>671475</c:v>
                </c:pt>
                <c:pt idx="3" formatCode="#,##0">
                  <c:v>714295</c:v>
                </c:pt>
                <c:pt idx="4" formatCode="#,##0">
                  <c:v>772175</c:v>
                </c:pt>
                <c:pt idx="5" formatCode="#,##0">
                  <c:v>805549</c:v>
                </c:pt>
              </c:numCache>
            </c:numRef>
          </c:val>
        </c:ser>
        <c:ser>
          <c:idx val="1"/>
          <c:order val="1"/>
          <c:tx>
            <c:strRef>
              <c:f>Август2013!$B$51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Август2013!$C$49:$H$49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Август2013!$C$51:$H$51</c:f>
              <c:numCache>
                <c:formatCode>General</c:formatCode>
                <c:ptCount val="6"/>
                <c:pt idx="2" formatCode="#,##0">
                  <c:v>16364</c:v>
                </c:pt>
                <c:pt idx="3" formatCode="#,##0">
                  <c:v>17170</c:v>
                </c:pt>
                <c:pt idx="4" formatCode="#,##0">
                  <c:v>16850</c:v>
                </c:pt>
                <c:pt idx="5" formatCode="#,##0">
                  <c:v>17821</c:v>
                </c:pt>
              </c:numCache>
            </c:numRef>
          </c:val>
        </c:ser>
        <c:ser>
          <c:idx val="2"/>
          <c:order val="2"/>
          <c:tx>
            <c:strRef>
              <c:f>Август2013!$B$52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Август2013!$C$49:$H$49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Август2013!$C$52:$H$52</c:f>
              <c:numCache>
                <c:formatCode>General</c:formatCode>
                <c:ptCount val="6"/>
                <c:pt idx="2" formatCode="#,##0">
                  <c:v>3851</c:v>
                </c:pt>
                <c:pt idx="3" formatCode="#,##0">
                  <c:v>4295</c:v>
                </c:pt>
                <c:pt idx="4" formatCode="#,##0">
                  <c:v>5058</c:v>
                </c:pt>
                <c:pt idx="5" formatCode="#,##0">
                  <c:v>5876</c:v>
                </c:pt>
              </c:numCache>
            </c:numRef>
          </c:val>
        </c:ser>
        <c:ser>
          <c:idx val="3"/>
          <c:order val="3"/>
          <c:tx>
            <c:strRef>
              <c:f>Август2013!$B$53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Август2013!$C$49:$H$49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Август2013!$C$53:$H$53</c:f>
              <c:numCache>
                <c:formatCode>General</c:formatCode>
                <c:ptCount val="6"/>
                <c:pt idx="2" formatCode="#,##0">
                  <c:v>4717</c:v>
                </c:pt>
                <c:pt idx="3" formatCode="#,##0">
                  <c:v>5348</c:v>
                </c:pt>
                <c:pt idx="4" formatCode="#,##0">
                  <c:v>5242</c:v>
                </c:pt>
                <c:pt idx="5" formatCode="#,##0">
                  <c:v>5261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8149888"/>
        <c:axId val="208151680"/>
        <c:axId val="0"/>
      </c:bar3DChart>
      <c:dateAx>
        <c:axId val="20814988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8151680"/>
        <c:crosses val="autoZero"/>
        <c:auto val="1"/>
        <c:lblOffset val="100"/>
        <c:baseTimeUnit val="years"/>
        <c:majorUnit val="1"/>
        <c:minorUnit val="1"/>
      </c:dateAx>
      <c:valAx>
        <c:axId val="208151680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81498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Август2013!$B$84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Август2013!$C$83:$H$83</c:f>
              <c:numCache>
                <c:formatCode>[$-419]mmmm\ yyyy;@</c:formatCode>
                <c:ptCount val="6"/>
                <c:pt idx="0">
                  <c:v>41363</c:v>
                </c:pt>
                <c:pt idx="1">
                  <c:v>41394</c:v>
                </c:pt>
                <c:pt idx="2">
                  <c:v>41424</c:v>
                </c:pt>
                <c:pt idx="3">
                  <c:v>41455</c:v>
                </c:pt>
                <c:pt idx="4">
                  <c:v>41486</c:v>
                </c:pt>
                <c:pt idx="5">
                  <c:v>41517</c:v>
                </c:pt>
              </c:numCache>
            </c:numRef>
          </c:cat>
          <c:val>
            <c:numRef>
              <c:f>Август2013!$C$84:$H$84</c:f>
              <c:numCache>
                <c:formatCode>#,##0</c:formatCode>
                <c:ptCount val="6"/>
                <c:pt idx="0">
                  <c:v>871195</c:v>
                </c:pt>
                <c:pt idx="1">
                  <c:v>875529</c:v>
                </c:pt>
                <c:pt idx="2">
                  <c:v>877243</c:v>
                </c:pt>
                <c:pt idx="3">
                  <c:v>880422</c:v>
                </c:pt>
                <c:pt idx="4">
                  <c:v>884194</c:v>
                </c:pt>
                <c:pt idx="5">
                  <c:v>882528</c:v>
                </c:pt>
              </c:numCache>
            </c:numRef>
          </c:val>
        </c:ser>
        <c:ser>
          <c:idx val="1"/>
          <c:order val="1"/>
          <c:tx>
            <c:strRef>
              <c:f>Август2013!$B$85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Август2013!$C$83:$H$83</c:f>
              <c:numCache>
                <c:formatCode>[$-419]mmmm\ yyyy;@</c:formatCode>
                <c:ptCount val="6"/>
                <c:pt idx="0">
                  <c:v>41363</c:v>
                </c:pt>
                <c:pt idx="1">
                  <c:v>41394</c:v>
                </c:pt>
                <c:pt idx="2">
                  <c:v>41424</c:v>
                </c:pt>
                <c:pt idx="3">
                  <c:v>41455</c:v>
                </c:pt>
                <c:pt idx="4">
                  <c:v>41486</c:v>
                </c:pt>
                <c:pt idx="5">
                  <c:v>41517</c:v>
                </c:pt>
              </c:numCache>
            </c:numRef>
          </c:cat>
          <c:val>
            <c:numRef>
              <c:f>Август2013!$C$85:$H$85</c:f>
              <c:numCache>
                <c:formatCode>#,##0</c:formatCode>
                <c:ptCount val="6"/>
                <c:pt idx="0">
                  <c:v>18896</c:v>
                </c:pt>
                <c:pt idx="1">
                  <c:v>18984</c:v>
                </c:pt>
                <c:pt idx="2">
                  <c:v>18978</c:v>
                </c:pt>
                <c:pt idx="3">
                  <c:v>19092</c:v>
                </c:pt>
                <c:pt idx="4">
                  <c:v>19208</c:v>
                </c:pt>
                <c:pt idx="5">
                  <c:v>19235</c:v>
                </c:pt>
              </c:numCache>
            </c:numRef>
          </c:val>
        </c:ser>
        <c:ser>
          <c:idx val="2"/>
          <c:order val="2"/>
          <c:tx>
            <c:strRef>
              <c:f>Август2013!$B$86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Август2013!$C$83:$H$83</c:f>
              <c:numCache>
                <c:formatCode>[$-419]mmmm\ yyyy;@</c:formatCode>
                <c:ptCount val="6"/>
                <c:pt idx="0">
                  <c:v>41363</c:v>
                </c:pt>
                <c:pt idx="1">
                  <c:v>41394</c:v>
                </c:pt>
                <c:pt idx="2">
                  <c:v>41424</c:v>
                </c:pt>
                <c:pt idx="3">
                  <c:v>41455</c:v>
                </c:pt>
                <c:pt idx="4">
                  <c:v>41486</c:v>
                </c:pt>
                <c:pt idx="5">
                  <c:v>41517</c:v>
                </c:pt>
              </c:numCache>
            </c:numRef>
          </c:cat>
          <c:val>
            <c:numRef>
              <c:f>Август2013!$C$86:$H$86</c:f>
              <c:numCache>
                <c:formatCode>#,##0</c:formatCode>
                <c:ptCount val="6"/>
                <c:pt idx="0">
                  <c:v>6333</c:v>
                </c:pt>
                <c:pt idx="1">
                  <c:v>6397</c:v>
                </c:pt>
                <c:pt idx="2">
                  <c:v>6424</c:v>
                </c:pt>
                <c:pt idx="3">
                  <c:v>6588</c:v>
                </c:pt>
                <c:pt idx="4">
                  <c:v>6682</c:v>
                </c:pt>
                <c:pt idx="5">
                  <c:v>6722</c:v>
                </c:pt>
              </c:numCache>
            </c:numRef>
          </c:val>
        </c:ser>
        <c:ser>
          <c:idx val="3"/>
          <c:order val="3"/>
          <c:tx>
            <c:strRef>
              <c:f>Август2013!$B$87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Август2013!$C$83:$H$83</c:f>
              <c:numCache>
                <c:formatCode>[$-419]mmmm\ yyyy;@</c:formatCode>
                <c:ptCount val="6"/>
                <c:pt idx="0">
                  <c:v>41363</c:v>
                </c:pt>
                <c:pt idx="1">
                  <c:v>41394</c:v>
                </c:pt>
                <c:pt idx="2">
                  <c:v>41424</c:v>
                </c:pt>
                <c:pt idx="3">
                  <c:v>41455</c:v>
                </c:pt>
                <c:pt idx="4">
                  <c:v>41486</c:v>
                </c:pt>
                <c:pt idx="5">
                  <c:v>41517</c:v>
                </c:pt>
              </c:numCache>
            </c:numRef>
          </c:cat>
          <c:val>
            <c:numRef>
              <c:f>Август2013!$C$87:$H$87</c:f>
              <c:numCache>
                <c:formatCode>#,##0</c:formatCode>
                <c:ptCount val="6"/>
                <c:pt idx="0">
                  <c:v>5433</c:v>
                </c:pt>
                <c:pt idx="1">
                  <c:v>5262</c:v>
                </c:pt>
                <c:pt idx="2">
                  <c:v>5237</c:v>
                </c:pt>
                <c:pt idx="3">
                  <c:v>5221</c:v>
                </c:pt>
                <c:pt idx="4">
                  <c:v>5233</c:v>
                </c:pt>
                <c:pt idx="5">
                  <c:v>5237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8190464"/>
        <c:axId val="208995072"/>
        <c:axId val="0"/>
      </c:bar3DChart>
      <c:dateAx>
        <c:axId val="208190464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8995072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08995072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819046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Сентябрь2013!$B$50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Сентябрь2013!$C$49:$H$49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Сентябрь2013!$C$50:$H$50</c:f>
              <c:numCache>
                <c:formatCode>General</c:formatCode>
                <c:ptCount val="6"/>
                <c:pt idx="2" formatCode="#,##0">
                  <c:v>671475</c:v>
                </c:pt>
                <c:pt idx="3" formatCode="#,##0">
                  <c:v>714295</c:v>
                </c:pt>
                <c:pt idx="4" formatCode="#,##0">
                  <c:v>772175</c:v>
                </c:pt>
                <c:pt idx="5" formatCode="#,##0">
                  <c:v>805549</c:v>
                </c:pt>
              </c:numCache>
            </c:numRef>
          </c:val>
        </c:ser>
        <c:ser>
          <c:idx val="1"/>
          <c:order val="1"/>
          <c:tx>
            <c:strRef>
              <c:f>Сентябрь2013!$B$51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Сентябрь2013!$C$49:$H$49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Сентябрь2013!$C$51:$H$51</c:f>
              <c:numCache>
                <c:formatCode>General</c:formatCode>
                <c:ptCount val="6"/>
                <c:pt idx="2" formatCode="#,##0">
                  <c:v>16364</c:v>
                </c:pt>
                <c:pt idx="3" formatCode="#,##0">
                  <c:v>17170</c:v>
                </c:pt>
                <c:pt idx="4" formatCode="#,##0">
                  <c:v>16850</c:v>
                </c:pt>
                <c:pt idx="5" formatCode="#,##0">
                  <c:v>17821</c:v>
                </c:pt>
              </c:numCache>
            </c:numRef>
          </c:val>
        </c:ser>
        <c:ser>
          <c:idx val="2"/>
          <c:order val="2"/>
          <c:tx>
            <c:strRef>
              <c:f>Сентябрь2013!$B$52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Сентябрь2013!$C$49:$H$49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Сентябрь2013!$C$52:$H$52</c:f>
              <c:numCache>
                <c:formatCode>General</c:formatCode>
                <c:ptCount val="6"/>
                <c:pt idx="2" formatCode="#,##0">
                  <c:v>3851</c:v>
                </c:pt>
                <c:pt idx="3" formatCode="#,##0">
                  <c:v>4295</c:v>
                </c:pt>
                <c:pt idx="4" formatCode="#,##0">
                  <c:v>5058</c:v>
                </c:pt>
                <c:pt idx="5" formatCode="#,##0">
                  <c:v>5876</c:v>
                </c:pt>
              </c:numCache>
            </c:numRef>
          </c:val>
        </c:ser>
        <c:ser>
          <c:idx val="3"/>
          <c:order val="3"/>
          <c:tx>
            <c:strRef>
              <c:f>Сентябрь2013!$B$53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Сентябрь2013!$C$49:$H$49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Сентябрь2013!$C$53:$H$53</c:f>
              <c:numCache>
                <c:formatCode>General</c:formatCode>
                <c:ptCount val="6"/>
                <c:pt idx="2" formatCode="#,##0">
                  <c:v>4717</c:v>
                </c:pt>
                <c:pt idx="3" formatCode="#,##0">
                  <c:v>5348</c:v>
                </c:pt>
                <c:pt idx="4" formatCode="#,##0">
                  <c:v>5242</c:v>
                </c:pt>
                <c:pt idx="5" formatCode="#,##0">
                  <c:v>5261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9043456"/>
        <c:axId val="209044992"/>
        <c:axId val="0"/>
      </c:bar3DChart>
      <c:dateAx>
        <c:axId val="20904345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9044992"/>
        <c:crosses val="autoZero"/>
        <c:auto val="1"/>
        <c:lblOffset val="100"/>
        <c:baseTimeUnit val="years"/>
        <c:majorUnit val="1"/>
        <c:minorUnit val="1"/>
      </c:dateAx>
      <c:valAx>
        <c:axId val="209044992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904345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Сентябрь2013!$B$84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Сентябрь2013!$C$83:$H$83</c:f>
              <c:numCache>
                <c:formatCode>[$-419]mmmm\ yyyy;@</c:formatCode>
                <c:ptCount val="6"/>
                <c:pt idx="0">
                  <c:v>41394</c:v>
                </c:pt>
                <c:pt idx="1">
                  <c:v>41424</c:v>
                </c:pt>
                <c:pt idx="2">
                  <c:v>41455</c:v>
                </c:pt>
                <c:pt idx="3">
                  <c:v>41485</c:v>
                </c:pt>
                <c:pt idx="4">
                  <c:v>41516</c:v>
                </c:pt>
                <c:pt idx="5">
                  <c:v>41547</c:v>
                </c:pt>
              </c:numCache>
            </c:numRef>
          </c:cat>
          <c:val>
            <c:numRef>
              <c:f>Сентябрь2013!$C$84:$H$84</c:f>
              <c:numCache>
                <c:formatCode>#,##0</c:formatCode>
                <c:ptCount val="6"/>
                <c:pt idx="0">
                  <c:v>875529</c:v>
                </c:pt>
                <c:pt idx="1">
                  <c:v>877243</c:v>
                </c:pt>
                <c:pt idx="2">
                  <c:v>880422</c:v>
                </c:pt>
                <c:pt idx="3">
                  <c:v>884194</c:v>
                </c:pt>
                <c:pt idx="4">
                  <c:v>882528</c:v>
                </c:pt>
                <c:pt idx="5">
                  <c:v>872709</c:v>
                </c:pt>
              </c:numCache>
            </c:numRef>
          </c:val>
        </c:ser>
        <c:ser>
          <c:idx val="1"/>
          <c:order val="1"/>
          <c:tx>
            <c:strRef>
              <c:f>Сентябрь2013!$B$85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Сентябрь2013!$C$83:$H$83</c:f>
              <c:numCache>
                <c:formatCode>[$-419]mmmm\ yyyy;@</c:formatCode>
                <c:ptCount val="6"/>
                <c:pt idx="0">
                  <c:v>41394</c:v>
                </c:pt>
                <c:pt idx="1">
                  <c:v>41424</c:v>
                </c:pt>
                <c:pt idx="2">
                  <c:v>41455</c:v>
                </c:pt>
                <c:pt idx="3">
                  <c:v>41485</c:v>
                </c:pt>
                <c:pt idx="4">
                  <c:v>41516</c:v>
                </c:pt>
                <c:pt idx="5">
                  <c:v>41547</c:v>
                </c:pt>
              </c:numCache>
            </c:numRef>
          </c:cat>
          <c:val>
            <c:numRef>
              <c:f>Сентябрь2013!$C$85:$H$85</c:f>
              <c:numCache>
                <c:formatCode>#,##0</c:formatCode>
                <c:ptCount val="6"/>
                <c:pt idx="0">
                  <c:v>18984</c:v>
                </c:pt>
                <c:pt idx="1">
                  <c:v>18978</c:v>
                </c:pt>
                <c:pt idx="2">
                  <c:v>19092</c:v>
                </c:pt>
                <c:pt idx="3">
                  <c:v>19208</c:v>
                </c:pt>
                <c:pt idx="4">
                  <c:v>19235</c:v>
                </c:pt>
                <c:pt idx="5">
                  <c:v>19279</c:v>
                </c:pt>
              </c:numCache>
            </c:numRef>
          </c:val>
        </c:ser>
        <c:ser>
          <c:idx val="2"/>
          <c:order val="2"/>
          <c:tx>
            <c:strRef>
              <c:f>Сентябрь2013!$B$86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Сентябрь2013!$C$83:$H$83</c:f>
              <c:numCache>
                <c:formatCode>[$-419]mmmm\ yyyy;@</c:formatCode>
                <c:ptCount val="6"/>
                <c:pt idx="0">
                  <c:v>41394</c:v>
                </c:pt>
                <c:pt idx="1">
                  <c:v>41424</c:v>
                </c:pt>
                <c:pt idx="2">
                  <c:v>41455</c:v>
                </c:pt>
                <c:pt idx="3">
                  <c:v>41485</c:v>
                </c:pt>
                <c:pt idx="4">
                  <c:v>41516</c:v>
                </c:pt>
                <c:pt idx="5">
                  <c:v>41547</c:v>
                </c:pt>
              </c:numCache>
            </c:numRef>
          </c:cat>
          <c:val>
            <c:numRef>
              <c:f>Сентябрь2013!$C$86:$H$86</c:f>
              <c:numCache>
                <c:formatCode>#,##0</c:formatCode>
                <c:ptCount val="6"/>
                <c:pt idx="0">
                  <c:v>6397</c:v>
                </c:pt>
                <c:pt idx="1">
                  <c:v>6424</c:v>
                </c:pt>
                <c:pt idx="2">
                  <c:v>6588</c:v>
                </c:pt>
                <c:pt idx="3">
                  <c:v>6682</c:v>
                </c:pt>
                <c:pt idx="4">
                  <c:v>6722</c:v>
                </c:pt>
                <c:pt idx="5">
                  <c:v>6763</c:v>
                </c:pt>
              </c:numCache>
            </c:numRef>
          </c:val>
        </c:ser>
        <c:ser>
          <c:idx val="3"/>
          <c:order val="3"/>
          <c:tx>
            <c:strRef>
              <c:f>Сентябрь2013!$B$87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Сентябрь2013!$C$83:$H$83</c:f>
              <c:numCache>
                <c:formatCode>[$-419]mmmm\ yyyy;@</c:formatCode>
                <c:ptCount val="6"/>
                <c:pt idx="0">
                  <c:v>41394</c:v>
                </c:pt>
                <c:pt idx="1">
                  <c:v>41424</c:v>
                </c:pt>
                <c:pt idx="2">
                  <c:v>41455</c:v>
                </c:pt>
                <c:pt idx="3">
                  <c:v>41485</c:v>
                </c:pt>
                <c:pt idx="4">
                  <c:v>41516</c:v>
                </c:pt>
                <c:pt idx="5">
                  <c:v>41547</c:v>
                </c:pt>
              </c:numCache>
            </c:numRef>
          </c:cat>
          <c:val>
            <c:numRef>
              <c:f>Сентябрь2013!$C$87:$H$87</c:f>
              <c:numCache>
                <c:formatCode>#,##0</c:formatCode>
                <c:ptCount val="6"/>
                <c:pt idx="0">
                  <c:v>5262</c:v>
                </c:pt>
                <c:pt idx="1">
                  <c:v>5237</c:v>
                </c:pt>
                <c:pt idx="2">
                  <c:v>5221</c:v>
                </c:pt>
                <c:pt idx="3">
                  <c:v>5233</c:v>
                </c:pt>
                <c:pt idx="4">
                  <c:v>5237</c:v>
                </c:pt>
                <c:pt idx="5">
                  <c:v>5254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8891264"/>
        <c:axId val="208897152"/>
        <c:axId val="0"/>
      </c:bar3DChart>
      <c:dateAx>
        <c:axId val="208891264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8897152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08897152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889126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Октябрь2013!$B$50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Октябрь2013!$C$49:$H$49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Октябрь2013!$C$50:$H$50</c:f>
              <c:numCache>
                <c:formatCode>General</c:formatCode>
                <c:ptCount val="6"/>
                <c:pt idx="2" formatCode="#,##0">
                  <c:v>671475</c:v>
                </c:pt>
                <c:pt idx="3" formatCode="#,##0">
                  <c:v>714295</c:v>
                </c:pt>
                <c:pt idx="4" formatCode="#,##0">
                  <c:v>772175</c:v>
                </c:pt>
                <c:pt idx="5" formatCode="#,##0">
                  <c:v>805549</c:v>
                </c:pt>
              </c:numCache>
            </c:numRef>
          </c:val>
        </c:ser>
        <c:ser>
          <c:idx val="1"/>
          <c:order val="1"/>
          <c:tx>
            <c:strRef>
              <c:f>Октябрь2013!$B$51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Октябрь2013!$C$49:$H$49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Октябрь2013!$C$51:$H$51</c:f>
              <c:numCache>
                <c:formatCode>General</c:formatCode>
                <c:ptCount val="6"/>
                <c:pt idx="2" formatCode="#,##0">
                  <c:v>16364</c:v>
                </c:pt>
                <c:pt idx="3" formatCode="#,##0">
                  <c:v>17170</c:v>
                </c:pt>
                <c:pt idx="4" formatCode="#,##0">
                  <c:v>16850</c:v>
                </c:pt>
                <c:pt idx="5" formatCode="#,##0">
                  <c:v>17821</c:v>
                </c:pt>
              </c:numCache>
            </c:numRef>
          </c:val>
        </c:ser>
        <c:ser>
          <c:idx val="2"/>
          <c:order val="2"/>
          <c:tx>
            <c:strRef>
              <c:f>Октябрь2013!$B$52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Октябрь2013!$C$49:$H$49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Октябрь2013!$C$52:$H$52</c:f>
              <c:numCache>
                <c:formatCode>General</c:formatCode>
                <c:ptCount val="6"/>
                <c:pt idx="2" formatCode="#,##0">
                  <c:v>3851</c:v>
                </c:pt>
                <c:pt idx="3" formatCode="#,##0">
                  <c:v>4295</c:v>
                </c:pt>
                <c:pt idx="4" formatCode="#,##0">
                  <c:v>5058</c:v>
                </c:pt>
                <c:pt idx="5" formatCode="#,##0">
                  <c:v>5876</c:v>
                </c:pt>
              </c:numCache>
            </c:numRef>
          </c:val>
        </c:ser>
        <c:ser>
          <c:idx val="3"/>
          <c:order val="3"/>
          <c:tx>
            <c:strRef>
              <c:f>Октябрь2013!$B$53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Октябрь2013!$C$49:$H$49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Октябрь2013!$C$53:$H$53</c:f>
              <c:numCache>
                <c:formatCode>General</c:formatCode>
                <c:ptCount val="6"/>
                <c:pt idx="2" formatCode="#,##0">
                  <c:v>4717</c:v>
                </c:pt>
                <c:pt idx="3" formatCode="#,##0">
                  <c:v>5348</c:v>
                </c:pt>
                <c:pt idx="4" formatCode="#,##0">
                  <c:v>5242</c:v>
                </c:pt>
                <c:pt idx="5" formatCode="#,##0">
                  <c:v>5261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8474112"/>
        <c:axId val="208475648"/>
        <c:axId val="0"/>
      </c:bar3DChart>
      <c:dateAx>
        <c:axId val="20847411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8475648"/>
        <c:crosses val="autoZero"/>
        <c:auto val="1"/>
        <c:lblOffset val="100"/>
        <c:baseTimeUnit val="years"/>
        <c:majorUnit val="1"/>
        <c:minorUnit val="1"/>
      </c:dateAx>
      <c:valAx>
        <c:axId val="208475648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847411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Октябрь2013!$B$84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Октябрь2013!$C$83:$H$83</c:f>
              <c:numCache>
                <c:formatCode>[$-419]mmmm\ yyyy;@</c:formatCode>
                <c:ptCount val="6"/>
                <c:pt idx="0">
                  <c:v>41424</c:v>
                </c:pt>
                <c:pt idx="1">
                  <c:v>41455</c:v>
                </c:pt>
                <c:pt idx="2">
                  <c:v>41485</c:v>
                </c:pt>
                <c:pt idx="3">
                  <c:v>41516</c:v>
                </c:pt>
                <c:pt idx="4">
                  <c:v>41547</c:v>
                </c:pt>
                <c:pt idx="5">
                  <c:v>41577</c:v>
                </c:pt>
              </c:numCache>
            </c:numRef>
          </c:cat>
          <c:val>
            <c:numRef>
              <c:f>Октябрь2013!$C$84:$H$84</c:f>
              <c:numCache>
                <c:formatCode>#,##0</c:formatCode>
                <c:ptCount val="6"/>
                <c:pt idx="0">
                  <c:v>877243</c:v>
                </c:pt>
                <c:pt idx="1">
                  <c:v>880422</c:v>
                </c:pt>
                <c:pt idx="2">
                  <c:v>884194</c:v>
                </c:pt>
                <c:pt idx="3">
                  <c:v>882528</c:v>
                </c:pt>
                <c:pt idx="4">
                  <c:v>872709</c:v>
                </c:pt>
                <c:pt idx="5">
                  <c:v>876196</c:v>
                </c:pt>
              </c:numCache>
            </c:numRef>
          </c:val>
        </c:ser>
        <c:ser>
          <c:idx val="1"/>
          <c:order val="1"/>
          <c:tx>
            <c:strRef>
              <c:f>Октябрь2013!$B$85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Октябрь2013!$C$83:$H$83</c:f>
              <c:numCache>
                <c:formatCode>[$-419]mmmm\ yyyy;@</c:formatCode>
                <c:ptCount val="6"/>
                <c:pt idx="0">
                  <c:v>41424</c:v>
                </c:pt>
                <c:pt idx="1">
                  <c:v>41455</c:v>
                </c:pt>
                <c:pt idx="2">
                  <c:v>41485</c:v>
                </c:pt>
                <c:pt idx="3">
                  <c:v>41516</c:v>
                </c:pt>
                <c:pt idx="4">
                  <c:v>41547</c:v>
                </c:pt>
                <c:pt idx="5">
                  <c:v>41577</c:v>
                </c:pt>
              </c:numCache>
            </c:numRef>
          </c:cat>
          <c:val>
            <c:numRef>
              <c:f>Октябрь2013!$C$85:$H$85</c:f>
              <c:numCache>
                <c:formatCode>#,##0</c:formatCode>
                <c:ptCount val="6"/>
                <c:pt idx="0">
                  <c:v>18978</c:v>
                </c:pt>
                <c:pt idx="1">
                  <c:v>19092</c:v>
                </c:pt>
                <c:pt idx="2">
                  <c:v>19208</c:v>
                </c:pt>
                <c:pt idx="3">
                  <c:v>19235</c:v>
                </c:pt>
                <c:pt idx="4">
                  <c:v>19279</c:v>
                </c:pt>
                <c:pt idx="5">
                  <c:v>19352</c:v>
                </c:pt>
              </c:numCache>
            </c:numRef>
          </c:val>
        </c:ser>
        <c:ser>
          <c:idx val="2"/>
          <c:order val="2"/>
          <c:tx>
            <c:strRef>
              <c:f>Октябрь2013!$B$86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Октябрь2013!$C$83:$H$83</c:f>
              <c:numCache>
                <c:formatCode>[$-419]mmmm\ yyyy;@</c:formatCode>
                <c:ptCount val="6"/>
                <c:pt idx="0">
                  <c:v>41424</c:v>
                </c:pt>
                <c:pt idx="1">
                  <c:v>41455</c:v>
                </c:pt>
                <c:pt idx="2">
                  <c:v>41485</c:v>
                </c:pt>
                <c:pt idx="3">
                  <c:v>41516</c:v>
                </c:pt>
                <c:pt idx="4">
                  <c:v>41547</c:v>
                </c:pt>
                <c:pt idx="5">
                  <c:v>41577</c:v>
                </c:pt>
              </c:numCache>
            </c:numRef>
          </c:cat>
          <c:val>
            <c:numRef>
              <c:f>Октябрь2013!$C$86:$H$86</c:f>
              <c:numCache>
                <c:formatCode>#,##0</c:formatCode>
                <c:ptCount val="6"/>
                <c:pt idx="0">
                  <c:v>6424</c:v>
                </c:pt>
                <c:pt idx="1">
                  <c:v>6588</c:v>
                </c:pt>
                <c:pt idx="2">
                  <c:v>6682</c:v>
                </c:pt>
                <c:pt idx="3">
                  <c:v>6722</c:v>
                </c:pt>
                <c:pt idx="4">
                  <c:v>6763</c:v>
                </c:pt>
                <c:pt idx="5">
                  <c:v>6810</c:v>
                </c:pt>
              </c:numCache>
            </c:numRef>
          </c:val>
        </c:ser>
        <c:ser>
          <c:idx val="3"/>
          <c:order val="3"/>
          <c:tx>
            <c:strRef>
              <c:f>Октябрь2013!$B$87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Октябрь2013!$C$83:$H$83</c:f>
              <c:numCache>
                <c:formatCode>[$-419]mmmm\ yyyy;@</c:formatCode>
                <c:ptCount val="6"/>
                <c:pt idx="0">
                  <c:v>41424</c:v>
                </c:pt>
                <c:pt idx="1">
                  <c:v>41455</c:v>
                </c:pt>
                <c:pt idx="2">
                  <c:v>41485</c:v>
                </c:pt>
                <c:pt idx="3">
                  <c:v>41516</c:v>
                </c:pt>
                <c:pt idx="4">
                  <c:v>41547</c:v>
                </c:pt>
                <c:pt idx="5">
                  <c:v>41577</c:v>
                </c:pt>
              </c:numCache>
            </c:numRef>
          </c:cat>
          <c:val>
            <c:numRef>
              <c:f>Октябрь2013!$C$87:$H$87</c:f>
              <c:numCache>
                <c:formatCode>#,##0</c:formatCode>
                <c:ptCount val="6"/>
                <c:pt idx="0">
                  <c:v>5237</c:v>
                </c:pt>
                <c:pt idx="1">
                  <c:v>5221</c:v>
                </c:pt>
                <c:pt idx="2">
                  <c:v>5233</c:v>
                </c:pt>
                <c:pt idx="3">
                  <c:v>5237</c:v>
                </c:pt>
                <c:pt idx="4">
                  <c:v>5254</c:v>
                </c:pt>
                <c:pt idx="5">
                  <c:v>5157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9325440"/>
        <c:axId val="209335424"/>
        <c:axId val="0"/>
      </c:bar3DChart>
      <c:dateAx>
        <c:axId val="209325440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933542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09335424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932544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'Ноябрь2013 '!$B$50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'Ноябрь2013 '!$C$49:$H$49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'Ноябрь2013 '!$C$50:$H$50</c:f>
              <c:numCache>
                <c:formatCode>General</c:formatCode>
                <c:ptCount val="6"/>
                <c:pt idx="2" formatCode="#,##0">
                  <c:v>671475</c:v>
                </c:pt>
                <c:pt idx="3" formatCode="#,##0">
                  <c:v>714295</c:v>
                </c:pt>
                <c:pt idx="4" formatCode="#,##0">
                  <c:v>772175</c:v>
                </c:pt>
                <c:pt idx="5" formatCode="#,##0">
                  <c:v>805549</c:v>
                </c:pt>
              </c:numCache>
            </c:numRef>
          </c:val>
        </c:ser>
        <c:ser>
          <c:idx val="1"/>
          <c:order val="1"/>
          <c:tx>
            <c:strRef>
              <c:f>'Ноябрь2013 '!$B$51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'Ноябрь2013 '!$C$49:$H$49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'Ноябрь2013 '!$C$51:$H$51</c:f>
              <c:numCache>
                <c:formatCode>General</c:formatCode>
                <c:ptCount val="6"/>
                <c:pt idx="2" formatCode="#,##0">
                  <c:v>16364</c:v>
                </c:pt>
                <c:pt idx="3" formatCode="#,##0">
                  <c:v>17170</c:v>
                </c:pt>
                <c:pt idx="4" formatCode="#,##0">
                  <c:v>16850</c:v>
                </c:pt>
                <c:pt idx="5" formatCode="#,##0">
                  <c:v>17821</c:v>
                </c:pt>
              </c:numCache>
            </c:numRef>
          </c:val>
        </c:ser>
        <c:ser>
          <c:idx val="2"/>
          <c:order val="2"/>
          <c:tx>
            <c:strRef>
              <c:f>'Ноябрь2013 '!$B$52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'Ноябрь2013 '!$C$49:$H$49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'Ноябрь2013 '!$C$52:$H$52</c:f>
              <c:numCache>
                <c:formatCode>General</c:formatCode>
                <c:ptCount val="6"/>
                <c:pt idx="2" formatCode="#,##0">
                  <c:v>3851</c:v>
                </c:pt>
                <c:pt idx="3" formatCode="#,##0">
                  <c:v>4295</c:v>
                </c:pt>
                <c:pt idx="4" formatCode="#,##0">
                  <c:v>5058</c:v>
                </c:pt>
                <c:pt idx="5" formatCode="#,##0">
                  <c:v>5876</c:v>
                </c:pt>
              </c:numCache>
            </c:numRef>
          </c:val>
        </c:ser>
        <c:ser>
          <c:idx val="3"/>
          <c:order val="3"/>
          <c:tx>
            <c:strRef>
              <c:f>'Ноябрь2013 '!$B$53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'Ноябрь2013 '!$C$49:$H$49</c:f>
              <c:numCache>
                <c:formatCode>General</c:formatCode>
                <c:ptCount val="6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</c:numCache>
            </c:numRef>
          </c:cat>
          <c:val>
            <c:numRef>
              <c:f>'Ноябрь2013 '!$C$53:$H$53</c:f>
              <c:numCache>
                <c:formatCode>General</c:formatCode>
                <c:ptCount val="6"/>
                <c:pt idx="2" formatCode="#,##0">
                  <c:v>4717</c:v>
                </c:pt>
                <c:pt idx="3" formatCode="#,##0">
                  <c:v>5348</c:v>
                </c:pt>
                <c:pt idx="4" formatCode="#,##0">
                  <c:v>5242</c:v>
                </c:pt>
                <c:pt idx="5" formatCode="#,##0">
                  <c:v>5261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9231872"/>
        <c:axId val="209233408"/>
        <c:axId val="0"/>
      </c:bar3DChart>
      <c:dateAx>
        <c:axId val="20923187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9233408"/>
        <c:crosses val="autoZero"/>
        <c:auto val="1"/>
        <c:lblOffset val="100"/>
        <c:baseTimeUnit val="years"/>
        <c:majorUnit val="1"/>
        <c:minorUnit val="1"/>
      </c:dateAx>
      <c:valAx>
        <c:axId val="209233408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923187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'Ноябрь2013 '!$B$84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'Ноябрь2013 '!$C$83:$H$83</c:f>
              <c:numCache>
                <c:formatCode>[$-419]mmmm\ yyyy;@</c:formatCode>
                <c:ptCount val="6"/>
                <c:pt idx="0">
                  <c:v>41455</c:v>
                </c:pt>
                <c:pt idx="1">
                  <c:v>41485</c:v>
                </c:pt>
                <c:pt idx="2">
                  <c:v>41516</c:v>
                </c:pt>
                <c:pt idx="3">
                  <c:v>41547</c:v>
                </c:pt>
                <c:pt idx="4">
                  <c:v>41577</c:v>
                </c:pt>
                <c:pt idx="5">
                  <c:v>41608</c:v>
                </c:pt>
              </c:numCache>
            </c:numRef>
          </c:cat>
          <c:val>
            <c:numRef>
              <c:f>'Ноябрь2013 '!$C$84:$H$84</c:f>
              <c:numCache>
                <c:formatCode>#,##0</c:formatCode>
                <c:ptCount val="6"/>
                <c:pt idx="0">
                  <c:v>880422</c:v>
                </c:pt>
                <c:pt idx="1">
                  <c:v>884194</c:v>
                </c:pt>
                <c:pt idx="2">
                  <c:v>882528</c:v>
                </c:pt>
                <c:pt idx="3">
                  <c:v>872709</c:v>
                </c:pt>
                <c:pt idx="4">
                  <c:v>876196</c:v>
                </c:pt>
                <c:pt idx="5">
                  <c:v>878908</c:v>
                </c:pt>
              </c:numCache>
            </c:numRef>
          </c:val>
        </c:ser>
        <c:ser>
          <c:idx val="1"/>
          <c:order val="1"/>
          <c:tx>
            <c:strRef>
              <c:f>'Ноябрь2013 '!$B$85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'Ноябрь2013 '!$C$83:$H$83</c:f>
              <c:numCache>
                <c:formatCode>[$-419]mmmm\ yyyy;@</c:formatCode>
                <c:ptCount val="6"/>
                <c:pt idx="0">
                  <c:v>41455</c:v>
                </c:pt>
                <c:pt idx="1">
                  <c:v>41485</c:v>
                </c:pt>
                <c:pt idx="2">
                  <c:v>41516</c:v>
                </c:pt>
                <c:pt idx="3">
                  <c:v>41547</c:v>
                </c:pt>
                <c:pt idx="4">
                  <c:v>41577</c:v>
                </c:pt>
                <c:pt idx="5">
                  <c:v>41608</c:v>
                </c:pt>
              </c:numCache>
            </c:numRef>
          </c:cat>
          <c:val>
            <c:numRef>
              <c:f>'Ноябрь2013 '!$C$85:$H$85</c:f>
              <c:numCache>
                <c:formatCode>#,##0</c:formatCode>
                <c:ptCount val="6"/>
                <c:pt idx="0">
                  <c:v>19092</c:v>
                </c:pt>
                <c:pt idx="1">
                  <c:v>19208</c:v>
                </c:pt>
                <c:pt idx="2">
                  <c:v>19235</c:v>
                </c:pt>
                <c:pt idx="3">
                  <c:v>19279</c:v>
                </c:pt>
                <c:pt idx="4">
                  <c:v>19352</c:v>
                </c:pt>
                <c:pt idx="5">
                  <c:v>19435</c:v>
                </c:pt>
              </c:numCache>
            </c:numRef>
          </c:val>
        </c:ser>
        <c:ser>
          <c:idx val="2"/>
          <c:order val="2"/>
          <c:tx>
            <c:strRef>
              <c:f>'Ноябрь2013 '!$B$86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'Ноябрь2013 '!$C$83:$H$83</c:f>
              <c:numCache>
                <c:formatCode>[$-419]mmmm\ yyyy;@</c:formatCode>
                <c:ptCount val="6"/>
                <c:pt idx="0">
                  <c:v>41455</c:v>
                </c:pt>
                <c:pt idx="1">
                  <c:v>41485</c:v>
                </c:pt>
                <c:pt idx="2">
                  <c:v>41516</c:v>
                </c:pt>
                <c:pt idx="3">
                  <c:v>41547</c:v>
                </c:pt>
                <c:pt idx="4">
                  <c:v>41577</c:v>
                </c:pt>
                <c:pt idx="5">
                  <c:v>41608</c:v>
                </c:pt>
              </c:numCache>
            </c:numRef>
          </c:cat>
          <c:val>
            <c:numRef>
              <c:f>'Ноябрь2013 '!$C$86:$H$86</c:f>
              <c:numCache>
                <c:formatCode>#,##0</c:formatCode>
                <c:ptCount val="6"/>
                <c:pt idx="0">
                  <c:v>6588</c:v>
                </c:pt>
                <c:pt idx="1">
                  <c:v>6682</c:v>
                </c:pt>
                <c:pt idx="2">
                  <c:v>6722</c:v>
                </c:pt>
                <c:pt idx="3">
                  <c:v>6763</c:v>
                </c:pt>
                <c:pt idx="4">
                  <c:v>6810</c:v>
                </c:pt>
                <c:pt idx="5">
                  <c:v>6874</c:v>
                </c:pt>
              </c:numCache>
            </c:numRef>
          </c:val>
        </c:ser>
        <c:ser>
          <c:idx val="3"/>
          <c:order val="3"/>
          <c:tx>
            <c:strRef>
              <c:f>'Ноябрь2013 '!$B$87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'Ноябрь2013 '!$C$83:$H$83</c:f>
              <c:numCache>
                <c:formatCode>[$-419]mmmm\ yyyy;@</c:formatCode>
                <c:ptCount val="6"/>
                <c:pt idx="0">
                  <c:v>41455</c:v>
                </c:pt>
                <c:pt idx="1">
                  <c:v>41485</c:v>
                </c:pt>
                <c:pt idx="2">
                  <c:v>41516</c:v>
                </c:pt>
                <c:pt idx="3">
                  <c:v>41547</c:v>
                </c:pt>
                <c:pt idx="4">
                  <c:v>41577</c:v>
                </c:pt>
                <c:pt idx="5">
                  <c:v>41608</c:v>
                </c:pt>
              </c:numCache>
            </c:numRef>
          </c:cat>
          <c:val>
            <c:numRef>
              <c:f>'Ноябрь2013 '!$C$87:$H$87</c:f>
              <c:numCache>
                <c:formatCode>#,##0</c:formatCode>
                <c:ptCount val="6"/>
                <c:pt idx="0">
                  <c:v>5221</c:v>
                </c:pt>
                <c:pt idx="1">
                  <c:v>5233</c:v>
                </c:pt>
                <c:pt idx="2">
                  <c:v>5237</c:v>
                </c:pt>
                <c:pt idx="3">
                  <c:v>5254</c:v>
                </c:pt>
                <c:pt idx="4">
                  <c:v>5157</c:v>
                </c:pt>
                <c:pt idx="5">
                  <c:v>5205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7113600"/>
        <c:axId val="207115392"/>
        <c:axId val="0"/>
      </c:bar3DChart>
      <c:dateAx>
        <c:axId val="207113600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7115392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07115392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711360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Декабрь2013!$B$50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Декабрь2013!$C$49:$I$49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Декабрь2013!$C$50:$I$50</c:f>
              <c:numCache>
                <c:formatCode>General</c:formatCode>
                <c:ptCount val="7"/>
                <c:pt idx="2" formatCode="#,##0">
                  <c:v>671475</c:v>
                </c:pt>
                <c:pt idx="3" formatCode="#,##0">
                  <c:v>714295</c:v>
                </c:pt>
                <c:pt idx="4" formatCode="#,##0">
                  <c:v>772175</c:v>
                </c:pt>
                <c:pt idx="5" formatCode="#,##0">
                  <c:v>805549</c:v>
                </c:pt>
                <c:pt idx="6" formatCode="#,##0">
                  <c:v>881844</c:v>
                </c:pt>
              </c:numCache>
            </c:numRef>
          </c:val>
        </c:ser>
        <c:ser>
          <c:idx val="1"/>
          <c:order val="1"/>
          <c:tx>
            <c:strRef>
              <c:f>Декабрь2013!$B$51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Декабрь2013!$C$49:$I$49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Декабрь2013!$C$51:$I$51</c:f>
              <c:numCache>
                <c:formatCode>General</c:formatCode>
                <c:ptCount val="7"/>
                <c:pt idx="2" formatCode="#,##0">
                  <c:v>16364</c:v>
                </c:pt>
                <c:pt idx="3" formatCode="#,##0">
                  <c:v>17170</c:v>
                </c:pt>
                <c:pt idx="4" formatCode="#,##0">
                  <c:v>16850</c:v>
                </c:pt>
                <c:pt idx="5" formatCode="#,##0">
                  <c:v>17821</c:v>
                </c:pt>
                <c:pt idx="6" formatCode="#,##0">
                  <c:v>19539</c:v>
                </c:pt>
              </c:numCache>
            </c:numRef>
          </c:val>
        </c:ser>
        <c:ser>
          <c:idx val="2"/>
          <c:order val="2"/>
          <c:tx>
            <c:strRef>
              <c:f>Декабрь2013!$B$52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Декабрь2013!$C$49:$I$49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Декабрь2013!$C$52:$I$52</c:f>
              <c:numCache>
                <c:formatCode>General</c:formatCode>
                <c:ptCount val="7"/>
                <c:pt idx="2" formatCode="#,##0">
                  <c:v>3851</c:v>
                </c:pt>
                <c:pt idx="3" formatCode="#,##0">
                  <c:v>4295</c:v>
                </c:pt>
                <c:pt idx="4" formatCode="#,##0">
                  <c:v>5058</c:v>
                </c:pt>
                <c:pt idx="5" formatCode="#,##0">
                  <c:v>5876</c:v>
                </c:pt>
                <c:pt idx="6" formatCode="#,##0">
                  <c:v>6957</c:v>
                </c:pt>
              </c:numCache>
            </c:numRef>
          </c:val>
        </c:ser>
        <c:ser>
          <c:idx val="3"/>
          <c:order val="3"/>
          <c:tx>
            <c:strRef>
              <c:f>Декабрь2013!$B$53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Декабрь2013!$C$49:$I$49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Декабрь2013!$C$53:$I$53</c:f>
              <c:numCache>
                <c:formatCode>General</c:formatCode>
                <c:ptCount val="7"/>
                <c:pt idx="2" formatCode="#,##0">
                  <c:v>4717</c:v>
                </c:pt>
                <c:pt idx="3" formatCode="#,##0">
                  <c:v>5348</c:v>
                </c:pt>
                <c:pt idx="4" formatCode="#,##0">
                  <c:v>5242</c:v>
                </c:pt>
                <c:pt idx="5" formatCode="#,##0">
                  <c:v>5261</c:v>
                </c:pt>
                <c:pt idx="6" formatCode="#,##0">
                  <c:v>5182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9698816"/>
        <c:axId val="209700352"/>
        <c:axId val="0"/>
      </c:bar3DChart>
      <c:dateAx>
        <c:axId val="20969881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9700352"/>
        <c:crosses val="autoZero"/>
        <c:auto val="1"/>
        <c:lblOffset val="100"/>
        <c:baseTimeUnit val="years"/>
        <c:majorUnit val="1"/>
        <c:minorUnit val="1"/>
      </c:dateAx>
      <c:valAx>
        <c:axId val="209700352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969881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Декабрь2013!$B$84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Декабрь2013!$C$83:$H$83</c:f>
              <c:numCache>
                <c:formatCode>[$-419]mmmm\ yyyy;@</c:formatCode>
                <c:ptCount val="6"/>
                <c:pt idx="0">
                  <c:v>41485</c:v>
                </c:pt>
                <c:pt idx="1">
                  <c:v>41516</c:v>
                </c:pt>
                <c:pt idx="2">
                  <c:v>41547</c:v>
                </c:pt>
                <c:pt idx="3">
                  <c:v>41577</c:v>
                </c:pt>
                <c:pt idx="4">
                  <c:v>41608</c:v>
                </c:pt>
                <c:pt idx="5">
                  <c:v>41638</c:v>
                </c:pt>
              </c:numCache>
            </c:numRef>
          </c:cat>
          <c:val>
            <c:numRef>
              <c:f>Декабрь2013!$C$84:$H$84</c:f>
              <c:numCache>
                <c:formatCode>#,##0</c:formatCode>
                <c:ptCount val="6"/>
                <c:pt idx="0">
                  <c:v>884194</c:v>
                </c:pt>
                <c:pt idx="1">
                  <c:v>882528</c:v>
                </c:pt>
                <c:pt idx="2">
                  <c:v>872709</c:v>
                </c:pt>
                <c:pt idx="3">
                  <c:v>876196</c:v>
                </c:pt>
                <c:pt idx="4">
                  <c:v>878908</c:v>
                </c:pt>
                <c:pt idx="5">
                  <c:v>881844</c:v>
                </c:pt>
              </c:numCache>
            </c:numRef>
          </c:val>
        </c:ser>
        <c:ser>
          <c:idx val="1"/>
          <c:order val="1"/>
          <c:tx>
            <c:strRef>
              <c:f>Декабрь2013!$B$85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Декабрь2013!$C$83:$H$83</c:f>
              <c:numCache>
                <c:formatCode>[$-419]mmmm\ yyyy;@</c:formatCode>
                <c:ptCount val="6"/>
                <c:pt idx="0">
                  <c:v>41485</c:v>
                </c:pt>
                <c:pt idx="1">
                  <c:v>41516</c:v>
                </c:pt>
                <c:pt idx="2">
                  <c:v>41547</c:v>
                </c:pt>
                <c:pt idx="3">
                  <c:v>41577</c:v>
                </c:pt>
                <c:pt idx="4">
                  <c:v>41608</c:v>
                </c:pt>
                <c:pt idx="5">
                  <c:v>41638</c:v>
                </c:pt>
              </c:numCache>
            </c:numRef>
          </c:cat>
          <c:val>
            <c:numRef>
              <c:f>Декабрь2013!$C$85:$H$85</c:f>
              <c:numCache>
                <c:formatCode>#,##0</c:formatCode>
                <c:ptCount val="6"/>
                <c:pt idx="0">
                  <c:v>19208</c:v>
                </c:pt>
                <c:pt idx="1">
                  <c:v>19235</c:v>
                </c:pt>
                <c:pt idx="2">
                  <c:v>19279</c:v>
                </c:pt>
                <c:pt idx="3">
                  <c:v>19352</c:v>
                </c:pt>
                <c:pt idx="4">
                  <c:v>19435</c:v>
                </c:pt>
                <c:pt idx="5">
                  <c:v>19539</c:v>
                </c:pt>
              </c:numCache>
            </c:numRef>
          </c:val>
        </c:ser>
        <c:ser>
          <c:idx val="2"/>
          <c:order val="2"/>
          <c:tx>
            <c:strRef>
              <c:f>Декабрь2013!$B$86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Декабрь2013!$C$83:$H$83</c:f>
              <c:numCache>
                <c:formatCode>[$-419]mmmm\ yyyy;@</c:formatCode>
                <c:ptCount val="6"/>
                <c:pt idx="0">
                  <c:v>41485</c:v>
                </c:pt>
                <c:pt idx="1">
                  <c:v>41516</c:v>
                </c:pt>
                <c:pt idx="2">
                  <c:v>41547</c:v>
                </c:pt>
                <c:pt idx="3">
                  <c:v>41577</c:v>
                </c:pt>
                <c:pt idx="4">
                  <c:v>41608</c:v>
                </c:pt>
                <c:pt idx="5">
                  <c:v>41638</c:v>
                </c:pt>
              </c:numCache>
            </c:numRef>
          </c:cat>
          <c:val>
            <c:numRef>
              <c:f>Декабрь2013!$C$86:$H$86</c:f>
              <c:numCache>
                <c:formatCode>#,##0</c:formatCode>
                <c:ptCount val="6"/>
                <c:pt idx="0">
                  <c:v>6682</c:v>
                </c:pt>
                <c:pt idx="1">
                  <c:v>6722</c:v>
                </c:pt>
                <c:pt idx="2">
                  <c:v>6763</c:v>
                </c:pt>
                <c:pt idx="3">
                  <c:v>6810</c:v>
                </c:pt>
                <c:pt idx="4">
                  <c:v>6874</c:v>
                </c:pt>
                <c:pt idx="5">
                  <c:v>6957</c:v>
                </c:pt>
              </c:numCache>
            </c:numRef>
          </c:val>
        </c:ser>
        <c:ser>
          <c:idx val="3"/>
          <c:order val="3"/>
          <c:tx>
            <c:strRef>
              <c:f>Декабрь2013!$B$87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Декабрь2013!$C$83:$H$83</c:f>
              <c:numCache>
                <c:formatCode>[$-419]mmmm\ yyyy;@</c:formatCode>
                <c:ptCount val="6"/>
                <c:pt idx="0">
                  <c:v>41485</c:v>
                </c:pt>
                <c:pt idx="1">
                  <c:v>41516</c:v>
                </c:pt>
                <c:pt idx="2">
                  <c:v>41547</c:v>
                </c:pt>
                <c:pt idx="3">
                  <c:v>41577</c:v>
                </c:pt>
                <c:pt idx="4">
                  <c:v>41608</c:v>
                </c:pt>
                <c:pt idx="5">
                  <c:v>41638</c:v>
                </c:pt>
              </c:numCache>
            </c:numRef>
          </c:cat>
          <c:val>
            <c:numRef>
              <c:f>Декабрь2013!$C$87:$H$87</c:f>
              <c:numCache>
                <c:formatCode>#,##0</c:formatCode>
                <c:ptCount val="6"/>
                <c:pt idx="0">
                  <c:v>5233</c:v>
                </c:pt>
                <c:pt idx="1">
                  <c:v>5237</c:v>
                </c:pt>
                <c:pt idx="2">
                  <c:v>5254</c:v>
                </c:pt>
                <c:pt idx="3">
                  <c:v>5157</c:v>
                </c:pt>
                <c:pt idx="4">
                  <c:v>5205</c:v>
                </c:pt>
                <c:pt idx="5">
                  <c:v>5182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9288576"/>
        <c:axId val="209306752"/>
        <c:axId val="0"/>
      </c:bar3DChart>
      <c:dateAx>
        <c:axId val="209288576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9306752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09306752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92885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54</xdr:row>
      <xdr:rowOff>123825</xdr:rowOff>
    </xdr:from>
    <xdr:to>
      <xdr:col>8</xdr:col>
      <xdr:colOff>0</xdr:colOff>
      <xdr:row>79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139</xdr:row>
          <xdr:rowOff>0</xdr:rowOff>
        </xdr:from>
        <xdr:to>
          <xdr:col>1</xdr:col>
          <xdr:colOff>666750</xdr:colOff>
          <xdr:row>141</xdr:row>
          <xdr:rowOff>47625</xdr:rowOff>
        </xdr:to>
        <xdr:sp macro="" textlink="">
          <xdr:nvSpPr>
            <xdr:cNvPr id="114689" name="Object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54</xdr:row>
      <xdr:rowOff>123825</xdr:rowOff>
    </xdr:from>
    <xdr:to>
      <xdr:col>8</xdr:col>
      <xdr:colOff>0</xdr:colOff>
      <xdr:row>79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63</xdr:row>
          <xdr:rowOff>76200</xdr:rowOff>
        </xdr:from>
        <xdr:to>
          <xdr:col>1</xdr:col>
          <xdr:colOff>209550</xdr:colOff>
          <xdr:row>64</xdr:row>
          <xdr:rowOff>114300</xdr:rowOff>
        </xdr:to>
        <xdr:sp macro="" textlink="">
          <xdr:nvSpPr>
            <xdr:cNvPr id="115713" name="Object 1" hidden="1">
              <a:extLst>
                <a:ext uri="{63B3BB69-23CF-44E3-9099-C40C66FF867C}">
                  <a14:compatExt spid="_x0000_s115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54</xdr:row>
      <xdr:rowOff>123825</xdr:rowOff>
    </xdr:from>
    <xdr:to>
      <xdr:col>8</xdr:col>
      <xdr:colOff>0</xdr:colOff>
      <xdr:row>79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63</xdr:row>
          <xdr:rowOff>76200</xdr:rowOff>
        </xdr:from>
        <xdr:to>
          <xdr:col>1</xdr:col>
          <xdr:colOff>209550</xdr:colOff>
          <xdr:row>64</xdr:row>
          <xdr:rowOff>114300</xdr:rowOff>
        </xdr:to>
        <xdr:sp macro="" textlink="">
          <xdr:nvSpPr>
            <xdr:cNvPr id="116737" name="Object 1" hidden="1">
              <a:extLst>
                <a:ext uri="{63B3BB69-23CF-44E3-9099-C40C66FF867C}">
                  <a14:compatExt spid="_x0000_s116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54</xdr:row>
      <xdr:rowOff>123825</xdr:rowOff>
    </xdr:from>
    <xdr:to>
      <xdr:col>8</xdr:col>
      <xdr:colOff>0</xdr:colOff>
      <xdr:row>79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69</xdr:row>
          <xdr:rowOff>38100</xdr:rowOff>
        </xdr:from>
        <xdr:to>
          <xdr:col>1</xdr:col>
          <xdr:colOff>228600</xdr:colOff>
          <xdr:row>70</xdr:row>
          <xdr:rowOff>95250</xdr:rowOff>
        </xdr:to>
        <xdr:sp macro="" textlink="">
          <xdr:nvSpPr>
            <xdr:cNvPr id="117761" name="Object 1" hidden="1">
              <a:extLst>
                <a:ext uri="{63B3BB69-23CF-44E3-9099-C40C66FF867C}">
                  <a14:compatExt spid="_x0000_s117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54</xdr:row>
      <xdr:rowOff>123825</xdr:rowOff>
    </xdr:from>
    <xdr:to>
      <xdr:col>8</xdr:col>
      <xdr:colOff>0</xdr:colOff>
      <xdr:row>79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75</xdr:row>
          <xdr:rowOff>19050</xdr:rowOff>
        </xdr:from>
        <xdr:to>
          <xdr:col>1</xdr:col>
          <xdr:colOff>266700</xdr:colOff>
          <xdr:row>76</xdr:row>
          <xdr:rowOff>104775</xdr:rowOff>
        </xdr:to>
        <xdr:sp macro="" textlink="">
          <xdr:nvSpPr>
            <xdr:cNvPr id="118785" name="Object 1" hidden="1">
              <a:extLst>
                <a:ext uri="{63B3BB69-23CF-44E3-9099-C40C66FF867C}">
                  <a14:compatExt spid="_x0000_s11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54</xdr:row>
      <xdr:rowOff>123825</xdr:rowOff>
    </xdr:from>
    <xdr:to>
      <xdr:col>8</xdr:col>
      <xdr:colOff>0</xdr:colOff>
      <xdr:row>79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75</xdr:row>
          <xdr:rowOff>19050</xdr:rowOff>
        </xdr:from>
        <xdr:to>
          <xdr:col>1</xdr:col>
          <xdr:colOff>266700</xdr:colOff>
          <xdr:row>76</xdr:row>
          <xdr:rowOff>104775</xdr:rowOff>
        </xdr:to>
        <xdr:sp macro="" textlink="">
          <xdr:nvSpPr>
            <xdr:cNvPr id="119809" name="Object 1" hidden="1">
              <a:extLst>
                <a:ext uri="{63B3BB69-23CF-44E3-9099-C40C66FF867C}">
                  <a14:compatExt spid="_x0000_s119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54</xdr:row>
      <xdr:rowOff>123825</xdr:rowOff>
    </xdr:from>
    <xdr:to>
      <xdr:col>8</xdr:col>
      <xdr:colOff>0</xdr:colOff>
      <xdr:row>79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75</xdr:row>
          <xdr:rowOff>19050</xdr:rowOff>
        </xdr:from>
        <xdr:to>
          <xdr:col>1</xdr:col>
          <xdr:colOff>266700</xdr:colOff>
          <xdr:row>76</xdr:row>
          <xdr:rowOff>104775</xdr:rowOff>
        </xdr:to>
        <xdr:sp macro="" textlink="">
          <xdr:nvSpPr>
            <xdr:cNvPr id="120833" name="Object 1" hidden="1">
              <a:extLst>
                <a:ext uri="{63B3BB69-23CF-44E3-9099-C40C66FF867C}">
                  <a14:compatExt spid="_x0000_s120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54</xdr:row>
      <xdr:rowOff>123825</xdr:rowOff>
    </xdr:from>
    <xdr:to>
      <xdr:col>8</xdr:col>
      <xdr:colOff>0</xdr:colOff>
      <xdr:row>79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75</xdr:row>
          <xdr:rowOff>19050</xdr:rowOff>
        </xdr:from>
        <xdr:to>
          <xdr:col>1</xdr:col>
          <xdr:colOff>266700</xdr:colOff>
          <xdr:row>76</xdr:row>
          <xdr:rowOff>104775</xdr:rowOff>
        </xdr:to>
        <xdr:sp macro="" textlink="">
          <xdr:nvSpPr>
            <xdr:cNvPr id="121857" name="Object 1" hidden="1">
              <a:extLst>
                <a:ext uri="{63B3BB69-23CF-44E3-9099-C40C66FF867C}">
                  <a14:compatExt spid="_x0000_s121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54</xdr:row>
      <xdr:rowOff>123825</xdr:rowOff>
    </xdr:from>
    <xdr:to>
      <xdr:col>8</xdr:col>
      <xdr:colOff>0</xdr:colOff>
      <xdr:row>79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75</xdr:row>
          <xdr:rowOff>19050</xdr:rowOff>
        </xdr:from>
        <xdr:to>
          <xdr:col>1</xdr:col>
          <xdr:colOff>266700</xdr:colOff>
          <xdr:row>76</xdr:row>
          <xdr:rowOff>104775</xdr:rowOff>
        </xdr:to>
        <xdr:sp macro="" textlink="">
          <xdr:nvSpPr>
            <xdr:cNvPr id="122881" name="Object 1" hidden="1">
              <a:extLst>
                <a:ext uri="{63B3BB69-23CF-44E3-9099-C40C66FF867C}">
                  <a14:compatExt spid="_x0000_s122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54</xdr:row>
      <xdr:rowOff>123825</xdr:rowOff>
    </xdr:from>
    <xdr:to>
      <xdr:col>8</xdr:col>
      <xdr:colOff>0</xdr:colOff>
      <xdr:row>79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75</xdr:row>
          <xdr:rowOff>142875</xdr:rowOff>
        </xdr:from>
        <xdr:to>
          <xdr:col>1</xdr:col>
          <xdr:colOff>266700</xdr:colOff>
          <xdr:row>77</xdr:row>
          <xdr:rowOff>38100</xdr:rowOff>
        </xdr:to>
        <xdr:sp macro="" textlink="">
          <xdr:nvSpPr>
            <xdr:cNvPr id="123905" name="Object 1" hidden="1">
              <a:extLst>
                <a:ext uri="{63B3BB69-23CF-44E3-9099-C40C66FF867C}">
                  <a14:compatExt spid="_x0000_s123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54</xdr:row>
      <xdr:rowOff>123825</xdr:rowOff>
    </xdr:from>
    <xdr:to>
      <xdr:col>8</xdr:col>
      <xdr:colOff>0</xdr:colOff>
      <xdr:row>79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75</xdr:row>
          <xdr:rowOff>142875</xdr:rowOff>
        </xdr:from>
        <xdr:to>
          <xdr:col>1</xdr:col>
          <xdr:colOff>266700</xdr:colOff>
          <xdr:row>77</xdr:row>
          <xdr:rowOff>38100</xdr:rowOff>
        </xdr:to>
        <xdr:sp macro="" textlink="">
          <xdr:nvSpPr>
            <xdr:cNvPr id="124929" name="Object 1" hidden="1">
              <a:extLst>
                <a:ext uri="{63B3BB69-23CF-44E3-9099-C40C66FF867C}">
                  <a14:compatExt spid="_x0000_s124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25953" name="Object 1" hidden="1">
              <a:extLst>
                <a:ext uri="{63B3BB69-23CF-44E3-9099-C40C66FF867C}">
                  <a14:compatExt spid="_x0000_s125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oleObject" Target="file:///C:\Documents%20and%20Settings\malina\&#1056;&#1072;&#1073;&#1086;&#1095;&#1080;&#1081;%20&#1089;&#1090;&#1086;&#1083;\&#1082;&#1083;&#1080;&#1077;&#1085;&#1090;&#1099;\&#1047;&#1072;&#1088;&#1077;&#1075;&#1080;&#1089;&#1090;&#1088;&#1080;&#1088;&#1086;&#1074;&#1072;&#1085;&#1085;&#1099;&#1077;201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Excel.Sheet.12">
    <oleItems>
      <mc:AlternateContent xmlns:mc="http://schemas.openxmlformats.org/markup-compatibility/2006">
        <mc:Choice Requires="x14">
          <x14:oleItem name="!Январь2012!R1C2:R10C9" advise="1"/>
        </mc:Choice>
        <mc:Fallback>
          <oleItem name="!Январь2012!R1C2:R10C9" advise="1"/>
        </mc:Fallback>
      </mc:AlternateContent>
    </oleItems>
  </oleLin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73">
    <pageSetUpPr fitToPage="1"/>
  </sheetPr>
  <dimension ref="B2:O179"/>
  <sheetViews>
    <sheetView topLeftCell="A67" workbookViewId="0">
      <selection activeCell="I69" sqref="I69"/>
    </sheetView>
  </sheetViews>
  <sheetFormatPr defaultRowHeight="13.5"/>
  <cols>
    <col min="1" max="1" width="3.42578125" style="88" customWidth="1"/>
    <col min="2" max="2" width="46.7109375" style="88" customWidth="1"/>
    <col min="3" max="6" width="18.42578125" style="88" customWidth="1"/>
    <col min="7" max="7" width="23.28515625" style="88" customWidth="1"/>
    <col min="8" max="8" width="18.42578125" style="88" customWidth="1"/>
    <col min="9" max="9" width="19.42578125" style="91" customWidth="1"/>
    <col min="10" max="10" width="9.140625" style="88"/>
    <col min="11" max="11" width="29.28515625" style="88" customWidth="1"/>
    <col min="12" max="12" width="14.85546875" style="88" bestFit="1" customWidth="1"/>
    <col min="13" max="13" width="9.140625" style="88"/>
    <col min="14" max="14" width="23.42578125" style="88" customWidth="1"/>
    <col min="15" max="16384" width="9.140625" style="88"/>
  </cols>
  <sheetData>
    <row r="2" spans="2:15" s="1" customFormat="1" ht="20.25">
      <c r="B2" s="123" t="s">
        <v>15</v>
      </c>
      <c r="C2" s="123"/>
      <c r="D2" s="123"/>
      <c r="E2" s="123"/>
      <c r="F2" s="123"/>
      <c r="G2" s="123"/>
      <c r="H2" s="123"/>
      <c r="I2" s="61"/>
    </row>
    <row r="3" spans="2:15" s="1" customFormat="1" ht="21" thickBot="1">
      <c r="B3" s="124">
        <v>41275</v>
      </c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</row>
    <row r="4" spans="2:15" s="1" customFormat="1" ht="18" thickTop="1">
      <c r="I4" s="61"/>
    </row>
    <row r="5" spans="2:15" s="1" customFormat="1" ht="17.25">
      <c r="B5" s="19"/>
      <c r="C5" s="19"/>
      <c r="D5" s="19"/>
      <c r="E5" s="19"/>
      <c r="F5" s="19"/>
      <c r="G5" s="19"/>
      <c r="H5" s="19"/>
      <c r="I5" s="61"/>
    </row>
    <row r="6" spans="2:15" s="1" customFormat="1" ht="17.25">
      <c r="B6" s="20" t="s">
        <v>24</v>
      </c>
      <c r="C6" s="77">
        <f>B3</f>
        <v>41275</v>
      </c>
      <c r="D6" s="19"/>
      <c r="E6" s="19"/>
      <c r="F6" s="19"/>
      <c r="G6" s="19"/>
      <c r="H6" s="19"/>
      <c r="I6" s="61"/>
    </row>
    <row r="7" spans="2:15" s="1" customFormat="1" ht="18" thickBot="1">
      <c r="B7" s="23"/>
      <c r="C7" s="23"/>
      <c r="D7" s="23"/>
      <c r="E7" s="23"/>
      <c r="F7" s="23"/>
      <c r="G7" s="23"/>
      <c r="H7" s="23"/>
      <c r="I7" s="61"/>
    </row>
    <row r="8" spans="2:15">
      <c r="B8" s="2"/>
      <c r="C8" s="2"/>
      <c r="D8" s="2"/>
      <c r="E8" s="2"/>
    </row>
    <row r="9" spans="2:15" s="4" customFormat="1" ht="12.75">
      <c r="C9" s="3"/>
      <c r="D9" s="3"/>
      <c r="E9" s="3"/>
      <c r="F9" s="3"/>
      <c r="I9" s="62"/>
    </row>
    <row r="10" spans="2:15" ht="18" thickBot="1">
      <c r="B10" s="15" t="s">
        <v>70</v>
      </c>
      <c r="C10" s="16"/>
      <c r="D10" s="16"/>
      <c r="E10" s="16"/>
      <c r="F10" s="16"/>
      <c r="G10" s="16"/>
      <c r="H10" s="17" t="s">
        <v>13</v>
      </c>
    </row>
    <row r="11" spans="2:15" s="49" customFormat="1" ht="15.75" thickBot="1">
      <c r="B11" s="125" t="s">
        <v>18</v>
      </c>
      <c r="C11" s="125"/>
      <c r="D11" s="126"/>
      <c r="E11" s="85">
        <v>41273</v>
      </c>
      <c r="F11" s="85">
        <f>EDATE(E11,1)</f>
        <v>41304</v>
      </c>
      <c r="G11" s="48" t="s">
        <v>10</v>
      </c>
      <c r="H11" s="48" t="s">
        <v>11</v>
      </c>
      <c r="I11" s="63"/>
      <c r="K11" s="90"/>
    </row>
    <row r="12" spans="2:15" s="89" customFormat="1" ht="17.25">
      <c r="B12" s="127" t="s">
        <v>0</v>
      </c>
      <c r="C12" s="127"/>
      <c r="D12" s="128"/>
      <c r="E12" s="103">
        <v>992397</v>
      </c>
      <c r="F12" s="103">
        <v>1032925</v>
      </c>
      <c r="G12" s="13">
        <f>F12-E12</f>
        <v>40528</v>
      </c>
      <c r="H12" s="68">
        <f>F12/E12-1</f>
        <v>4.0838495078078685E-2</v>
      </c>
      <c r="K12" s="90"/>
    </row>
    <row r="13" spans="2:15" s="89" customFormat="1" ht="17.25">
      <c r="B13" s="129" t="s">
        <v>1</v>
      </c>
      <c r="C13" s="129"/>
      <c r="D13" s="130"/>
      <c r="E13" s="103">
        <v>34954</v>
      </c>
      <c r="F13" s="103">
        <v>35320</v>
      </c>
      <c r="G13" s="95">
        <f t="shared" ref="G13:G18" si="0">F13-E13</f>
        <v>366</v>
      </c>
      <c r="H13" s="96">
        <f t="shared" ref="H13:H18" si="1">F13/E13-1</f>
        <v>1.0470904617497334E-2</v>
      </c>
      <c r="K13" s="90"/>
    </row>
    <row r="14" spans="2:15" s="89" customFormat="1" ht="17.25">
      <c r="B14" s="129" t="s">
        <v>2</v>
      </c>
      <c r="C14" s="129"/>
      <c r="D14" s="130"/>
      <c r="E14" s="103">
        <v>12200</v>
      </c>
      <c r="F14" s="103">
        <v>12481</v>
      </c>
      <c r="G14" s="95">
        <f t="shared" si="0"/>
        <v>281</v>
      </c>
      <c r="H14" s="96">
        <f t="shared" si="1"/>
        <v>2.3032786885245793E-2</v>
      </c>
      <c r="J14" s="90"/>
    </row>
    <row r="15" spans="2:15" s="89" customFormat="1" ht="17.25">
      <c r="B15" s="131" t="s">
        <v>41</v>
      </c>
      <c r="C15" s="131"/>
      <c r="D15" s="132"/>
      <c r="E15" s="103">
        <v>2163</v>
      </c>
      <c r="F15" s="103">
        <v>2250</v>
      </c>
      <c r="G15" s="93">
        <f t="shared" si="0"/>
        <v>87</v>
      </c>
      <c r="H15" s="94">
        <f t="shared" si="1"/>
        <v>4.0221914008321757E-2</v>
      </c>
      <c r="J15" s="90"/>
    </row>
    <row r="16" spans="2:15" s="89" customFormat="1" ht="17.25">
      <c r="B16" s="133" t="s">
        <v>42</v>
      </c>
      <c r="C16" s="133"/>
      <c r="D16" s="134"/>
      <c r="E16" s="103">
        <v>10037</v>
      </c>
      <c r="F16" s="103">
        <v>10231</v>
      </c>
      <c r="G16" s="93">
        <f t="shared" si="0"/>
        <v>194</v>
      </c>
      <c r="H16" s="94">
        <f t="shared" si="1"/>
        <v>1.9328484606954355E-2</v>
      </c>
      <c r="J16" s="90"/>
    </row>
    <row r="17" spans="2:11" s="89" customFormat="1" ht="18" customHeight="1" thickBot="1">
      <c r="B17" s="135" t="s">
        <v>3</v>
      </c>
      <c r="C17" s="135"/>
      <c r="D17" s="136"/>
      <c r="E17" s="103">
        <v>15799</v>
      </c>
      <c r="F17" s="103">
        <v>17206</v>
      </c>
      <c r="G17" s="12">
        <f t="shared" si="0"/>
        <v>1407</v>
      </c>
      <c r="H17" s="67">
        <f t="shared" si="1"/>
        <v>8.9056269384138131E-2</v>
      </c>
      <c r="K17" s="90"/>
    </row>
    <row r="18" spans="2:11" s="79" customFormat="1" ht="18" thickBot="1">
      <c r="B18" s="69" t="s">
        <v>4</v>
      </c>
      <c r="C18" s="69"/>
      <c r="D18" s="70"/>
      <c r="E18" s="82">
        <v>1055350</v>
      </c>
      <c r="F18" s="82">
        <v>1097932</v>
      </c>
      <c r="G18" s="82">
        <f t="shared" si="0"/>
        <v>42582</v>
      </c>
      <c r="H18" s="78">
        <f t="shared" si="1"/>
        <v>4.034869948358355E-2</v>
      </c>
    </row>
    <row r="19" spans="2:11" ht="15">
      <c r="B19" s="10"/>
      <c r="C19" s="2"/>
      <c r="D19" s="2"/>
      <c r="E19" s="2"/>
      <c r="F19" s="2"/>
      <c r="G19" s="2"/>
    </row>
    <row r="20" spans="2:11" ht="15">
      <c r="B20" s="10"/>
      <c r="C20" s="2"/>
      <c r="D20" s="2"/>
      <c r="E20" s="2"/>
      <c r="F20" s="2"/>
      <c r="G20" s="2"/>
    </row>
    <row r="21" spans="2:11" ht="18" thickBot="1">
      <c r="B21" s="15" t="s">
        <v>71</v>
      </c>
      <c r="C21" s="16"/>
      <c r="D21" s="16"/>
      <c r="E21" s="16"/>
      <c r="F21" s="16"/>
      <c r="G21" s="16"/>
      <c r="H21" s="17" t="s">
        <v>12</v>
      </c>
    </row>
    <row r="22" spans="2:11" s="89" customFormat="1" ht="15.75" thickBot="1">
      <c r="B22" s="125" t="s">
        <v>18</v>
      </c>
      <c r="C22" s="125"/>
      <c r="D22" s="126"/>
      <c r="E22" s="85">
        <f>E11</f>
        <v>41273</v>
      </c>
      <c r="F22" s="85">
        <f>F11</f>
        <v>41304</v>
      </c>
      <c r="G22" s="48" t="s">
        <v>10</v>
      </c>
      <c r="H22" s="48" t="s">
        <v>11</v>
      </c>
      <c r="I22" s="92"/>
      <c r="K22" s="90"/>
    </row>
    <row r="23" spans="2:11" s="89" customFormat="1" ht="17.25">
      <c r="B23" s="127" t="s">
        <v>0</v>
      </c>
      <c r="C23" s="127"/>
      <c r="D23" s="128"/>
      <c r="E23" s="103">
        <v>805549</v>
      </c>
      <c r="F23" s="103">
        <v>833454</v>
      </c>
      <c r="G23" s="13">
        <f>F23-E23</f>
        <v>27905</v>
      </c>
      <c r="H23" s="68">
        <f>F23/E23-1</f>
        <v>3.464097156100987E-2</v>
      </c>
      <c r="J23" s="90"/>
    </row>
    <row r="24" spans="2:11" s="89" customFormat="1" ht="17.25">
      <c r="B24" s="129" t="s">
        <v>1</v>
      </c>
      <c r="C24" s="129"/>
      <c r="D24" s="130"/>
      <c r="E24" s="103">
        <v>17821</v>
      </c>
      <c r="F24" s="103">
        <v>18015</v>
      </c>
      <c r="G24" s="95">
        <f t="shared" ref="G24:G29" si="2">F24-E24</f>
        <v>194</v>
      </c>
      <c r="H24" s="96">
        <f t="shared" ref="H24:H29" si="3">F24/E24-1</f>
        <v>1.0886033331462874E-2</v>
      </c>
      <c r="J24" s="90"/>
    </row>
    <row r="25" spans="2:11" s="89" customFormat="1" ht="17.25">
      <c r="B25" s="129" t="s">
        <v>2</v>
      </c>
      <c r="C25" s="129"/>
      <c r="D25" s="130"/>
      <c r="E25" s="103">
        <v>5876</v>
      </c>
      <c r="F25" s="103">
        <v>6049</v>
      </c>
      <c r="G25" s="95">
        <f t="shared" si="2"/>
        <v>173</v>
      </c>
      <c r="H25" s="96">
        <f t="shared" si="3"/>
        <v>2.9441797140912218E-2</v>
      </c>
      <c r="J25" s="90"/>
    </row>
    <row r="26" spans="2:11" s="89" customFormat="1" ht="17.25">
      <c r="B26" s="131" t="s">
        <v>41</v>
      </c>
      <c r="C26" s="131"/>
      <c r="D26" s="132"/>
      <c r="E26" s="103">
        <v>2073</v>
      </c>
      <c r="F26" s="103">
        <v>2153</v>
      </c>
      <c r="G26" s="93">
        <f t="shared" si="2"/>
        <v>80</v>
      </c>
      <c r="H26" s="94">
        <f t="shared" si="3"/>
        <v>3.8591413410516084E-2</v>
      </c>
      <c r="J26" s="90"/>
    </row>
    <row r="27" spans="2:11" s="89" customFormat="1" ht="17.25">
      <c r="B27" s="133" t="s">
        <v>42</v>
      </c>
      <c r="C27" s="133"/>
      <c r="D27" s="134"/>
      <c r="E27" s="103">
        <v>3803</v>
      </c>
      <c r="F27" s="103">
        <v>3896</v>
      </c>
      <c r="G27" s="93">
        <f t="shared" si="2"/>
        <v>93</v>
      </c>
      <c r="H27" s="94">
        <f t="shared" si="3"/>
        <v>2.4454378122534814E-2</v>
      </c>
      <c r="J27" s="90"/>
    </row>
    <row r="28" spans="2:11" s="89" customFormat="1" ht="18" thickBot="1">
      <c r="B28" s="135" t="s">
        <v>3</v>
      </c>
      <c r="C28" s="135"/>
      <c r="D28" s="136"/>
      <c r="E28" s="103">
        <v>5261</v>
      </c>
      <c r="F28" s="103">
        <v>5288</v>
      </c>
      <c r="G28" s="12">
        <f t="shared" si="2"/>
        <v>27</v>
      </c>
      <c r="H28" s="67">
        <f t="shared" si="3"/>
        <v>5.1321041627068187E-3</v>
      </c>
      <c r="J28" s="90"/>
    </row>
    <row r="29" spans="2:11" s="79" customFormat="1" ht="18" thickBot="1">
      <c r="B29" s="69" t="s">
        <v>4</v>
      </c>
      <c r="C29" s="69"/>
      <c r="D29" s="70"/>
      <c r="E29" s="82">
        <v>834507</v>
      </c>
      <c r="F29" s="82">
        <v>862806</v>
      </c>
      <c r="G29" s="82">
        <f t="shared" si="2"/>
        <v>28299</v>
      </c>
      <c r="H29" s="78">
        <f t="shared" si="3"/>
        <v>3.3911039691698175E-2</v>
      </c>
    </row>
    <row r="30" spans="2:11" ht="15">
      <c r="B30" s="10"/>
      <c r="C30" s="2"/>
      <c r="D30" s="2"/>
      <c r="E30" s="2"/>
      <c r="F30" s="2"/>
      <c r="G30" s="2"/>
    </row>
    <row r="31" spans="2:11" ht="15">
      <c r="B31" s="10"/>
      <c r="C31" s="2"/>
      <c r="D31" s="2"/>
      <c r="E31" s="2"/>
      <c r="F31" s="2"/>
      <c r="G31" s="2"/>
    </row>
    <row r="32" spans="2:11" ht="18" thickBot="1">
      <c r="B32" s="15" t="s">
        <v>16</v>
      </c>
      <c r="C32" s="16"/>
      <c r="D32" s="16"/>
      <c r="E32" s="16"/>
      <c r="F32" s="16"/>
      <c r="G32" s="16"/>
      <c r="H32" s="17" t="s">
        <v>14</v>
      </c>
    </row>
    <row r="33" spans="2:9" ht="15.75" thickBot="1">
      <c r="B33" s="137" t="s">
        <v>18</v>
      </c>
      <c r="C33" s="137"/>
      <c r="D33" s="138"/>
      <c r="E33" s="83">
        <f>EDATE(C6,-1)</f>
        <v>41244</v>
      </c>
      <c r="F33" s="83">
        <f>EDATE(E33,1)</f>
        <v>41275</v>
      </c>
      <c r="G33" s="18" t="s">
        <v>10</v>
      </c>
      <c r="H33" s="18" t="s">
        <v>11</v>
      </c>
    </row>
    <row r="34" spans="2:9" ht="17.25">
      <c r="B34" s="139" t="s">
        <v>0</v>
      </c>
      <c r="C34" s="139"/>
      <c r="D34" s="140"/>
      <c r="E34" s="97">
        <v>70302</v>
      </c>
      <c r="F34" s="97">
        <v>76073</v>
      </c>
      <c r="G34" s="13">
        <f>F34-E34</f>
        <v>5771</v>
      </c>
      <c r="H34" s="68">
        <f>F34/E34-1</f>
        <v>8.2088703024095988E-2</v>
      </c>
      <c r="I34" s="88"/>
    </row>
    <row r="35" spans="2:9" ht="17.25">
      <c r="B35" s="152" t="s">
        <v>1</v>
      </c>
      <c r="C35" s="152"/>
      <c r="D35" s="153"/>
      <c r="E35" s="11">
        <v>1613</v>
      </c>
      <c r="F35" s="97">
        <v>1457</v>
      </c>
      <c r="G35" s="95">
        <f t="shared" ref="G35:G40" si="4">F35-E35</f>
        <v>-156</v>
      </c>
      <c r="H35" s="96">
        <f t="shared" ref="H35:H40" si="5">F35/E35-1</f>
        <v>-9.6714197148171088E-2</v>
      </c>
      <c r="I35" s="88"/>
    </row>
    <row r="36" spans="2:9" ht="17.25">
      <c r="B36" s="152" t="s">
        <v>2</v>
      </c>
      <c r="C36" s="152"/>
      <c r="D36" s="153"/>
      <c r="E36" s="11">
        <v>666</v>
      </c>
      <c r="F36" s="97">
        <v>638</v>
      </c>
      <c r="G36" s="95">
        <f t="shared" si="4"/>
        <v>-28</v>
      </c>
      <c r="H36" s="96">
        <f t="shared" si="5"/>
        <v>-4.2042042042042094E-2</v>
      </c>
      <c r="I36" s="88"/>
    </row>
    <row r="37" spans="2:9" ht="17.25">
      <c r="B37" s="131" t="s">
        <v>41</v>
      </c>
      <c r="C37" s="131"/>
      <c r="D37" s="132"/>
      <c r="E37" s="103">
        <v>160</v>
      </c>
      <c r="F37" s="97">
        <v>171</v>
      </c>
      <c r="G37" s="93">
        <f t="shared" si="4"/>
        <v>11</v>
      </c>
      <c r="H37" s="94">
        <f t="shared" si="5"/>
        <v>6.8750000000000089E-2</v>
      </c>
      <c r="I37" s="88"/>
    </row>
    <row r="38" spans="2:9" ht="17.25">
      <c r="B38" s="133" t="s">
        <v>42</v>
      </c>
      <c r="C38" s="133"/>
      <c r="D38" s="134"/>
      <c r="E38" s="103">
        <v>506</v>
      </c>
      <c r="F38" s="97">
        <v>467</v>
      </c>
      <c r="G38" s="93">
        <f t="shared" si="4"/>
        <v>-39</v>
      </c>
      <c r="H38" s="94">
        <f t="shared" si="5"/>
        <v>-7.7075098814229248E-2</v>
      </c>
      <c r="I38" s="88"/>
    </row>
    <row r="39" spans="2:9" ht="18" thickBot="1">
      <c r="B39" s="154" t="s">
        <v>3</v>
      </c>
      <c r="C39" s="154"/>
      <c r="D39" s="155"/>
      <c r="E39" s="97">
        <v>944</v>
      </c>
      <c r="F39" s="97">
        <v>950</v>
      </c>
      <c r="G39" s="12">
        <f t="shared" si="4"/>
        <v>6</v>
      </c>
      <c r="H39" s="67">
        <f t="shared" si="5"/>
        <v>6.3559322033899246E-3</v>
      </c>
      <c r="I39" s="88"/>
    </row>
    <row r="40" spans="2:9" s="79" customFormat="1" ht="18" thickBot="1">
      <c r="B40" s="69" t="s">
        <v>4</v>
      </c>
      <c r="C40" s="69"/>
      <c r="D40" s="70"/>
      <c r="E40" s="82">
        <v>73525</v>
      </c>
      <c r="F40" s="82">
        <v>79118</v>
      </c>
      <c r="G40" s="82">
        <f t="shared" si="4"/>
        <v>5593</v>
      </c>
      <c r="H40" s="78">
        <f t="shared" si="5"/>
        <v>7.6069364161849728E-2</v>
      </c>
    </row>
    <row r="41" spans="2:9" ht="15">
      <c r="B41" s="6"/>
      <c r="C41" s="6"/>
      <c r="D41" s="6"/>
      <c r="E41" s="45"/>
      <c r="F41" s="45"/>
      <c r="G41" s="46"/>
      <c r="H41" s="47"/>
    </row>
    <row r="42" spans="2:9" ht="15">
      <c r="B42" s="10"/>
      <c r="C42" s="2"/>
      <c r="D42" s="2"/>
      <c r="E42" s="2"/>
      <c r="F42" s="2"/>
      <c r="G42" s="2"/>
    </row>
    <row r="43" spans="2:9" ht="17.25">
      <c r="B43" s="21"/>
      <c r="C43" s="21"/>
      <c r="D43" s="21"/>
      <c r="E43" s="21"/>
      <c r="F43" s="21"/>
      <c r="G43" s="21"/>
      <c r="H43" s="21"/>
    </row>
    <row r="44" spans="2:9" ht="17.25">
      <c r="B44" s="22" t="s">
        <v>17</v>
      </c>
      <c r="C44" s="21"/>
      <c r="D44" s="21"/>
      <c r="E44" s="21"/>
      <c r="F44" s="21"/>
      <c r="G44" s="21"/>
      <c r="H44" s="21"/>
    </row>
    <row r="45" spans="2:9" ht="18" thickBot="1">
      <c r="B45" s="24"/>
      <c r="C45" s="24"/>
      <c r="D45" s="24"/>
      <c r="E45" s="24"/>
      <c r="F45" s="24"/>
      <c r="G45" s="24"/>
      <c r="H45" s="24"/>
    </row>
    <row r="47" spans="2:9">
      <c r="F47" s="5"/>
    </row>
    <row r="48" spans="2:9" ht="18" thickBot="1">
      <c r="B48" s="14" t="s">
        <v>72</v>
      </c>
      <c r="C48" s="25"/>
      <c r="D48" s="25"/>
      <c r="E48" s="25"/>
      <c r="F48" s="25"/>
      <c r="G48" s="25"/>
      <c r="H48" s="26" t="s">
        <v>13</v>
      </c>
    </row>
    <row r="49" spans="2:9" ht="15.75" thickBot="1">
      <c r="B49" s="137" t="s">
        <v>18</v>
      </c>
      <c r="C49" s="137"/>
      <c r="D49" s="138"/>
      <c r="E49" s="85">
        <v>40178</v>
      </c>
      <c r="F49" s="85">
        <v>40543</v>
      </c>
      <c r="G49" s="85">
        <v>40908</v>
      </c>
      <c r="H49" s="85">
        <v>41274</v>
      </c>
      <c r="I49" s="88"/>
    </row>
    <row r="50" spans="2:9" ht="17.25">
      <c r="B50" s="141" t="s">
        <v>0</v>
      </c>
      <c r="C50" s="141"/>
      <c r="D50" s="142"/>
      <c r="E50" s="99">
        <v>671475</v>
      </c>
      <c r="F50" s="99">
        <v>714295</v>
      </c>
      <c r="G50" s="99">
        <v>772175</v>
      </c>
      <c r="H50" s="99">
        <v>805549</v>
      </c>
      <c r="I50" s="88"/>
    </row>
    <row r="51" spans="2:9" ht="17.25">
      <c r="B51" s="143" t="s">
        <v>1</v>
      </c>
      <c r="C51" s="143"/>
      <c r="D51" s="144"/>
      <c r="E51" s="100">
        <v>16364</v>
      </c>
      <c r="F51" s="100">
        <v>17170</v>
      </c>
      <c r="G51" s="100">
        <v>16850</v>
      </c>
      <c r="H51" s="100">
        <v>17821</v>
      </c>
      <c r="I51" s="88"/>
    </row>
    <row r="52" spans="2:9" ht="17.25">
      <c r="B52" s="145" t="s">
        <v>2</v>
      </c>
      <c r="C52" s="145"/>
      <c r="D52" s="146"/>
      <c r="E52" s="102">
        <v>3851</v>
      </c>
      <c r="F52" s="102">
        <v>4295</v>
      </c>
      <c r="G52" s="102">
        <v>5058</v>
      </c>
      <c r="H52" s="102">
        <v>5876</v>
      </c>
      <c r="I52" s="88"/>
    </row>
    <row r="53" spans="2:9" ht="18" thickBot="1">
      <c r="B53" s="147" t="s">
        <v>3</v>
      </c>
      <c r="C53" s="147"/>
      <c r="D53" s="148"/>
      <c r="E53" s="98">
        <v>4717</v>
      </c>
      <c r="F53" s="98">
        <v>5348</v>
      </c>
      <c r="G53" s="98">
        <v>5242</v>
      </c>
      <c r="H53" s="98">
        <v>5261</v>
      </c>
      <c r="I53" s="88"/>
    </row>
    <row r="54" spans="2:9" s="81" customFormat="1" ht="18" thickBot="1">
      <c r="B54" s="149" t="s">
        <v>4</v>
      </c>
      <c r="C54" s="149"/>
      <c r="D54" s="150"/>
      <c r="E54" s="101">
        <v>696407</v>
      </c>
      <c r="F54" s="101">
        <v>741108</v>
      </c>
      <c r="G54" s="101">
        <v>799325</v>
      </c>
      <c r="H54" s="101">
        <v>834507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2" ht="15">
      <c r="B81" s="6"/>
      <c r="C81" s="7"/>
      <c r="D81" s="8"/>
      <c r="E81" s="8"/>
      <c r="F81" s="5"/>
      <c r="G81" s="8"/>
      <c r="H81" s="8"/>
      <c r="J81"/>
      <c r="K81"/>
      <c r="L81"/>
    </row>
    <row r="82" spans="2:12" ht="18" thickBot="1">
      <c r="B82" s="14" t="s">
        <v>73</v>
      </c>
      <c r="C82" s="25"/>
      <c r="D82" s="25"/>
      <c r="E82" s="25"/>
      <c r="F82" s="25"/>
      <c r="G82" s="25"/>
      <c r="H82" s="26" t="s">
        <v>12</v>
      </c>
      <c r="J82"/>
      <c r="K82"/>
      <c r="L82"/>
    </row>
    <row r="83" spans="2:12" ht="15.75" thickBot="1">
      <c r="B83" s="34" t="s">
        <v>18</v>
      </c>
      <c r="C83" s="85">
        <f>EDATE(D83,-1)</f>
        <v>41151</v>
      </c>
      <c r="D83" s="85">
        <f>EDATE(E83,-1)</f>
        <v>41182</v>
      </c>
      <c r="E83" s="85">
        <f>EDATE(F83,-1)</f>
        <v>41212</v>
      </c>
      <c r="F83" s="85">
        <f>EDATE(G83,-1)</f>
        <v>41243</v>
      </c>
      <c r="G83" s="85">
        <f>EDATE(H83,-1)</f>
        <v>41273</v>
      </c>
      <c r="H83" s="85">
        <f>EDATE(E11,1)</f>
        <v>41304</v>
      </c>
      <c r="I83" s="64"/>
      <c r="J83"/>
      <c r="K83"/>
    </row>
    <row r="84" spans="2:12" ht="16.5" customHeight="1">
      <c r="B84" s="27" t="s">
        <v>0</v>
      </c>
      <c r="C84" s="72">
        <v>791512</v>
      </c>
      <c r="D84" s="72">
        <v>796839</v>
      </c>
      <c r="E84" s="72">
        <v>804740</v>
      </c>
      <c r="F84" s="72">
        <v>815485</v>
      </c>
      <c r="G84" s="72">
        <v>805549</v>
      </c>
      <c r="H84" s="72">
        <v>833454</v>
      </c>
      <c r="J84"/>
      <c r="K84"/>
    </row>
    <row r="85" spans="2:12" ht="16.5" customHeight="1">
      <c r="B85" s="28" t="s">
        <v>1</v>
      </c>
      <c r="C85" s="73">
        <v>17475</v>
      </c>
      <c r="D85" s="73">
        <v>17573</v>
      </c>
      <c r="E85" s="73">
        <v>17648</v>
      </c>
      <c r="F85" s="73">
        <v>17752</v>
      </c>
      <c r="G85" s="73">
        <v>17821</v>
      </c>
      <c r="H85" s="73">
        <v>18015</v>
      </c>
      <c r="J85"/>
      <c r="K85"/>
    </row>
    <row r="86" spans="2:12" ht="16.5" customHeight="1">
      <c r="B86" s="29" t="s">
        <v>2</v>
      </c>
      <c r="C86" s="74">
        <v>5636</v>
      </c>
      <c r="D86" s="74">
        <v>5703</v>
      </c>
      <c r="E86" s="74">
        <v>5781</v>
      </c>
      <c r="F86" s="74">
        <v>5845</v>
      </c>
      <c r="G86" s="74">
        <v>5876</v>
      </c>
      <c r="H86" s="74">
        <v>6049</v>
      </c>
      <c r="J86"/>
      <c r="K86"/>
    </row>
    <row r="87" spans="2:12" ht="16.5" customHeight="1" thickBot="1">
      <c r="B87" s="30" t="s">
        <v>3</v>
      </c>
      <c r="C87" s="75">
        <v>5250</v>
      </c>
      <c r="D87" s="75">
        <v>5246</v>
      </c>
      <c r="E87" s="75">
        <v>5247</v>
      </c>
      <c r="F87" s="75">
        <v>5266</v>
      </c>
      <c r="G87" s="75">
        <v>5261</v>
      </c>
      <c r="H87" s="75">
        <v>5288</v>
      </c>
      <c r="I87" s="64"/>
      <c r="J87"/>
      <c r="K87"/>
    </row>
    <row r="88" spans="2:12" s="81" customFormat="1" ht="18" thickBot="1">
      <c r="B88" s="104" t="s">
        <v>4</v>
      </c>
      <c r="C88" s="76">
        <v>819873</v>
      </c>
      <c r="D88" s="76">
        <v>825361</v>
      </c>
      <c r="E88" s="76">
        <v>833416</v>
      </c>
      <c r="F88" s="76">
        <v>844348</v>
      </c>
      <c r="G88" s="76">
        <v>834507</v>
      </c>
      <c r="H88" s="76">
        <v>862806</v>
      </c>
      <c r="I88" s="80"/>
      <c r="J88" s="80"/>
      <c r="K88" s="80"/>
    </row>
    <row r="89" spans="2:12">
      <c r="J89"/>
      <c r="K89"/>
      <c r="L89"/>
    </row>
    <row r="90" spans="2:12">
      <c r="J90"/>
      <c r="K90"/>
      <c r="L90"/>
    </row>
    <row r="91" spans="2:12">
      <c r="B91" s="2"/>
      <c r="F91" s="2"/>
      <c r="G91" s="2"/>
      <c r="H91" s="2"/>
      <c r="J91"/>
      <c r="K91"/>
      <c r="L91"/>
    </row>
    <row r="92" spans="2:12">
      <c r="B92" s="2"/>
      <c r="F92" s="2"/>
      <c r="G92" s="2"/>
      <c r="H92" s="2"/>
      <c r="J92"/>
      <c r="K92"/>
      <c r="L92"/>
    </row>
    <row r="93" spans="2:12" ht="15">
      <c r="B93" s="10"/>
      <c r="C93" s="2"/>
      <c r="D93" s="2"/>
      <c r="E93" s="2"/>
      <c r="G93" s="2"/>
      <c r="H93" s="2"/>
      <c r="J93"/>
      <c r="K93"/>
      <c r="L93"/>
    </row>
    <row r="94" spans="2:12" s="4" customFormat="1" ht="12.75">
      <c r="B94" s="3"/>
      <c r="C94" s="3"/>
      <c r="D94" s="3"/>
      <c r="E94" s="3"/>
      <c r="F94" s="3"/>
      <c r="G94" s="3"/>
      <c r="H94" s="3"/>
      <c r="I94" s="62"/>
    </row>
    <row r="95" spans="2:12" ht="15">
      <c r="B95" s="9"/>
      <c r="C95" s="2"/>
      <c r="D95" s="2"/>
      <c r="E95" s="2"/>
      <c r="F95" s="2"/>
      <c r="G95" s="2"/>
      <c r="H95" s="2"/>
    </row>
    <row r="96" spans="2:12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31"/>
      <c r="C123" s="31"/>
      <c r="D123" s="31"/>
      <c r="E123" s="31"/>
      <c r="F123" s="31"/>
      <c r="G123" s="31"/>
      <c r="H123" s="31"/>
    </row>
    <row r="124" spans="2:8" ht="17.25">
      <c r="B124" s="32" t="s">
        <v>43</v>
      </c>
      <c r="C124" s="86">
        <v>41305</v>
      </c>
      <c r="D124" s="31"/>
      <c r="E124" s="31"/>
      <c r="F124" s="31"/>
      <c r="G124" s="31"/>
      <c r="H124" s="31"/>
    </row>
    <row r="125" spans="2:8" ht="18" thickBot="1">
      <c r="B125" s="33"/>
      <c r="C125" s="33"/>
      <c r="D125" s="33"/>
      <c r="E125" s="33"/>
      <c r="F125" s="33"/>
      <c r="G125" s="33"/>
      <c r="H125" s="33"/>
    </row>
    <row r="127" spans="2:8" ht="18" thickBot="1">
      <c r="B127" s="71"/>
      <c r="C127" s="87"/>
      <c r="D127" s="38"/>
      <c r="E127" s="38"/>
      <c r="F127" s="38"/>
      <c r="G127" s="38"/>
      <c r="H127" s="39" t="s">
        <v>13</v>
      </c>
    </row>
    <row r="128" spans="2:8" ht="30.75" customHeight="1" thickBot="1">
      <c r="B128" s="138" t="s">
        <v>44</v>
      </c>
      <c r="C128" s="151"/>
      <c r="D128" s="151"/>
      <c r="E128" s="151"/>
      <c r="F128" s="151"/>
      <c r="G128" s="163" t="s">
        <v>5</v>
      </c>
      <c r="H128" s="164"/>
    </row>
    <row r="129" spans="2:11" ht="18" customHeight="1">
      <c r="B129" s="140" t="s">
        <v>19</v>
      </c>
      <c r="C129" s="165"/>
      <c r="D129" s="165"/>
      <c r="E129" s="165"/>
      <c r="F129" s="165"/>
      <c r="G129" s="166">
        <v>597</v>
      </c>
      <c r="H129" s="167"/>
    </row>
    <row r="130" spans="2:11" ht="17.25" customHeight="1">
      <c r="B130" s="153" t="s">
        <v>39</v>
      </c>
      <c r="C130" s="168"/>
      <c r="D130" s="168"/>
      <c r="E130" s="168"/>
      <c r="F130" s="168"/>
      <c r="G130" s="166">
        <v>597</v>
      </c>
      <c r="H130" s="167"/>
    </row>
    <row r="131" spans="2:11" ht="18" customHeight="1" thickBot="1">
      <c r="B131" s="169" t="s">
        <v>40</v>
      </c>
      <c r="C131" s="170"/>
      <c r="D131" s="170"/>
      <c r="E131" s="170"/>
      <c r="F131" s="170"/>
      <c r="G131" s="166">
        <v>465</v>
      </c>
      <c r="H131" s="167"/>
    </row>
    <row r="134" spans="2:11" ht="17.25">
      <c r="B134" s="35"/>
      <c r="C134" s="35"/>
      <c r="D134" s="35"/>
      <c r="E134" s="35"/>
      <c r="F134" s="35"/>
      <c r="G134" s="35"/>
      <c r="H134" s="35"/>
    </row>
    <row r="135" spans="2:11" ht="17.25">
      <c r="B135" s="36" t="s">
        <v>25</v>
      </c>
      <c r="C135" s="35"/>
      <c r="D135" s="35"/>
      <c r="E135" s="36"/>
      <c r="F135" s="84">
        <f>C6</f>
        <v>41275</v>
      </c>
      <c r="G135" s="35"/>
      <c r="H135" s="35"/>
    </row>
    <row r="136" spans="2:11" ht="18" thickBot="1">
      <c r="B136" s="37"/>
      <c r="C136" s="37"/>
      <c r="D136" s="37"/>
      <c r="E136" s="37"/>
      <c r="F136" s="37"/>
      <c r="G136" s="37"/>
      <c r="H136" s="37"/>
    </row>
    <row r="138" spans="2:11" ht="18" thickBot="1">
      <c r="B138" s="40" t="s">
        <v>45</v>
      </c>
      <c r="C138" s="41"/>
      <c r="D138" s="41"/>
      <c r="E138" s="41"/>
      <c r="F138" s="41"/>
      <c r="G138" s="41"/>
      <c r="H138" s="42" t="s">
        <v>13</v>
      </c>
    </row>
    <row r="139" spans="2:11" ht="15.75" thickBot="1">
      <c r="B139" s="137" t="s">
        <v>20</v>
      </c>
      <c r="C139" s="137"/>
      <c r="D139" s="137"/>
      <c r="E139" s="137"/>
      <c r="F139" s="138"/>
      <c r="G139" s="156" t="s">
        <v>6</v>
      </c>
      <c r="H139" s="156"/>
      <c r="J139"/>
    </row>
    <row r="140" spans="2:11" ht="17.25" customHeight="1">
      <c r="B140" s="157" t="s">
        <v>21</v>
      </c>
      <c r="C140" s="157"/>
      <c r="D140" s="157"/>
      <c r="E140" s="157"/>
      <c r="F140" s="158"/>
      <c r="G140" s="159">
        <v>188901</v>
      </c>
      <c r="H140" s="160"/>
      <c r="J140" s="50"/>
      <c r="K140" s="53"/>
    </row>
    <row r="141" spans="2:11" ht="17.25">
      <c r="B141" s="152" t="s">
        <v>26</v>
      </c>
      <c r="C141" s="152"/>
      <c r="D141" s="152"/>
      <c r="E141" s="152"/>
      <c r="F141" s="153"/>
      <c r="G141" s="161">
        <v>173534</v>
      </c>
      <c r="H141" s="162"/>
      <c r="J141" s="50"/>
      <c r="K141" s="53"/>
    </row>
    <row r="142" spans="2:11" ht="17.25" customHeight="1">
      <c r="B142" s="152" t="s">
        <v>27</v>
      </c>
      <c r="C142" s="152"/>
      <c r="D142" s="152"/>
      <c r="E142" s="152"/>
      <c r="F142" s="153"/>
      <c r="G142" s="161">
        <v>118715</v>
      </c>
      <c r="H142" s="162"/>
      <c r="J142" s="50"/>
      <c r="K142" s="53"/>
    </row>
    <row r="143" spans="2:11" ht="17.25" customHeight="1">
      <c r="B143" s="152" t="s">
        <v>38</v>
      </c>
      <c r="C143" s="152"/>
      <c r="D143" s="152"/>
      <c r="E143" s="152"/>
      <c r="F143" s="153"/>
      <c r="G143" s="161">
        <v>105172</v>
      </c>
      <c r="H143" s="162"/>
      <c r="J143" s="50"/>
      <c r="K143" s="53"/>
    </row>
    <row r="144" spans="2:11" ht="17.25" customHeight="1">
      <c r="B144" s="152" t="s">
        <v>28</v>
      </c>
      <c r="C144" s="152"/>
      <c r="D144" s="152"/>
      <c r="E144" s="152"/>
      <c r="F144" s="153"/>
      <c r="G144" s="161">
        <v>59758</v>
      </c>
      <c r="H144" s="162"/>
      <c r="J144" s="50"/>
      <c r="K144" s="53"/>
    </row>
    <row r="145" spans="2:14" ht="13.5" customHeight="1">
      <c r="B145" s="152" t="s">
        <v>29</v>
      </c>
      <c r="C145" s="152"/>
      <c r="D145" s="152"/>
      <c r="E145" s="152"/>
      <c r="F145" s="153"/>
      <c r="G145" s="161">
        <v>42295</v>
      </c>
      <c r="H145" s="162"/>
      <c r="J145" s="54"/>
      <c r="K145" s="53"/>
    </row>
    <row r="146" spans="2:14" ht="17.25" customHeight="1">
      <c r="B146" s="152" t="s">
        <v>30</v>
      </c>
      <c r="C146" s="152"/>
      <c r="D146" s="152"/>
      <c r="E146" s="152"/>
      <c r="F146" s="153"/>
      <c r="G146" s="161">
        <v>34124</v>
      </c>
      <c r="H146" s="162"/>
      <c r="J146" s="50"/>
      <c r="K146" s="53"/>
    </row>
    <row r="147" spans="2:14" ht="17.25" customHeight="1">
      <c r="B147" s="152" t="s">
        <v>22</v>
      </c>
      <c r="C147" s="152"/>
      <c r="D147" s="152"/>
      <c r="E147" s="152"/>
      <c r="F147" s="153"/>
      <c r="G147" s="161">
        <v>32322</v>
      </c>
      <c r="H147" s="162"/>
      <c r="J147" s="50"/>
      <c r="K147" s="53"/>
    </row>
    <row r="148" spans="2:14" ht="17.25" customHeight="1">
      <c r="B148" s="152" t="s">
        <v>23</v>
      </c>
      <c r="C148" s="152"/>
      <c r="D148" s="152"/>
      <c r="E148" s="152"/>
      <c r="F148" s="153"/>
      <c r="G148" s="161">
        <v>19667</v>
      </c>
      <c r="H148" s="162"/>
      <c r="J148" s="50"/>
      <c r="K148" s="53"/>
      <c r="M148"/>
    </row>
    <row r="149" spans="2:14" ht="18" customHeight="1" thickBot="1">
      <c r="B149" s="171" t="s">
        <v>35</v>
      </c>
      <c r="C149" s="171"/>
      <c r="D149" s="171"/>
      <c r="E149" s="171"/>
      <c r="F149" s="169"/>
      <c r="G149" s="172">
        <v>19334</v>
      </c>
      <c r="H149" s="173"/>
      <c r="J149" s="50"/>
      <c r="K149" s="53"/>
      <c r="M149"/>
    </row>
    <row r="150" spans="2:14" ht="17.25">
      <c r="G150" s="44"/>
      <c r="H150" s="44"/>
      <c r="J150" s="55"/>
      <c r="K150" s="55"/>
    </row>
    <row r="151" spans="2:14" ht="17.25">
      <c r="B151" s="43"/>
      <c r="C151" s="43"/>
      <c r="D151" s="43"/>
      <c r="E151" s="43"/>
      <c r="F151" s="43"/>
      <c r="G151" s="44"/>
      <c r="H151" s="44"/>
      <c r="J151" s="55"/>
      <c r="K151" s="55"/>
    </row>
    <row r="152" spans="2:14" ht="18" thickBot="1">
      <c r="B152" s="40" t="s">
        <v>7</v>
      </c>
      <c r="C152" s="41"/>
      <c r="D152" s="41"/>
      <c r="E152" s="41"/>
      <c r="F152" s="41"/>
      <c r="G152" s="41"/>
      <c r="H152" s="42" t="s">
        <v>12</v>
      </c>
      <c r="J152" s="55"/>
      <c r="K152" s="55"/>
    </row>
    <row r="153" spans="2:14" ht="15.75" thickBot="1">
      <c r="B153" s="137" t="s">
        <v>20</v>
      </c>
      <c r="C153" s="137"/>
      <c r="D153" s="137"/>
      <c r="E153" s="137"/>
      <c r="F153" s="138"/>
      <c r="G153" s="156" t="s">
        <v>6</v>
      </c>
      <c r="H153" s="156"/>
      <c r="J153" s="55"/>
      <c r="K153" s="55"/>
      <c r="L153"/>
      <c r="M153"/>
      <c r="N153"/>
    </row>
    <row r="154" spans="2:14" ht="17.25" customHeight="1">
      <c r="B154" s="157" t="s">
        <v>26</v>
      </c>
      <c r="C154" s="157"/>
      <c r="D154" s="157"/>
      <c r="E154" s="157"/>
      <c r="F154" s="158"/>
      <c r="G154" s="159">
        <v>14332</v>
      </c>
      <c r="H154" s="160"/>
      <c r="I154" s="65"/>
      <c r="J154" s="56"/>
      <c r="K154" s="53"/>
      <c r="L154" s="52"/>
      <c r="M154"/>
      <c r="N154"/>
    </row>
    <row r="155" spans="2:14" ht="17.25" customHeight="1">
      <c r="B155" s="152" t="s">
        <v>27</v>
      </c>
      <c r="C155" s="152"/>
      <c r="D155" s="152"/>
      <c r="E155" s="152"/>
      <c r="F155" s="153"/>
      <c r="G155" s="161">
        <v>13779</v>
      </c>
      <c r="H155" s="162"/>
      <c r="I155" s="65"/>
      <c r="J155" s="56"/>
      <c r="K155" s="53"/>
      <c r="L155" s="52"/>
      <c r="M155"/>
      <c r="N155"/>
    </row>
    <row r="156" spans="2:14" ht="17.25" customHeight="1">
      <c r="B156" s="152" t="s">
        <v>38</v>
      </c>
      <c r="C156" s="152"/>
      <c r="D156" s="152"/>
      <c r="E156" s="152"/>
      <c r="F156" s="153"/>
      <c r="G156" s="161">
        <v>11911</v>
      </c>
      <c r="H156" s="162"/>
      <c r="I156" s="65"/>
      <c r="J156" s="56"/>
      <c r="K156" s="53"/>
      <c r="L156" s="52"/>
      <c r="M156"/>
      <c r="N156"/>
    </row>
    <row r="157" spans="2:14" ht="17.25">
      <c r="B157" s="152" t="s">
        <v>21</v>
      </c>
      <c r="C157" s="152"/>
      <c r="D157" s="152"/>
      <c r="E157" s="152"/>
      <c r="F157" s="153"/>
      <c r="G157" s="161">
        <v>7730</v>
      </c>
      <c r="H157" s="162"/>
      <c r="I157" s="65"/>
      <c r="J157" s="56"/>
      <c r="K157" s="53"/>
      <c r="L157" s="52"/>
      <c r="M157"/>
      <c r="N157"/>
    </row>
    <row r="158" spans="2:14" ht="17.25" customHeight="1">
      <c r="B158" s="152" t="s">
        <v>28</v>
      </c>
      <c r="C158" s="152"/>
      <c r="D158" s="152"/>
      <c r="E158" s="152"/>
      <c r="F158" s="153"/>
      <c r="G158" s="161">
        <v>4674</v>
      </c>
      <c r="H158" s="162"/>
      <c r="I158" s="65"/>
      <c r="J158" s="56"/>
      <c r="K158" s="53"/>
      <c r="L158" s="52"/>
      <c r="M158"/>
      <c r="N158"/>
    </row>
    <row r="159" spans="2:14" ht="17.25" customHeight="1">
      <c r="B159" s="152" t="s">
        <v>29</v>
      </c>
      <c r="C159" s="152"/>
      <c r="D159" s="152"/>
      <c r="E159" s="152"/>
      <c r="F159" s="153"/>
      <c r="G159" s="161">
        <v>4423</v>
      </c>
      <c r="H159" s="162"/>
      <c r="I159" s="65"/>
      <c r="J159" s="57"/>
      <c r="K159" s="53"/>
      <c r="L159" s="52"/>
      <c r="M159"/>
      <c r="N159"/>
    </row>
    <row r="160" spans="2:14" ht="17.25" customHeight="1">
      <c r="B160" s="152" t="s">
        <v>30</v>
      </c>
      <c r="C160" s="152"/>
      <c r="D160" s="152"/>
      <c r="E160" s="152"/>
      <c r="F160" s="153"/>
      <c r="G160" s="161">
        <v>3417</v>
      </c>
      <c r="H160" s="162"/>
      <c r="I160" s="65"/>
      <c r="J160" s="56"/>
      <c r="K160" s="53"/>
      <c r="L160" s="52"/>
      <c r="M160"/>
      <c r="N160"/>
    </row>
    <row r="161" spans="2:14" ht="17.25" customHeight="1">
      <c r="B161" s="152" t="s">
        <v>22</v>
      </c>
      <c r="C161" s="152"/>
      <c r="D161" s="152"/>
      <c r="E161" s="152"/>
      <c r="F161" s="153"/>
      <c r="G161" s="161">
        <v>2272</v>
      </c>
      <c r="H161" s="162"/>
      <c r="I161" s="65"/>
      <c r="J161" s="56"/>
      <c r="K161" s="53"/>
      <c r="L161" s="52"/>
      <c r="M161"/>
      <c r="N161"/>
    </row>
    <row r="162" spans="2:14" ht="17.25">
      <c r="B162" s="152" t="s">
        <v>36</v>
      </c>
      <c r="C162" s="152"/>
      <c r="D162" s="152"/>
      <c r="E162" s="152"/>
      <c r="F162" s="153"/>
      <c r="G162" s="161">
        <v>1820</v>
      </c>
      <c r="H162" s="162"/>
      <c r="I162" s="65"/>
      <c r="J162" s="56"/>
      <c r="K162" s="53"/>
      <c r="L162" s="52"/>
      <c r="M162"/>
      <c r="N162"/>
    </row>
    <row r="163" spans="2:14" ht="18" customHeight="1" thickBot="1">
      <c r="B163" s="171" t="s">
        <v>23</v>
      </c>
      <c r="C163" s="171"/>
      <c r="D163" s="171"/>
      <c r="E163" s="171"/>
      <c r="F163" s="169"/>
      <c r="G163" s="172">
        <v>1751</v>
      </c>
      <c r="H163" s="173"/>
      <c r="I163" s="65"/>
      <c r="J163" s="56"/>
      <c r="K163" s="53"/>
      <c r="L163" s="52"/>
      <c r="M163"/>
      <c r="N163"/>
    </row>
    <row r="164" spans="2:14" ht="17.25">
      <c r="B164" s="43"/>
      <c r="C164" s="43"/>
      <c r="D164" s="43"/>
      <c r="E164" s="43"/>
      <c r="F164" s="43"/>
      <c r="G164" s="44"/>
      <c r="H164" s="44"/>
      <c r="J164" s="55"/>
      <c r="K164" s="55"/>
      <c r="M164"/>
      <c r="N164"/>
    </row>
    <row r="165" spans="2:14" ht="17.25">
      <c r="G165" s="44"/>
      <c r="H165" s="44"/>
      <c r="J165" s="2"/>
      <c r="K165" s="2"/>
    </row>
    <row r="166" spans="2:14" ht="18" thickBot="1">
      <c r="B166" s="40" t="s">
        <v>8</v>
      </c>
      <c r="C166" s="41"/>
      <c r="D166" s="41"/>
      <c r="E166" s="41"/>
      <c r="F166" s="41"/>
      <c r="G166" s="41"/>
      <c r="H166" s="42" t="s">
        <v>14</v>
      </c>
      <c r="J166" s="2"/>
      <c r="K166" s="55"/>
      <c r="L166"/>
    </row>
    <row r="167" spans="2:14" ht="15" customHeight="1" thickBot="1">
      <c r="B167" s="137" t="s">
        <v>20</v>
      </c>
      <c r="C167" s="137"/>
      <c r="D167" s="137"/>
      <c r="E167" s="137"/>
      <c r="F167" s="138"/>
      <c r="G167" s="156" t="s">
        <v>9</v>
      </c>
      <c r="H167" s="156"/>
      <c r="J167" s="2"/>
      <c r="K167" s="2"/>
    </row>
    <row r="168" spans="2:14" ht="17.25" customHeight="1">
      <c r="B168" s="157" t="s">
        <v>30</v>
      </c>
      <c r="C168" s="157"/>
      <c r="D168" s="157"/>
      <c r="E168" s="157"/>
      <c r="F168" s="158"/>
      <c r="G168" s="159">
        <v>732602792076.80005</v>
      </c>
      <c r="H168" s="160"/>
      <c r="I168" s="65"/>
      <c r="J168" s="58"/>
      <c r="K168" s="59"/>
    </row>
    <row r="169" spans="2:14" ht="17.25" customHeight="1">
      <c r="B169" s="152" t="s">
        <v>37</v>
      </c>
      <c r="C169" s="152"/>
      <c r="D169" s="152"/>
      <c r="E169" s="152"/>
      <c r="F169" s="153"/>
      <c r="G169" s="161">
        <v>516050434850.52002</v>
      </c>
      <c r="H169" s="162"/>
      <c r="I169" s="65"/>
      <c r="J169" s="58"/>
      <c r="K169" s="59"/>
    </row>
    <row r="170" spans="2:14" ht="17.25" customHeight="1">
      <c r="B170" s="152" t="s">
        <v>31</v>
      </c>
      <c r="C170" s="152"/>
      <c r="D170" s="152"/>
      <c r="E170" s="152"/>
      <c r="F170" s="153"/>
      <c r="G170" s="161">
        <v>444186418616.77002</v>
      </c>
      <c r="H170" s="162"/>
      <c r="I170" s="65"/>
      <c r="J170" s="58"/>
      <c r="K170" s="59"/>
    </row>
    <row r="171" spans="2:14" ht="17.25" customHeight="1">
      <c r="B171" s="152" t="s">
        <v>38</v>
      </c>
      <c r="C171" s="152"/>
      <c r="D171" s="152"/>
      <c r="E171" s="152"/>
      <c r="F171" s="153"/>
      <c r="G171" s="161">
        <v>407100961885.88</v>
      </c>
      <c r="H171" s="162"/>
      <c r="I171" s="65"/>
      <c r="J171" s="58"/>
      <c r="K171" s="59"/>
    </row>
    <row r="172" spans="2:14" ht="17.25" customHeight="1">
      <c r="B172" s="152" t="s">
        <v>27</v>
      </c>
      <c r="C172" s="152"/>
      <c r="D172" s="152"/>
      <c r="E172" s="152"/>
      <c r="F172" s="153"/>
      <c r="G172" s="161">
        <v>341185338849.19</v>
      </c>
      <c r="H172" s="162"/>
      <c r="I172" s="65"/>
      <c r="J172" s="60"/>
      <c r="K172" s="53"/>
    </row>
    <row r="173" spans="2:14" ht="17.25" customHeight="1">
      <c r="B173" s="152" t="s">
        <v>32</v>
      </c>
      <c r="C173" s="152"/>
      <c r="D173" s="152"/>
      <c r="E173" s="152"/>
      <c r="F173" s="153"/>
      <c r="G173" s="161">
        <v>314422552079.85999</v>
      </c>
      <c r="H173" s="162"/>
      <c r="I173" s="65"/>
      <c r="J173" s="58"/>
      <c r="K173" s="59"/>
    </row>
    <row r="174" spans="2:14" ht="17.25" customHeight="1">
      <c r="B174" s="152" t="s">
        <v>29</v>
      </c>
      <c r="C174" s="152"/>
      <c r="D174" s="152"/>
      <c r="E174" s="152"/>
      <c r="F174" s="153"/>
      <c r="G174" s="161">
        <v>277881461015.5</v>
      </c>
      <c r="H174" s="162"/>
      <c r="I174" s="65"/>
      <c r="J174" s="58"/>
      <c r="K174" s="59"/>
    </row>
    <row r="175" spans="2:14" ht="17.25" customHeight="1">
      <c r="B175" s="152" t="s">
        <v>33</v>
      </c>
      <c r="C175" s="152"/>
      <c r="D175" s="152"/>
      <c r="E175" s="152"/>
      <c r="F175" s="153"/>
      <c r="G175" s="161">
        <v>238212197180.14999</v>
      </c>
      <c r="H175" s="162"/>
      <c r="I175" s="65"/>
      <c r="J175" s="58"/>
      <c r="K175" s="59"/>
    </row>
    <row r="176" spans="2:14" ht="17.25" customHeight="1">
      <c r="B176" s="152" t="s">
        <v>34</v>
      </c>
      <c r="C176" s="152"/>
      <c r="D176" s="152"/>
      <c r="E176" s="152"/>
      <c r="F176" s="153"/>
      <c r="G176" s="161">
        <v>209912623701.17001</v>
      </c>
      <c r="H176" s="162"/>
      <c r="I176" s="65"/>
      <c r="J176" s="58"/>
      <c r="K176" s="59"/>
    </row>
    <row r="177" spans="2:11" ht="18" customHeight="1" thickBot="1">
      <c r="B177" s="171" t="s">
        <v>22</v>
      </c>
      <c r="C177" s="171"/>
      <c r="D177" s="171"/>
      <c r="E177" s="171"/>
      <c r="F177" s="169"/>
      <c r="G177" s="172">
        <v>157425035111.91</v>
      </c>
      <c r="H177" s="173"/>
      <c r="I177" s="65"/>
      <c r="J177" s="58"/>
      <c r="K177" s="59"/>
    </row>
    <row r="178" spans="2:11" ht="17.25">
      <c r="G178" s="44"/>
      <c r="H178" s="44"/>
      <c r="K178" s="51"/>
    </row>
    <row r="179" spans="2:11">
      <c r="B179" s="66"/>
      <c r="K179" s="51"/>
    </row>
  </sheetData>
  <dataConsolidate link="1"/>
  <mergeCells count="104">
    <mergeCell ref="I3:O3"/>
    <mergeCell ref="G129:H129"/>
    <mergeCell ref="B175:F175"/>
    <mergeCell ref="G175:H175"/>
    <mergeCell ref="B176:F176"/>
    <mergeCell ref="G176:H176"/>
    <mergeCell ref="B177:F177"/>
    <mergeCell ref="G177:H177"/>
    <mergeCell ref="B172:F172"/>
    <mergeCell ref="G172:H172"/>
    <mergeCell ref="B173:F173"/>
    <mergeCell ref="G173:H173"/>
    <mergeCell ref="B174:F174"/>
    <mergeCell ref="G174:H174"/>
    <mergeCell ref="B169:F169"/>
    <mergeCell ref="G169:H169"/>
    <mergeCell ref="B170:F170"/>
    <mergeCell ref="G170:H170"/>
    <mergeCell ref="B171:F171"/>
    <mergeCell ref="G171:H171"/>
    <mergeCell ref="B163:F163"/>
    <mergeCell ref="G163:H163"/>
    <mergeCell ref="B167:F167"/>
    <mergeCell ref="G167:H167"/>
    <mergeCell ref="B168:F168"/>
    <mergeCell ref="G168:H168"/>
    <mergeCell ref="B160:F160"/>
    <mergeCell ref="G160:H160"/>
    <mergeCell ref="B161:F161"/>
    <mergeCell ref="G161:H161"/>
    <mergeCell ref="B162:F162"/>
    <mergeCell ref="G162:H162"/>
    <mergeCell ref="B157:F157"/>
    <mergeCell ref="G157:H157"/>
    <mergeCell ref="B158:F158"/>
    <mergeCell ref="G158:H158"/>
    <mergeCell ref="B159:F159"/>
    <mergeCell ref="G159:H159"/>
    <mergeCell ref="B154:F154"/>
    <mergeCell ref="G154:H154"/>
    <mergeCell ref="B155:F155"/>
    <mergeCell ref="G155:H155"/>
    <mergeCell ref="B156:F156"/>
    <mergeCell ref="G156:H156"/>
    <mergeCell ref="B148:F148"/>
    <mergeCell ref="G148:H148"/>
    <mergeCell ref="B149:F149"/>
    <mergeCell ref="G149:H149"/>
    <mergeCell ref="B153:F153"/>
    <mergeCell ref="G153:H153"/>
    <mergeCell ref="B145:F145"/>
    <mergeCell ref="G145:H145"/>
    <mergeCell ref="B146:F146"/>
    <mergeCell ref="G146:H146"/>
    <mergeCell ref="B147:F147"/>
    <mergeCell ref="G147:H147"/>
    <mergeCell ref="B142:F142"/>
    <mergeCell ref="G142:H142"/>
    <mergeCell ref="B143:F143"/>
    <mergeCell ref="G143:H143"/>
    <mergeCell ref="B144:F144"/>
    <mergeCell ref="G144:H144"/>
    <mergeCell ref="B139:F139"/>
    <mergeCell ref="G139:H139"/>
    <mergeCell ref="B140:F140"/>
    <mergeCell ref="G140:H140"/>
    <mergeCell ref="B141:F141"/>
    <mergeCell ref="G141:H141"/>
    <mergeCell ref="G128:H128"/>
    <mergeCell ref="B129:F129"/>
    <mergeCell ref="G131:H131"/>
    <mergeCell ref="B130:F130"/>
    <mergeCell ref="G130:H130"/>
    <mergeCell ref="B131:F131"/>
    <mergeCell ref="B50:D50"/>
    <mergeCell ref="B51:D51"/>
    <mergeCell ref="B52:D52"/>
    <mergeCell ref="B53:D53"/>
    <mergeCell ref="B54:D54"/>
    <mergeCell ref="B128:F128"/>
    <mergeCell ref="B35:D35"/>
    <mergeCell ref="B36:D36"/>
    <mergeCell ref="B37:D37"/>
    <mergeCell ref="B38:D38"/>
    <mergeCell ref="B39:D39"/>
    <mergeCell ref="B49:D49"/>
    <mergeCell ref="B28:D28"/>
    <mergeCell ref="B33:D33"/>
    <mergeCell ref="B34:D34"/>
    <mergeCell ref="B15:D15"/>
    <mergeCell ref="B16:D16"/>
    <mergeCell ref="B17:D17"/>
    <mergeCell ref="B22:D22"/>
    <mergeCell ref="B23:D23"/>
    <mergeCell ref="B24:D24"/>
    <mergeCell ref="B2:H2"/>
    <mergeCell ref="B3:H3"/>
    <mergeCell ref="B11:D11"/>
    <mergeCell ref="B12:D12"/>
    <mergeCell ref="B13:D13"/>
    <mergeCell ref="B14:D14"/>
    <mergeCell ref="B25:D25"/>
    <mergeCell ref="B26:D26"/>
    <mergeCell ref="B27:D27"/>
  </mergeCells>
  <pageMargins left="0.70866141732283472" right="0.70866141732283472" top="0.15748031496062992" bottom="0.15748031496062992" header="0.31496062992125984" footer="0.11811023622047245"/>
  <pageSetup paperSize="9" scale="48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50" max="16383" man="1"/>
    <brk id="191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14689">
          <objectPr defaultSize="0" autoPict="0" dde="1">
            <anchor moveWithCells="1">
              <from>
                <xdr:col>1</xdr:col>
                <xdr:colOff>0</xdr:colOff>
                <xdr:row>139</xdr:row>
                <xdr:rowOff>0</xdr:rowOff>
              </from>
              <to>
                <xdr:col>1</xdr:col>
                <xdr:colOff>666750</xdr:colOff>
                <xdr:row>141</xdr:row>
                <xdr:rowOff>47625</xdr:rowOff>
              </to>
            </anchor>
          </objectPr>
        </oleObject>
      </mc:Choice>
      <mc:Fallback>
        <oleObject link="[1]!'!Январь2012!R1C2:R10C9'" oleUpdate="OLEUPDATE_ALWAYS" shapeId="114689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74">
    <pageSetUpPr fitToPage="1"/>
  </sheetPr>
  <dimension ref="B2:O179"/>
  <sheetViews>
    <sheetView topLeftCell="A76" workbookViewId="0">
      <selection activeCell="H40" sqref="H40"/>
    </sheetView>
  </sheetViews>
  <sheetFormatPr defaultRowHeight="13.5"/>
  <cols>
    <col min="1" max="1" width="3.42578125" style="88" customWidth="1"/>
    <col min="2" max="2" width="46.7109375" style="88" customWidth="1"/>
    <col min="3" max="6" width="18.42578125" style="88" customWidth="1"/>
    <col min="7" max="7" width="22.42578125" style="88" customWidth="1"/>
    <col min="8" max="8" width="18.42578125" style="88" customWidth="1"/>
    <col min="9" max="9" width="19.42578125" style="91" customWidth="1"/>
    <col min="10" max="10" width="9.140625" style="88"/>
    <col min="11" max="11" width="29.28515625" style="88" customWidth="1"/>
    <col min="12" max="12" width="14.85546875" style="88" bestFit="1" customWidth="1"/>
    <col min="13" max="13" width="9.140625" style="88"/>
    <col min="14" max="14" width="23.42578125" style="88" customWidth="1"/>
    <col min="15" max="16384" width="9.140625" style="88"/>
  </cols>
  <sheetData>
    <row r="2" spans="2:15" s="1" customFormat="1" ht="20.25">
      <c r="B2" s="123" t="s">
        <v>15</v>
      </c>
      <c r="C2" s="123"/>
      <c r="D2" s="123"/>
      <c r="E2" s="123"/>
      <c r="F2" s="123"/>
      <c r="G2" s="123"/>
      <c r="H2" s="123"/>
      <c r="I2" s="61"/>
    </row>
    <row r="3" spans="2:15" s="1" customFormat="1" ht="21" thickBot="1">
      <c r="B3" s="124">
        <v>41306</v>
      </c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</row>
    <row r="4" spans="2:15" s="1" customFormat="1" ht="18" thickTop="1">
      <c r="I4" s="61"/>
    </row>
    <row r="5" spans="2:15" s="1" customFormat="1" ht="17.25">
      <c r="B5" s="19"/>
      <c r="C5" s="19"/>
      <c r="D5" s="19"/>
      <c r="E5" s="19"/>
      <c r="F5" s="19"/>
      <c r="G5" s="19"/>
      <c r="H5" s="19"/>
      <c r="I5" s="61"/>
    </row>
    <row r="6" spans="2:15" s="1" customFormat="1" ht="17.25">
      <c r="B6" s="20" t="s">
        <v>24</v>
      </c>
      <c r="C6" s="77">
        <f>B3</f>
        <v>41306</v>
      </c>
      <c r="D6" s="19"/>
      <c r="E6" s="19"/>
      <c r="F6" s="19"/>
      <c r="G6" s="19"/>
      <c r="H6" s="19"/>
      <c r="I6" s="61"/>
    </row>
    <row r="7" spans="2:15" s="1" customFormat="1" ht="18" thickBot="1">
      <c r="B7" s="23"/>
      <c r="C7" s="23"/>
      <c r="D7" s="23"/>
      <c r="E7" s="23"/>
      <c r="F7" s="23"/>
      <c r="G7" s="23"/>
      <c r="H7" s="23"/>
      <c r="I7" s="61"/>
    </row>
    <row r="8" spans="2:15">
      <c r="B8" s="2"/>
      <c r="C8" s="2"/>
      <c r="D8" s="2"/>
      <c r="E8" s="2"/>
    </row>
    <row r="9" spans="2:15" s="4" customFormat="1" ht="12.75">
      <c r="C9" s="3"/>
      <c r="D9" s="3"/>
      <c r="E9" s="3"/>
      <c r="F9" s="3"/>
      <c r="I9" s="62"/>
    </row>
    <row r="10" spans="2:15" ht="18" thickBot="1">
      <c r="B10" s="15" t="s">
        <v>70</v>
      </c>
      <c r="C10" s="16"/>
      <c r="D10" s="16"/>
      <c r="E10" s="16"/>
      <c r="F10" s="16"/>
      <c r="G10" s="16"/>
      <c r="H10" s="17" t="s">
        <v>13</v>
      </c>
    </row>
    <row r="11" spans="2:15" s="49" customFormat="1" ht="15.75" thickBot="1">
      <c r="B11" s="125" t="s">
        <v>18</v>
      </c>
      <c r="C11" s="125"/>
      <c r="D11" s="126"/>
      <c r="E11" s="85">
        <v>41305</v>
      </c>
      <c r="F11" s="85">
        <f>EDATE(E11,1)</f>
        <v>41333</v>
      </c>
      <c r="G11" s="48" t="s">
        <v>10</v>
      </c>
      <c r="H11" s="48" t="s">
        <v>11</v>
      </c>
      <c r="I11" s="106"/>
      <c r="K11" s="90"/>
    </row>
    <row r="12" spans="2:15" s="89" customFormat="1" ht="17.25">
      <c r="B12" s="127" t="s">
        <v>0</v>
      </c>
      <c r="C12" s="127"/>
      <c r="D12" s="128"/>
      <c r="E12" s="103">
        <v>1032925</v>
      </c>
      <c r="F12" s="103">
        <v>1028377</v>
      </c>
      <c r="G12" s="13">
        <f t="shared" ref="G12:G18" si="0">F12-E12</f>
        <v>-4548</v>
      </c>
      <c r="H12" s="68">
        <f t="shared" ref="H12:H18" si="1">F12/E12-1</f>
        <v>-4.4030302296875767E-3</v>
      </c>
      <c r="I12" s="106"/>
      <c r="K12" s="90"/>
    </row>
    <row r="13" spans="2:15" s="89" customFormat="1" ht="17.25">
      <c r="B13" s="129" t="s">
        <v>1</v>
      </c>
      <c r="C13" s="129"/>
      <c r="D13" s="130"/>
      <c r="E13" s="103">
        <v>35320</v>
      </c>
      <c r="F13" s="103">
        <v>34856</v>
      </c>
      <c r="G13" s="95">
        <f t="shared" si="0"/>
        <v>-464</v>
      </c>
      <c r="H13" s="96">
        <f t="shared" si="1"/>
        <v>-1.3137032842582053E-2</v>
      </c>
      <c r="I13" s="106"/>
      <c r="K13" s="90"/>
    </row>
    <row r="14" spans="2:15" s="89" customFormat="1" ht="17.25">
      <c r="B14" s="129" t="s">
        <v>2</v>
      </c>
      <c r="C14" s="129"/>
      <c r="D14" s="130"/>
      <c r="E14" s="103">
        <v>12481</v>
      </c>
      <c r="F14" s="103">
        <v>12432</v>
      </c>
      <c r="G14" s="95">
        <f t="shared" si="0"/>
        <v>-49</v>
      </c>
      <c r="H14" s="96">
        <f t="shared" si="1"/>
        <v>-3.9259674705552916E-3</v>
      </c>
      <c r="I14" s="106"/>
      <c r="J14" s="90"/>
    </row>
    <row r="15" spans="2:15" s="89" customFormat="1" ht="17.25">
      <c r="B15" s="131" t="s">
        <v>41</v>
      </c>
      <c r="C15" s="131"/>
      <c r="D15" s="132"/>
      <c r="E15" s="103">
        <v>2250</v>
      </c>
      <c r="F15" s="103">
        <v>2244</v>
      </c>
      <c r="G15" s="93">
        <f t="shared" si="0"/>
        <v>-6</v>
      </c>
      <c r="H15" s="94">
        <f t="shared" si="1"/>
        <v>-2.666666666666706E-3</v>
      </c>
      <c r="I15" s="106"/>
      <c r="J15" s="90"/>
    </row>
    <row r="16" spans="2:15" s="89" customFormat="1" ht="17.25">
      <c r="B16" s="133" t="s">
        <v>42</v>
      </c>
      <c r="C16" s="133"/>
      <c r="D16" s="134"/>
      <c r="E16" s="103">
        <v>10231</v>
      </c>
      <c r="F16" s="103">
        <v>10188</v>
      </c>
      <c r="G16" s="93">
        <f t="shared" si="0"/>
        <v>-43</v>
      </c>
      <c r="H16" s="94">
        <f t="shared" si="1"/>
        <v>-4.2029127162545032E-3</v>
      </c>
      <c r="I16" s="106"/>
      <c r="J16" s="90"/>
    </row>
    <row r="17" spans="2:11" s="89" customFormat="1" ht="18" customHeight="1" thickBot="1">
      <c r="B17" s="135" t="s">
        <v>3</v>
      </c>
      <c r="C17" s="135"/>
      <c r="D17" s="136"/>
      <c r="E17" s="103">
        <v>17206</v>
      </c>
      <c r="F17" s="103">
        <v>14069</v>
      </c>
      <c r="G17" s="12">
        <f t="shared" si="0"/>
        <v>-3137</v>
      </c>
      <c r="H17" s="67">
        <f t="shared" si="1"/>
        <v>-0.18232012088806226</v>
      </c>
      <c r="I17" s="106"/>
      <c r="K17" s="90"/>
    </row>
    <row r="18" spans="2:11" s="79" customFormat="1" ht="18" thickBot="1">
      <c r="B18" s="69" t="s">
        <v>4</v>
      </c>
      <c r="C18" s="69"/>
      <c r="D18" s="70"/>
      <c r="E18" s="82">
        <v>1097932</v>
      </c>
      <c r="F18" s="82">
        <v>1089734</v>
      </c>
      <c r="G18" s="82">
        <f t="shared" si="0"/>
        <v>-8198</v>
      </c>
      <c r="H18" s="78">
        <f t="shared" si="1"/>
        <v>-7.4667647905334311E-3</v>
      </c>
    </row>
    <row r="19" spans="2:11" ht="15">
      <c r="B19" s="10"/>
      <c r="C19" s="2"/>
      <c r="D19" s="2"/>
      <c r="E19" s="2"/>
      <c r="F19" s="2"/>
      <c r="G19" s="2"/>
    </row>
    <row r="20" spans="2:11" ht="15">
      <c r="B20" s="10"/>
      <c r="C20" s="2"/>
      <c r="D20" s="2"/>
      <c r="E20" s="2"/>
      <c r="F20" s="2"/>
      <c r="G20" s="2"/>
    </row>
    <row r="21" spans="2:11" ht="18" thickBot="1">
      <c r="B21" s="15" t="s">
        <v>71</v>
      </c>
      <c r="C21" s="16"/>
      <c r="D21" s="16"/>
      <c r="E21" s="16"/>
      <c r="F21" s="16"/>
      <c r="G21" s="16"/>
      <c r="H21" s="17" t="s">
        <v>12</v>
      </c>
    </row>
    <row r="22" spans="2:11" s="89" customFormat="1" ht="15.75" thickBot="1">
      <c r="B22" s="125" t="s">
        <v>18</v>
      </c>
      <c r="C22" s="125"/>
      <c r="D22" s="126"/>
      <c r="E22" s="85">
        <f>E11</f>
        <v>41305</v>
      </c>
      <c r="F22" s="85">
        <f>F11</f>
        <v>41333</v>
      </c>
      <c r="G22" s="48" t="s">
        <v>10</v>
      </c>
      <c r="H22" s="48" t="s">
        <v>11</v>
      </c>
      <c r="I22" s="92"/>
      <c r="K22" s="90"/>
    </row>
    <row r="23" spans="2:11" s="89" customFormat="1" ht="17.25">
      <c r="B23" s="127" t="s">
        <v>0</v>
      </c>
      <c r="C23" s="127"/>
      <c r="D23" s="128"/>
      <c r="E23" s="103">
        <v>833454</v>
      </c>
      <c r="F23" s="103">
        <v>830471</v>
      </c>
      <c r="G23" s="13">
        <f>F23-E23</f>
        <v>-2983</v>
      </c>
      <c r="H23" s="68">
        <f>F23/E23-1</f>
        <v>-3.5790817489627091E-3</v>
      </c>
      <c r="J23" s="90"/>
    </row>
    <row r="24" spans="2:11" s="89" customFormat="1" ht="17.25">
      <c r="B24" s="129" t="s">
        <v>1</v>
      </c>
      <c r="C24" s="129"/>
      <c r="D24" s="130"/>
      <c r="E24" s="103">
        <v>18015</v>
      </c>
      <c r="F24" s="103">
        <v>17820</v>
      </c>
      <c r="G24" s="95">
        <f t="shared" ref="G24:G29" si="2">F24-E24</f>
        <v>-195</v>
      </c>
      <c r="H24" s="96">
        <f t="shared" ref="H24:H29" si="3">F24/E24-1</f>
        <v>-1.0824313072439584E-2</v>
      </c>
      <c r="J24" s="90"/>
    </row>
    <row r="25" spans="2:11" s="89" customFormat="1" ht="17.25">
      <c r="B25" s="129" t="s">
        <v>2</v>
      </c>
      <c r="C25" s="129"/>
      <c r="D25" s="130"/>
      <c r="E25" s="103">
        <v>6049</v>
      </c>
      <c r="F25" s="103">
        <v>6029</v>
      </c>
      <c r="G25" s="95">
        <f t="shared" si="2"/>
        <v>-20</v>
      </c>
      <c r="H25" s="96">
        <f t="shared" si="3"/>
        <v>-3.3063316250619978E-3</v>
      </c>
      <c r="J25" s="90"/>
    </row>
    <row r="26" spans="2:11" s="89" customFormat="1" ht="17.25">
      <c r="B26" s="131" t="s">
        <v>41</v>
      </c>
      <c r="C26" s="131"/>
      <c r="D26" s="132"/>
      <c r="E26" s="103">
        <v>2153</v>
      </c>
      <c r="F26" s="103">
        <v>2147</v>
      </c>
      <c r="G26" s="93">
        <f t="shared" si="2"/>
        <v>-6</v>
      </c>
      <c r="H26" s="94">
        <f t="shared" si="3"/>
        <v>-2.7868091035764264E-3</v>
      </c>
      <c r="J26" s="90"/>
    </row>
    <row r="27" spans="2:11" s="89" customFormat="1" ht="17.25">
      <c r="B27" s="133" t="s">
        <v>42</v>
      </c>
      <c r="C27" s="133"/>
      <c r="D27" s="134"/>
      <c r="E27" s="103">
        <v>3896</v>
      </c>
      <c r="F27" s="103">
        <v>3882</v>
      </c>
      <c r="G27" s="93">
        <f t="shared" si="2"/>
        <v>-14</v>
      </c>
      <c r="H27" s="94">
        <f t="shared" si="3"/>
        <v>-3.5934291581108946E-3</v>
      </c>
      <c r="J27" s="90"/>
    </row>
    <row r="28" spans="2:11" s="89" customFormat="1" ht="18" thickBot="1">
      <c r="B28" s="135" t="s">
        <v>3</v>
      </c>
      <c r="C28" s="135"/>
      <c r="D28" s="136"/>
      <c r="E28" s="103">
        <v>5288</v>
      </c>
      <c r="F28" s="103">
        <v>5099</v>
      </c>
      <c r="G28" s="12">
        <f t="shared" si="2"/>
        <v>-189</v>
      </c>
      <c r="H28" s="67">
        <f t="shared" si="3"/>
        <v>-3.5741301059001529E-2</v>
      </c>
      <c r="J28" s="90"/>
    </row>
    <row r="29" spans="2:11" s="79" customFormat="1" ht="18" thickBot="1">
      <c r="B29" s="69" t="s">
        <v>4</v>
      </c>
      <c r="C29" s="69"/>
      <c r="D29" s="70"/>
      <c r="E29" s="82">
        <v>862806</v>
      </c>
      <c r="F29" s="82">
        <v>859419</v>
      </c>
      <c r="G29" s="82">
        <f t="shared" si="2"/>
        <v>-3387</v>
      </c>
      <c r="H29" s="78">
        <f t="shared" si="3"/>
        <v>-3.9255637999735526E-3</v>
      </c>
    </row>
    <row r="30" spans="2:11" ht="15">
      <c r="B30" s="10"/>
      <c r="C30" s="2"/>
      <c r="D30" s="2"/>
      <c r="E30" s="2"/>
      <c r="F30" s="2"/>
      <c r="G30" s="2"/>
    </row>
    <row r="31" spans="2:11" ht="15">
      <c r="B31" s="10"/>
      <c r="C31" s="2"/>
      <c r="D31" s="2"/>
      <c r="E31" s="2"/>
      <c r="F31" s="2"/>
      <c r="G31" s="2"/>
    </row>
    <row r="32" spans="2:11" ht="18" thickBot="1">
      <c r="B32" s="15" t="s">
        <v>16</v>
      </c>
      <c r="C32" s="16"/>
      <c r="D32" s="16"/>
      <c r="E32" s="16"/>
      <c r="F32" s="16"/>
      <c r="G32" s="16"/>
      <c r="H32" s="17" t="s">
        <v>14</v>
      </c>
    </row>
    <row r="33" spans="2:9" ht="15.75" thickBot="1">
      <c r="B33" s="137" t="s">
        <v>18</v>
      </c>
      <c r="C33" s="137"/>
      <c r="D33" s="138"/>
      <c r="E33" s="83">
        <f>EDATE(C6,-1)</f>
        <v>41275</v>
      </c>
      <c r="F33" s="83">
        <f>EDATE(E33,1)</f>
        <v>41306</v>
      </c>
      <c r="G33" s="18" t="s">
        <v>10</v>
      </c>
      <c r="H33" s="18" t="s">
        <v>11</v>
      </c>
    </row>
    <row r="34" spans="2:9" ht="17.25">
      <c r="B34" s="139" t="s">
        <v>0</v>
      </c>
      <c r="C34" s="139"/>
      <c r="D34" s="140"/>
      <c r="E34" s="97">
        <v>76073</v>
      </c>
      <c r="F34" s="97">
        <v>69676</v>
      </c>
      <c r="G34" s="13">
        <f>F34-E34</f>
        <v>-6397</v>
      </c>
      <c r="H34" s="68">
        <f>F34/E34-1</f>
        <v>-8.4090281703100955E-2</v>
      </c>
      <c r="I34" s="88"/>
    </row>
    <row r="35" spans="2:9" ht="17.25">
      <c r="B35" s="152" t="s">
        <v>1</v>
      </c>
      <c r="C35" s="152"/>
      <c r="D35" s="153"/>
      <c r="E35" s="97">
        <v>1457</v>
      </c>
      <c r="F35" s="97">
        <v>1506</v>
      </c>
      <c r="G35" s="95">
        <f t="shared" ref="G35:G40" si="4">F35-E35</f>
        <v>49</v>
      </c>
      <c r="H35" s="96">
        <f t="shared" ref="H35:H40" si="5">F35/E35-1</f>
        <v>3.3630748112559949E-2</v>
      </c>
      <c r="I35" s="88"/>
    </row>
    <row r="36" spans="2:9" ht="17.25">
      <c r="B36" s="152" t="s">
        <v>2</v>
      </c>
      <c r="C36" s="152"/>
      <c r="D36" s="153"/>
      <c r="E36" s="97">
        <v>638</v>
      </c>
      <c r="F36" s="97">
        <v>612</v>
      </c>
      <c r="G36" s="95">
        <f t="shared" si="4"/>
        <v>-26</v>
      </c>
      <c r="H36" s="96">
        <f t="shared" si="5"/>
        <v>-4.0752351097178674E-2</v>
      </c>
      <c r="I36" s="88"/>
    </row>
    <row r="37" spans="2:9" ht="17.25">
      <c r="B37" s="131" t="s">
        <v>41</v>
      </c>
      <c r="C37" s="131"/>
      <c r="D37" s="132"/>
      <c r="E37" s="97">
        <v>171</v>
      </c>
      <c r="F37" s="97">
        <v>158</v>
      </c>
      <c r="G37" s="93">
        <f t="shared" si="4"/>
        <v>-13</v>
      </c>
      <c r="H37" s="94">
        <f t="shared" si="5"/>
        <v>-7.6023391812865548E-2</v>
      </c>
      <c r="I37" s="88"/>
    </row>
    <row r="38" spans="2:9" ht="17.25">
      <c r="B38" s="133" t="s">
        <v>42</v>
      </c>
      <c r="C38" s="133"/>
      <c r="D38" s="134"/>
      <c r="E38" s="97">
        <v>467</v>
      </c>
      <c r="F38" s="97">
        <v>454</v>
      </c>
      <c r="G38" s="93">
        <f t="shared" si="4"/>
        <v>-13</v>
      </c>
      <c r="H38" s="94">
        <f t="shared" si="5"/>
        <v>-2.7837259100642386E-2</v>
      </c>
      <c r="I38" s="88"/>
    </row>
    <row r="39" spans="2:9" ht="18" thickBot="1">
      <c r="B39" s="154" t="s">
        <v>3</v>
      </c>
      <c r="C39" s="154"/>
      <c r="D39" s="155"/>
      <c r="E39" s="97">
        <v>950</v>
      </c>
      <c r="F39" s="97">
        <v>896</v>
      </c>
      <c r="G39" s="12">
        <f t="shared" si="4"/>
        <v>-54</v>
      </c>
      <c r="H39" s="67">
        <f t="shared" si="5"/>
        <v>-5.6842105263157916E-2</v>
      </c>
      <c r="I39" s="88"/>
    </row>
    <row r="40" spans="2:9" s="79" customFormat="1" ht="18" thickBot="1">
      <c r="B40" s="69" t="s">
        <v>4</v>
      </c>
      <c r="C40" s="69"/>
      <c r="D40" s="70"/>
      <c r="E40" s="82">
        <v>79118</v>
      </c>
      <c r="F40" s="82">
        <v>72690</v>
      </c>
      <c r="G40" s="82">
        <f t="shared" si="4"/>
        <v>-6428</v>
      </c>
      <c r="H40" s="78">
        <f t="shared" si="5"/>
        <v>-8.1245734219772991E-2</v>
      </c>
    </row>
    <row r="41" spans="2:9" ht="15">
      <c r="B41" s="6"/>
      <c r="C41" s="6"/>
      <c r="D41" s="6"/>
      <c r="E41" s="45"/>
      <c r="F41" s="45"/>
      <c r="G41" s="46"/>
      <c r="H41" s="47"/>
    </row>
    <row r="42" spans="2:9" ht="15">
      <c r="B42" s="10"/>
      <c r="C42" s="2"/>
      <c r="D42" s="2"/>
      <c r="E42" s="2"/>
      <c r="F42" s="2"/>
      <c r="G42" s="2"/>
    </row>
    <row r="43" spans="2:9" ht="17.25">
      <c r="B43" s="21"/>
      <c r="C43" s="21"/>
      <c r="D43" s="21"/>
      <c r="E43" s="21"/>
      <c r="F43" s="21"/>
      <c r="G43" s="21"/>
      <c r="H43" s="21"/>
    </row>
    <row r="44" spans="2:9" ht="17.25">
      <c r="B44" s="22" t="s">
        <v>17</v>
      </c>
      <c r="C44" s="21"/>
      <c r="D44" s="21"/>
      <c r="E44" s="21"/>
      <c r="F44" s="21"/>
      <c r="G44" s="21"/>
      <c r="H44" s="21"/>
    </row>
    <row r="45" spans="2:9" ht="18" thickBot="1">
      <c r="B45" s="24"/>
      <c r="C45" s="24"/>
      <c r="D45" s="24"/>
      <c r="E45" s="24"/>
      <c r="F45" s="24"/>
      <c r="G45" s="24"/>
      <c r="H45" s="24"/>
    </row>
    <row r="47" spans="2:9">
      <c r="F47" s="5"/>
    </row>
    <row r="48" spans="2:9" ht="18" thickBot="1">
      <c r="B48" s="14" t="s">
        <v>72</v>
      </c>
      <c r="C48" s="25"/>
      <c r="D48" s="25"/>
      <c r="E48" s="25"/>
      <c r="F48" s="25"/>
      <c r="G48" s="25"/>
      <c r="H48" s="26" t="s">
        <v>13</v>
      </c>
    </row>
    <row r="49" spans="2:9" ht="15.75" thickBot="1">
      <c r="B49" s="137" t="s">
        <v>18</v>
      </c>
      <c r="C49" s="137"/>
      <c r="D49" s="138"/>
      <c r="E49" s="85">
        <v>40178</v>
      </c>
      <c r="F49" s="85">
        <v>40543</v>
      </c>
      <c r="G49" s="85">
        <v>40908</v>
      </c>
      <c r="H49" s="85">
        <v>41274</v>
      </c>
      <c r="I49" s="88"/>
    </row>
    <row r="50" spans="2:9" ht="17.25">
      <c r="B50" s="141" t="s">
        <v>0</v>
      </c>
      <c r="C50" s="141"/>
      <c r="D50" s="142"/>
      <c r="E50" s="99">
        <v>671475</v>
      </c>
      <c r="F50" s="99">
        <v>714295</v>
      </c>
      <c r="G50" s="99">
        <v>772175</v>
      </c>
      <c r="H50" s="99">
        <v>805549</v>
      </c>
      <c r="I50" s="88"/>
    </row>
    <row r="51" spans="2:9" ht="17.25">
      <c r="B51" s="143" t="s">
        <v>1</v>
      </c>
      <c r="C51" s="143"/>
      <c r="D51" s="144"/>
      <c r="E51" s="100">
        <v>16364</v>
      </c>
      <c r="F51" s="100">
        <v>17170</v>
      </c>
      <c r="G51" s="100">
        <v>16850</v>
      </c>
      <c r="H51" s="100">
        <v>17821</v>
      </c>
      <c r="I51" s="88"/>
    </row>
    <row r="52" spans="2:9" ht="17.25">
      <c r="B52" s="145" t="s">
        <v>2</v>
      </c>
      <c r="C52" s="145"/>
      <c r="D52" s="146"/>
      <c r="E52" s="102">
        <v>3851</v>
      </c>
      <c r="F52" s="102">
        <v>4295</v>
      </c>
      <c r="G52" s="102">
        <v>5058</v>
      </c>
      <c r="H52" s="102">
        <v>5876</v>
      </c>
      <c r="I52" s="88"/>
    </row>
    <row r="53" spans="2:9" ht="18" thickBot="1">
      <c r="B53" s="147" t="s">
        <v>3</v>
      </c>
      <c r="C53" s="147"/>
      <c r="D53" s="148"/>
      <c r="E53" s="98">
        <v>4717</v>
      </c>
      <c r="F53" s="98">
        <v>5348</v>
      </c>
      <c r="G53" s="98">
        <v>5242</v>
      </c>
      <c r="H53" s="98">
        <v>5261</v>
      </c>
      <c r="I53" s="88"/>
    </row>
    <row r="54" spans="2:9" s="81" customFormat="1" ht="18" thickBot="1">
      <c r="B54" s="149" t="s">
        <v>4</v>
      </c>
      <c r="C54" s="149"/>
      <c r="D54" s="150"/>
      <c r="E54" s="101">
        <v>696407</v>
      </c>
      <c r="F54" s="101">
        <v>741108</v>
      </c>
      <c r="G54" s="101">
        <v>799325</v>
      </c>
      <c r="H54" s="101">
        <v>834507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2" ht="15">
      <c r="B81" s="6"/>
      <c r="C81" s="7"/>
      <c r="D81" s="8"/>
      <c r="E81" s="8"/>
      <c r="F81" s="5"/>
      <c r="G81" s="8"/>
      <c r="H81" s="8"/>
      <c r="J81"/>
      <c r="K81"/>
      <c r="L81"/>
    </row>
    <row r="82" spans="2:12" ht="18" thickBot="1">
      <c r="B82" s="14" t="s">
        <v>73</v>
      </c>
      <c r="C82" s="25"/>
      <c r="D82" s="25"/>
      <c r="E82" s="25"/>
      <c r="F82" s="25"/>
      <c r="G82" s="25"/>
      <c r="H82" s="26" t="s">
        <v>12</v>
      </c>
      <c r="J82"/>
      <c r="K82"/>
      <c r="L82"/>
    </row>
    <row r="83" spans="2:12" ht="15.75" thickBot="1">
      <c r="B83" s="34" t="s">
        <v>18</v>
      </c>
      <c r="C83" s="85">
        <f>EDATE(D83,-1)</f>
        <v>41180</v>
      </c>
      <c r="D83" s="85">
        <f>EDATE(E83,-1)</f>
        <v>41210</v>
      </c>
      <c r="E83" s="85">
        <f>EDATE(F83,-1)</f>
        <v>41241</v>
      </c>
      <c r="F83" s="85">
        <f>EDATE(G83,-1)</f>
        <v>41271</v>
      </c>
      <c r="G83" s="85">
        <f>EDATE(H83,-1)</f>
        <v>41302</v>
      </c>
      <c r="H83" s="85">
        <f>EDATE(E11,1)</f>
        <v>41333</v>
      </c>
      <c r="I83" s="64"/>
      <c r="J83"/>
      <c r="K83"/>
    </row>
    <row r="84" spans="2:12" ht="16.5" customHeight="1">
      <c r="B84" s="27" t="s">
        <v>0</v>
      </c>
      <c r="C84" s="72">
        <v>796839</v>
      </c>
      <c r="D84" s="72">
        <v>804740</v>
      </c>
      <c r="E84" s="72">
        <v>815485</v>
      </c>
      <c r="F84" s="72">
        <v>805549</v>
      </c>
      <c r="G84" s="72">
        <v>833454</v>
      </c>
      <c r="H84" s="72">
        <v>830471</v>
      </c>
      <c r="I84" s="103"/>
      <c r="J84"/>
      <c r="K84"/>
    </row>
    <row r="85" spans="2:12" ht="16.5" customHeight="1">
      <c r="B85" s="28" t="s">
        <v>1</v>
      </c>
      <c r="C85" s="73">
        <v>17573</v>
      </c>
      <c r="D85" s="73">
        <v>17648</v>
      </c>
      <c r="E85" s="73">
        <v>17752</v>
      </c>
      <c r="F85" s="73">
        <v>17821</v>
      </c>
      <c r="G85" s="73">
        <v>18015</v>
      </c>
      <c r="H85" s="73">
        <v>17820</v>
      </c>
      <c r="J85"/>
      <c r="K85"/>
    </row>
    <row r="86" spans="2:12" ht="16.5" customHeight="1">
      <c r="B86" s="29" t="s">
        <v>2</v>
      </c>
      <c r="C86" s="74">
        <v>5703</v>
      </c>
      <c r="D86" s="74">
        <v>5781</v>
      </c>
      <c r="E86" s="74">
        <v>5845</v>
      </c>
      <c r="F86" s="74">
        <v>5876</v>
      </c>
      <c r="G86" s="74">
        <v>6049</v>
      </c>
      <c r="H86" s="74">
        <v>6029</v>
      </c>
      <c r="J86"/>
      <c r="K86"/>
    </row>
    <row r="87" spans="2:12" ht="16.5" customHeight="1" thickBot="1">
      <c r="B87" s="30" t="s">
        <v>3</v>
      </c>
      <c r="C87" s="75">
        <v>5246</v>
      </c>
      <c r="D87" s="75">
        <v>5247</v>
      </c>
      <c r="E87" s="75">
        <v>5266</v>
      </c>
      <c r="F87" s="75">
        <v>5261</v>
      </c>
      <c r="G87" s="75">
        <v>5288</v>
      </c>
      <c r="H87" s="75">
        <v>5099</v>
      </c>
      <c r="J87"/>
      <c r="K87"/>
    </row>
    <row r="88" spans="2:12" s="81" customFormat="1" ht="18" thickBot="1">
      <c r="B88" s="105" t="s">
        <v>4</v>
      </c>
      <c r="C88" s="76">
        <v>825361</v>
      </c>
      <c r="D88" s="76">
        <v>833416</v>
      </c>
      <c r="E88" s="76">
        <v>844348</v>
      </c>
      <c r="F88" s="76">
        <v>834507</v>
      </c>
      <c r="G88" s="76">
        <v>862806</v>
      </c>
      <c r="H88" s="76">
        <v>859419</v>
      </c>
      <c r="I88" s="91"/>
      <c r="J88" s="80"/>
      <c r="K88" s="80"/>
    </row>
    <row r="89" spans="2:12">
      <c r="J89"/>
      <c r="K89"/>
      <c r="L89"/>
    </row>
    <row r="90" spans="2:12">
      <c r="J90"/>
      <c r="K90"/>
      <c r="L90"/>
    </row>
    <row r="91" spans="2:12">
      <c r="B91" s="2"/>
      <c r="F91" s="2"/>
      <c r="G91" s="2"/>
      <c r="H91" s="2"/>
      <c r="J91"/>
      <c r="K91"/>
      <c r="L91"/>
    </row>
    <row r="92" spans="2:12">
      <c r="B92" s="2"/>
      <c r="F92" s="2"/>
      <c r="G92" s="2"/>
      <c r="H92" s="2"/>
      <c r="J92"/>
      <c r="K92"/>
      <c r="L92"/>
    </row>
    <row r="93" spans="2:12" ht="15">
      <c r="B93" s="10"/>
      <c r="C93" s="2"/>
      <c r="D93" s="2"/>
      <c r="E93" s="2"/>
      <c r="G93" s="2"/>
      <c r="H93" s="2"/>
      <c r="J93"/>
      <c r="K93"/>
      <c r="L93"/>
    </row>
    <row r="94" spans="2:12" s="4" customFormat="1" ht="12.75">
      <c r="B94" s="3"/>
      <c r="C94" s="3"/>
      <c r="D94" s="3"/>
      <c r="E94" s="3"/>
      <c r="F94" s="3"/>
      <c r="G94" s="3"/>
      <c r="H94" s="3"/>
      <c r="I94" s="62"/>
    </row>
    <row r="95" spans="2:12" ht="15">
      <c r="B95" s="9"/>
      <c r="C95" s="2"/>
      <c r="D95" s="2"/>
      <c r="E95" s="2"/>
      <c r="F95" s="2"/>
      <c r="G95" s="2"/>
      <c r="H95" s="2"/>
    </row>
    <row r="96" spans="2:12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31"/>
      <c r="C123" s="31"/>
      <c r="D123" s="31"/>
      <c r="E123" s="31"/>
      <c r="F123" s="31"/>
      <c r="G123" s="31"/>
      <c r="H123" s="31"/>
    </row>
    <row r="124" spans="2:8" ht="17.25">
      <c r="B124" s="32" t="s">
        <v>43</v>
      </c>
      <c r="C124" s="86">
        <v>41333</v>
      </c>
      <c r="D124" s="31"/>
      <c r="E124" s="31"/>
      <c r="F124" s="31"/>
      <c r="G124" s="31"/>
      <c r="H124" s="31"/>
    </row>
    <row r="125" spans="2:8" ht="18" thickBot="1">
      <c r="B125" s="33"/>
      <c r="C125" s="33"/>
      <c r="D125" s="33"/>
      <c r="E125" s="33"/>
      <c r="F125" s="33"/>
      <c r="G125" s="33"/>
      <c r="H125" s="33"/>
    </row>
    <row r="127" spans="2:8" ht="18" thickBot="1">
      <c r="B127" s="71"/>
      <c r="C127" s="87"/>
      <c r="D127" s="38"/>
      <c r="E127" s="38"/>
      <c r="F127" s="38"/>
      <c r="G127" s="38"/>
      <c r="H127" s="39" t="s">
        <v>13</v>
      </c>
    </row>
    <row r="128" spans="2:8" ht="30.75" customHeight="1" thickBot="1">
      <c r="B128" s="138" t="s">
        <v>44</v>
      </c>
      <c r="C128" s="151"/>
      <c r="D128" s="151"/>
      <c r="E128" s="151"/>
      <c r="F128" s="151"/>
      <c r="G128" s="163" t="s">
        <v>5</v>
      </c>
      <c r="H128" s="164"/>
    </row>
    <row r="129" spans="2:11" ht="18" customHeight="1">
      <c r="B129" s="140" t="s">
        <v>19</v>
      </c>
      <c r="C129" s="165"/>
      <c r="D129" s="165"/>
      <c r="E129" s="165"/>
      <c r="F129" s="165"/>
      <c r="G129" s="166">
        <v>746</v>
      </c>
      <c r="H129" s="167"/>
    </row>
    <row r="130" spans="2:11" ht="17.25" customHeight="1">
      <c r="B130" s="153" t="s">
        <v>39</v>
      </c>
      <c r="C130" s="168"/>
      <c r="D130" s="168"/>
      <c r="E130" s="168"/>
      <c r="F130" s="168"/>
      <c r="G130" s="166">
        <v>746</v>
      </c>
      <c r="H130" s="167"/>
    </row>
    <row r="131" spans="2:11" ht="18" customHeight="1" thickBot="1">
      <c r="B131" s="169" t="s">
        <v>40</v>
      </c>
      <c r="C131" s="170"/>
      <c r="D131" s="170"/>
      <c r="E131" s="170"/>
      <c r="F131" s="170"/>
      <c r="G131" s="166">
        <v>469</v>
      </c>
      <c r="H131" s="167"/>
    </row>
    <row r="134" spans="2:11" ht="17.25">
      <c r="B134" s="35"/>
      <c r="C134" s="35"/>
      <c r="D134" s="35"/>
      <c r="E134" s="35"/>
      <c r="F134" s="35"/>
      <c r="G134" s="35"/>
      <c r="H134" s="35"/>
    </row>
    <row r="135" spans="2:11" ht="17.25">
      <c r="B135" s="36" t="s">
        <v>25</v>
      </c>
      <c r="C135" s="35"/>
      <c r="D135" s="35"/>
      <c r="E135" s="36"/>
      <c r="F135" s="84">
        <f>C6</f>
        <v>41306</v>
      </c>
      <c r="G135" s="35"/>
      <c r="H135" s="35"/>
    </row>
    <row r="136" spans="2:11" ht="18" thickBot="1">
      <c r="B136" s="37"/>
      <c r="C136" s="37"/>
      <c r="D136" s="37"/>
      <c r="E136" s="37"/>
      <c r="F136" s="37"/>
      <c r="G136" s="37"/>
      <c r="H136" s="37"/>
    </row>
    <row r="138" spans="2:11" ht="18" thickBot="1">
      <c r="B138" s="40" t="s">
        <v>45</v>
      </c>
      <c r="C138" s="41"/>
      <c r="D138" s="41"/>
      <c r="E138" s="41"/>
      <c r="F138" s="41"/>
      <c r="G138" s="41"/>
      <c r="H138" s="42" t="s">
        <v>13</v>
      </c>
    </row>
    <row r="139" spans="2:11" ht="15.75" thickBot="1">
      <c r="B139" s="137" t="s">
        <v>20</v>
      </c>
      <c r="C139" s="137"/>
      <c r="D139" s="137"/>
      <c r="E139" s="137"/>
      <c r="F139" s="138"/>
      <c r="G139" s="156" t="s">
        <v>6</v>
      </c>
      <c r="H139" s="156"/>
      <c r="J139"/>
    </row>
    <row r="140" spans="2:11" ht="17.25" customHeight="1">
      <c r="B140" s="157" t="s">
        <v>21</v>
      </c>
      <c r="C140" s="157"/>
      <c r="D140" s="157"/>
      <c r="E140" s="157"/>
      <c r="F140" s="158"/>
      <c r="G140" s="159">
        <v>189880</v>
      </c>
      <c r="H140" s="160"/>
      <c r="J140" s="50"/>
      <c r="K140" s="53"/>
    </row>
    <row r="141" spans="2:11" ht="17.25">
      <c r="B141" s="152" t="s">
        <v>26</v>
      </c>
      <c r="C141" s="152"/>
      <c r="D141" s="152"/>
      <c r="E141" s="152"/>
      <c r="F141" s="153"/>
      <c r="G141" s="161">
        <v>174708</v>
      </c>
      <c r="H141" s="162"/>
      <c r="J141" s="50"/>
      <c r="K141" s="53"/>
    </row>
    <row r="142" spans="2:11" ht="17.25" customHeight="1">
      <c r="B142" s="152" t="s">
        <v>27</v>
      </c>
      <c r="C142" s="152"/>
      <c r="D142" s="152"/>
      <c r="E142" s="152"/>
      <c r="F142" s="153"/>
      <c r="G142" s="161">
        <v>119189</v>
      </c>
      <c r="H142" s="162"/>
      <c r="J142" s="50"/>
      <c r="K142" s="53"/>
    </row>
    <row r="143" spans="2:11" ht="17.25" customHeight="1">
      <c r="B143" s="152" t="s">
        <v>38</v>
      </c>
      <c r="C143" s="152"/>
      <c r="D143" s="152"/>
      <c r="E143" s="152"/>
      <c r="F143" s="153"/>
      <c r="G143" s="161">
        <v>105823</v>
      </c>
      <c r="H143" s="162"/>
      <c r="J143" s="50"/>
      <c r="K143" s="53"/>
    </row>
    <row r="144" spans="2:11" ht="17.25" customHeight="1">
      <c r="B144" s="152" t="s">
        <v>28</v>
      </c>
      <c r="C144" s="152"/>
      <c r="D144" s="152"/>
      <c r="E144" s="152"/>
      <c r="F144" s="153"/>
      <c r="G144" s="161">
        <v>59993</v>
      </c>
      <c r="H144" s="162"/>
      <c r="J144" s="50"/>
      <c r="K144" s="53"/>
    </row>
    <row r="145" spans="2:14" ht="13.5" customHeight="1">
      <c r="B145" s="152" t="s">
        <v>29</v>
      </c>
      <c r="C145" s="152"/>
      <c r="D145" s="152"/>
      <c r="E145" s="152"/>
      <c r="F145" s="153"/>
      <c r="G145" s="161">
        <v>42469</v>
      </c>
      <c r="H145" s="162"/>
      <c r="J145" s="54"/>
      <c r="K145" s="53"/>
    </row>
    <row r="146" spans="2:14" ht="17.25" customHeight="1">
      <c r="B146" s="152" t="s">
        <v>30</v>
      </c>
      <c r="C146" s="152"/>
      <c r="D146" s="152"/>
      <c r="E146" s="152"/>
      <c r="F146" s="153"/>
      <c r="G146" s="161">
        <v>34676</v>
      </c>
      <c r="H146" s="162"/>
      <c r="J146" s="50"/>
      <c r="K146" s="53"/>
    </row>
    <row r="147" spans="2:14" ht="17.25" customHeight="1">
      <c r="B147" s="152" t="s">
        <v>22</v>
      </c>
      <c r="C147" s="152"/>
      <c r="D147" s="152"/>
      <c r="E147" s="152"/>
      <c r="F147" s="153"/>
      <c r="G147" s="161">
        <v>28619</v>
      </c>
      <c r="H147" s="162"/>
      <c r="J147" s="50"/>
      <c r="K147" s="53"/>
    </row>
    <row r="148" spans="2:14" ht="17.25" customHeight="1">
      <c r="B148" s="152" t="s">
        <v>23</v>
      </c>
      <c r="C148" s="152"/>
      <c r="D148" s="152"/>
      <c r="E148" s="152"/>
      <c r="F148" s="153"/>
      <c r="G148" s="161">
        <v>19721</v>
      </c>
      <c r="H148" s="162"/>
      <c r="J148" s="50"/>
      <c r="K148" s="53"/>
      <c r="M148"/>
    </row>
    <row r="149" spans="2:14" ht="18" customHeight="1" thickBot="1">
      <c r="B149" s="171" t="s">
        <v>35</v>
      </c>
      <c r="C149" s="171"/>
      <c r="D149" s="171"/>
      <c r="E149" s="171"/>
      <c r="F149" s="169"/>
      <c r="G149" s="172">
        <v>19361</v>
      </c>
      <c r="H149" s="173"/>
      <c r="J149" s="50"/>
      <c r="K149" s="53"/>
      <c r="M149"/>
    </row>
    <row r="150" spans="2:14" ht="17.25">
      <c r="G150" s="44"/>
      <c r="H150" s="44"/>
      <c r="J150" s="55"/>
      <c r="K150" s="55"/>
    </row>
    <row r="151" spans="2:14" ht="17.25">
      <c r="B151" s="43"/>
      <c r="C151" s="43"/>
      <c r="D151" s="43"/>
      <c r="E151" s="43"/>
      <c r="F151" s="43"/>
      <c r="G151" s="44"/>
      <c r="H151" s="44"/>
      <c r="J151" s="55"/>
      <c r="K151" s="55"/>
    </row>
    <row r="152" spans="2:14" ht="18" thickBot="1">
      <c r="B152" s="40" t="s">
        <v>7</v>
      </c>
      <c r="C152" s="41"/>
      <c r="D152" s="41"/>
      <c r="E152" s="41"/>
      <c r="F152" s="41"/>
      <c r="G152" s="41"/>
      <c r="H152" s="42" t="s">
        <v>12</v>
      </c>
      <c r="J152" s="55"/>
      <c r="K152" s="55"/>
    </row>
    <row r="153" spans="2:14" ht="15.75" thickBot="1">
      <c r="B153" s="137" t="s">
        <v>20</v>
      </c>
      <c r="C153" s="137"/>
      <c r="D153" s="137"/>
      <c r="E153" s="137"/>
      <c r="F153" s="138"/>
      <c r="G153" s="156" t="s">
        <v>6</v>
      </c>
      <c r="H153" s="156"/>
      <c r="J153" s="55"/>
      <c r="K153" s="55"/>
      <c r="L153"/>
      <c r="M153"/>
      <c r="N153"/>
    </row>
    <row r="154" spans="2:14" ht="17.25" customHeight="1">
      <c r="B154" s="178" t="s">
        <v>27</v>
      </c>
      <c r="C154" s="178"/>
      <c r="D154" s="178"/>
      <c r="E154" s="178"/>
      <c r="F154" s="179"/>
      <c r="G154" s="159">
        <v>12296</v>
      </c>
      <c r="H154" s="160"/>
      <c r="I154" s="65"/>
      <c r="J154" s="56"/>
      <c r="K154" s="53"/>
      <c r="L154" s="52"/>
      <c r="M154"/>
      <c r="N154"/>
    </row>
    <row r="155" spans="2:14" ht="17.25" customHeight="1">
      <c r="B155" s="174" t="s">
        <v>26</v>
      </c>
      <c r="C155" s="174"/>
      <c r="D155" s="174"/>
      <c r="E155" s="174"/>
      <c r="F155" s="175"/>
      <c r="G155" s="161">
        <v>11589</v>
      </c>
      <c r="H155" s="162"/>
      <c r="I155" s="65"/>
      <c r="J155" s="56"/>
      <c r="K155" s="53"/>
      <c r="L155" s="52"/>
      <c r="M155"/>
      <c r="N155"/>
    </row>
    <row r="156" spans="2:14" ht="17.25" customHeight="1">
      <c r="B156" s="174" t="s">
        <v>38</v>
      </c>
      <c r="C156" s="174"/>
      <c r="D156" s="174"/>
      <c r="E156" s="174"/>
      <c r="F156" s="175"/>
      <c r="G156" s="161">
        <v>10858</v>
      </c>
      <c r="H156" s="162"/>
      <c r="I156" s="65"/>
      <c r="J156" s="56"/>
      <c r="K156" s="53"/>
      <c r="L156" s="52"/>
      <c r="M156"/>
      <c r="N156"/>
    </row>
    <row r="157" spans="2:14" ht="17.25">
      <c r="B157" s="174" t="s">
        <v>21</v>
      </c>
      <c r="C157" s="174"/>
      <c r="D157" s="174"/>
      <c r="E157" s="174"/>
      <c r="F157" s="175"/>
      <c r="G157" s="161">
        <v>7308</v>
      </c>
      <c r="H157" s="162"/>
      <c r="I157" s="65"/>
      <c r="J157" s="56"/>
      <c r="K157" s="53"/>
      <c r="L157" s="52"/>
      <c r="M157"/>
      <c r="N157"/>
    </row>
    <row r="158" spans="2:14" ht="17.25" customHeight="1">
      <c r="B158" s="174" t="s">
        <v>28</v>
      </c>
      <c r="C158" s="174"/>
      <c r="D158" s="174"/>
      <c r="E158" s="174"/>
      <c r="F158" s="175"/>
      <c r="G158" s="161">
        <v>4624</v>
      </c>
      <c r="H158" s="162"/>
      <c r="I158" s="65"/>
      <c r="J158" s="56"/>
      <c r="K158" s="53"/>
      <c r="L158" s="52"/>
      <c r="M158"/>
      <c r="N158"/>
    </row>
    <row r="159" spans="2:14" ht="17.25" customHeight="1">
      <c r="B159" s="174" t="s">
        <v>29</v>
      </c>
      <c r="C159" s="174"/>
      <c r="D159" s="174"/>
      <c r="E159" s="174"/>
      <c r="F159" s="175"/>
      <c r="G159" s="161">
        <v>4351</v>
      </c>
      <c r="H159" s="162"/>
      <c r="I159" s="65"/>
      <c r="J159" s="57"/>
      <c r="K159" s="53"/>
      <c r="L159" s="52"/>
      <c r="M159"/>
      <c r="N159"/>
    </row>
    <row r="160" spans="2:14" ht="17.25" customHeight="1">
      <c r="B160" s="174" t="s">
        <v>30</v>
      </c>
      <c r="C160" s="174"/>
      <c r="D160" s="174"/>
      <c r="E160" s="174"/>
      <c r="F160" s="175"/>
      <c r="G160" s="161">
        <v>3289</v>
      </c>
      <c r="H160" s="162"/>
      <c r="I160" s="65"/>
      <c r="J160" s="56"/>
      <c r="K160" s="53"/>
      <c r="L160" s="52"/>
      <c r="M160"/>
      <c r="N160"/>
    </row>
    <row r="161" spans="2:14" ht="17.25" customHeight="1">
      <c r="B161" s="174" t="s">
        <v>22</v>
      </c>
      <c r="C161" s="174"/>
      <c r="D161" s="174"/>
      <c r="E161" s="174"/>
      <c r="F161" s="175"/>
      <c r="G161" s="161">
        <v>2209</v>
      </c>
      <c r="H161" s="162"/>
      <c r="I161" s="65"/>
      <c r="J161" s="56"/>
      <c r="K161" s="53"/>
      <c r="L161" s="52"/>
      <c r="M161"/>
      <c r="N161"/>
    </row>
    <row r="162" spans="2:14" ht="17.25">
      <c r="B162" s="174" t="s">
        <v>36</v>
      </c>
      <c r="C162" s="174"/>
      <c r="D162" s="174"/>
      <c r="E162" s="174"/>
      <c r="F162" s="175"/>
      <c r="G162" s="161">
        <v>1694</v>
      </c>
      <c r="H162" s="162"/>
      <c r="I162" s="65"/>
      <c r="J162" s="56"/>
      <c r="K162" s="53"/>
      <c r="L162" s="52"/>
      <c r="M162"/>
      <c r="N162"/>
    </row>
    <row r="163" spans="2:14" ht="18" customHeight="1" thickBot="1">
      <c r="B163" s="176" t="s">
        <v>23</v>
      </c>
      <c r="C163" s="176"/>
      <c r="D163" s="176"/>
      <c r="E163" s="176"/>
      <c r="F163" s="177"/>
      <c r="G163" s="172">
        <v>1610</v>
      </c>
      <c r="H163" s="173"/>
      <c r="I163" s="65"/>
      <c r="J163" s="56"/>
      <c r="K163" s="53"/>
      <c r="L163" s="52"/>
      <c r="M163"/>
      <c r="N163"/>
    </row>
    <row r="164" spans="2:14" ht="17.25">
      <c r="B164" s="43"/>
      <c r="C164" s="43"/>
      <c r="D164" s="43"/>
      <c r="E164" s="43"/>
      <c r="F164" s="43"/>
      <c r="G164" s="44"/>
      <c r="H164" s="44"/>
      <c r="J164" s="55"/>
      <c r="K164" s="55"/>
      <c r="M164"/>
      <c r="N164"/>
    </row>
    <row r="165" spans="2:14" ht="17.25">
      <c r="G165" s="44"/>
      <c r="H165" s="44"/>
      <c r="J165" s="2"/>
      <c r="K165" s="2"/>
    </row>
    <row r="166" spans="2:14" ht="18" thickBot="1">
      <c r="B166" s="40" t="s">
        <v>8</v>
      </c>
      <c r="C166" s="41"/>
      <c r="D166" s="41"/>
      <c r="E166" s="41"/>
      <c r="F166" s="41"/>
      <c r="G166" s="41"/>
      <c r="H166" s="42" t="s">
        <v>14</v>
      </c>
      <c r="J166" s="2"/>
      <c r="K166" s="55"/>
      <c r="L166"/>
    </row>
    <row r="167" spans="2:14" ht="15" customHeight="1" thickBot="1">
      <c r="B167" s="137" t="s">
        <v>20</v>
      </c>
      <c r="C167" s="137"/>
      <c r="D167" s="137"/>
      <c r="E167" s="137"/>
      <c r="F167" s="138"/>
      <c r="G167" s="156" t="s">
        <v>9</v>
      </c>
      <c r="H167" s="156"/>
      <c r="J167" s="2"/>
      <c r="K167" s="2"/>
    </row>
    <row r="168" spans="2:14" ht="17.25" customHeight="1">
      <c r="B168" s="157" t="s">
        <v>30</v>
      </c>
      <c r="C168" s="157"/>
      <c r="D168" s="157"/>
      <c r="E168" s="157"/>
      <c r="F168" s="158"/>
      <c r="G168" s="159">
        <v>771255384672</v>
      </c>
      <c r="H168" s="160"/>
      <c r="I168" s="65"/>
      <c r="J168" s="58"/>
      <c r="K168" s="59"/>
    </row>
    <row r="169" spans="2:14" ht="17.25" customHeight="1">
      <c r="B169" s="152" t="s">
        <v>37</v>
      </c>
      <c r="C169" s="152"/>
      <c r="D169" s="152"/>
      <c r="E169" s="152"/>
      <c r="F169" s="153"/>
      <c r="G169" s="161">
        <v>620753066363</v>
      </c>
      <c r="H169" s="162"/>
      <c r="I169" s="65"/>
      <c r="J169" s="58"/>
      <c r="K169" s="59"/>
    </row>
    <row r="170" spans="2:14" ht="17.25" customHeight="1">
      <c r="B170" s="152" t="s">
        <v>31</v>
      </c>
      <c r="C170" s="152"/>
      <c r="D170" s="152"/>
      <c r="E170" s="152"/>
      <c r="F170" s="153"/>
      <c r="G170" s="161">
        <v>524066827392</v>
      </c>
      <c r="H170" s="162"/>
      <c r="I170" s="65"/>
      <c r="J170" s="58"/>
      <c r="K170" s="59"/>
    </row>
    <row r="171" spans="2:14" ht="17.25" customHeight="1">
      <c r="B171" s="152" t="s">
        <v>38</v>
      </c>
      <c r="C171" s="152"/>
      <c r="D171" s="152"/>
      <c r="E171" s="152"/>
      <c r="F171" s="153"/>
      <c r="G171" s="161">
        <v>489905417620</v>
      </c>
      <c r="H171" s="162"/>
      <c r="I171" s="65"/>
      <c r="J171" s="58"/>
      <c r="K171" s="59"/>
    </row>
    <row r="172" spans="2:14" ht="17.25" customHeight="1">
      <c r="B172" s="152" t="s">
        <v>27</v>
      </c>
      <c r="C172" s="152"/>
      <c r="D172" s="152"/>
      <c r="E172" s="152"/>
      <c r="F172" s="153"/>
      <c r="G172" s="161">
        <v>378880845376</v>
      </c>
      <c r="H172" s="162"/>
      <c r="I172" s="65"/>
      <c r="J172" s="60"/>
      <c r="K172" s="53"/>
    </row>
    <row r="173" spans="2:14" ht="17.25" customHeight="1">
      <c r="B173" s="152" t="s">
        <v>32</v>
      </c>
      <c r="C173" s="152"/>
      <c r="D173" s="152"/>
      <c r="E173" s="152"/>
      <c r="F173" s="153"/>
      <c r="G173" s="161">
        <v>329531383951</v>
      </c>
      <c r="H173" s="162"/>
      <c r="I173" s="65"/>
      <c r="J173" s="58"/>
      <c r="K173" s="59"/>
    </row>
    <row r="174" spans="2:14" ht="17.25" customHeight="1">
      <c r="B174" s="152" t="s">
        <v>29</v>
      </c>
      <c r="C174" s="152"/>
      <c r="D174" s="152"/>
      <c r="E174" s="152"/>
      <c r="F174" s="153"/>
      <c r="G174" s="161">
        <v>276347174785</v>
      </c>
      <c r="H174" s="162"/>
      <c r="I174" s="65"/>
      <c r="J174" s="58"/>
      <c r="K174" s="59"/>
    </row>
    <row r="175" spans="2:14" ht="17.25" customHeight="1">
      <c r="B175" s="152" t="s">
        <v>46</v>
      </c>
      <c r="C175" s="152"/>
      <c r="D175" s="152"/>
      <c r="E175" s="152"/>
      <c r="F175" s="153"/>
      <c r="G175" s="161">
        <v>251397097621</v>
      </c>
      <c r="H175" s="162"/>
      <c r="I175" s="65"/>
      <c r="J175" s="58"/>
      <c r="K175" s="59"/>
    </row>
    <row r="176" spans="2:14" ht="17.25" customHeight="1">
      <c r="B176" s="152" t="s">
        <v>33</v>
      </c>
      <c r="C176" s="152"/>
      <c r="D176" s="152"/>
      <c r="E176" s="152"/>
      <c r="F176" s="153"/>
      <c r="G176" s="161">
        <v>210407476892</v>
      </c>
      <c r="H176" s="162"/>
      <c r="I176" s="65"/>
      <c r="J176" s="58"/>
      <c r="K176" s="59"/>
    </row>
    <row r="177" spans="2:11" ht="18" customHeight="1" thickBot="1">
      <c r="B177" s="171" t="s">
        <v>34</v>
      </c>
      <c r="C177" s="171"/>
      <c r="D177" s="171"/>
      <c r="E177" s="171"/>
      <c r="F177" s="169"/>
      <c r="G177" s="172">
        <v>183093368593</v>
      </c>
      <c r="H177" s="173"/>
      <c r="I177" s="65"/>
      <c r="J177" s="58"/>
      <c r="K177" s="59"/>
    </row>
    <row r="178" spans="2:11" ht="17.25">
      <c r="G178" s="44"/>
      <c r="H178" s="44"/>
      <c r="K178" s="51"/>
    </row>
    <row r="179" spans="2:11">
      <c r="B179" s="66"/>
      <c r="K179" s="51"/>
    </row>
  </sheetData>
  <dataConsolidate link="1"/>
  <mergeCells count="104">
    <mergeCell ref="B2:H2"/>
    <mergeCell ref="B3:H3"/>
    <mergeCell ref="I3:O3"/>
    <mergeCell ref="B11:D11"/>
    <mergeCell ref="B12:D12"/>
    <mergeCell ref="B13:D13"/>
    <mergeCell ref="B24:D24"/>
    <mergeCell ref="B25:D25"/>
    <mergeCell ref="B26:D26"/>
    <mergeCell ref="B27:D27"/>
    <mergeCell ref="B28:D28"/>
    <mergeCell ref="B33:D33"/>
    <mergeCell ref="B14:D14"/>
    <mergeCell ref="B15:D15"/>
    <mergeCell ref="B16:D16"/>
    <mergeCell ref="B17:D17"/>
    <mergeCell ref="B22:D22"/>
    <mergeCell ref="B23:D23"/>
    <mergeCell ref="B49:D49"/>
    <mergeCell ref="B50:D50"/>
    <mergeCell ref="B51:D51"/>
    <mergeCell ref="B52:D52"/>
    <mergeCell ref="B53:D53"/>
    <mergeCell ref="B54:D54"/>
    <mergeCell ref="B34:D34"/>
    <mergeCell ref="B35:D35"/>
    <mergeCell ref="B36:D36"/>
    <mergeCell ref="B37:D37"/>
    <mergeCell ref="B38:D38"/>
    <mergeCell ref="B39:D39"/>
    <mergeCell ref="B131:F131"/>
    <mergeCell ref="G131:H131"/>
    <mergeCell ref="B139:F139"/>
    <mergeCell ref="G139:H139"/>
    <mergeCell ref="B140:F140"/>
    <mergeCell ref="G140:H140"/>
    <mergeCell ref="B128:F128"/>
    <mergeCell ref="G128:H128"/>
    <mergeCell ref="B129:F129"/>
    <mergeCell ref="G129:H129"/>
    <mergeCell ref="B130:F130"/>
    <mergeCell ref="G130:H130"/>
    <mergeCell ref="B144:F144"/>
    <mergeCell ref="G144:H144"/>
    <mergeCell ref="B145:F145"/>
    <mergeCell ref="G145:H145"/>
    <mergeCell ref="B146:F146"/>
    <mergeCell ref="G146:H146"/>
    <mergeCell ref="B141:F141"/>
    <mergeCell ref="G141:H141"/>
    <mergeCell ref="B142:F142"/>
    <mergeCell ref="G142:H142"/>
    <mergeCell ref="B143:F143"/>
    <mergeCell ref="G143:H143"/>
    <mergeCell ref="B153:F153"/>
    <mergeCell ref="G153:H153"/>
    <mergeCell ref="B154:F154"/>
    <mergeCell ref="G154:H154"/>
    <mergeCell ref="B155:F155"/>
    <mergeCell ref="G155:H155"/>
    <mergeCell ref="B147:F147"/>
    <mergeCell ref="G147:H147"/>
    <mergeCell ref="B148:F148"/>
    <mergeCell ref="G148:H148"/>
    <mergeCell ref="B149:F149"/>
    <mergeCell ref="G149:H149"/>
    <mergeCell ref="B159:F159"/>
    <mergeCell ref="G159:H159"/>
    <mergeCell ref="B160:F160"/>
    <mergeCell ref="G160:H160"/>
    <mergeCell ref="B161:F161"/>
    <mergeCell ref="G161:H161"/>
    <mergeCell ref="B156:F156"/>
    <mergeCell ref="G156:H156"/>
    <mergeCell ref="B157:F157"/>
    <mergeCell ref="G157:H157"/>
    <mergeCell ref="B158:F158"/>
    <mergeCell ref="G158:H158"/>
    <mergeCell ref="B168:F168"/>
    <mergeCell ref="G168:H168"/>
    <mergeCell ref="B169:F169"/>
    <mergeCell ref="G169:H169"/>
    <mergeCell ref="B170:F170"/>
    <mergeCell ref="G170:H170"/>
    <mergeCell ref="B162:F162"/>
    <mergeCell ref="G162:H162"/>
    <mergeCell ref="B163:F163"/>
    <mergeCell ref="G163:H163"/>
    <mergeCell ref="B167:F167"/>
    <mergeCell ref="G167:H167"/>
    <mergeCell ref="B177:F177"/>
    <mergeCell ref="G177:H177"/>
    <mergeCell ref="B174:F174"/>
    <mergeCell ref="G174:H174"/>
    <mergeCell ref="B175:F175"/>
    <mergeCell ref="G175:H175"/>
    <mergeCell ref="B176:F176"/>
    <mergeCell ref="G176:H176"/>
    <mergeCell ref="B171:F171"/>
    <mergeCell ref="G171:H171"/>
    <mergeCell ref="B172:F172"/>
    <mergeCell ref="G172:H172"/>
    <mergeCell ref="B173:F173"/>
    <mergeCell ref="G173:H173"/>
  </mergeCells>
  <pageMargins left="0.70866141732283472" right="0.70866141732283472" top="0.15748031496062992" bottom="0.15748031496062992" header="0.31496062992125984" footer="0.11811023622047245"/>
  <pageSetup paperSize="9" scale="48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50" max="16383" man="1"/>
    <brk id="191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15713">
          <objectPr defaultSize="0" autoPict="0" dde="1">
            <anchor moveWithCells="1">
              <from>
                <xdr:col>0</xdr:col>
                <xdr:colOff>114300</xdr:colOff>
                <xdr:row>63</xdr:row>
                <xdr:rowOff>76200</xdr:rowOff>
              </from>
              <to>
                <xdr:col>1</xdr:col>
                <xdr:colOff>209550</xdr:colOff>
                <xdr:row>64</xdr:row>
                <xdr:rowOff>114300</xdr:rowOff>
              </to>
            </anchor>
          </objectPr>
        </oleObject>
      </mc:Choice>
      <mc:Fallback>
        <oleObject link="[1]!'!Январь2012!R1C2:R10C9'" oleUpdate="OLEUPDATE_ALWAYS" shapeId="115713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75">
    <pageSetUpPr fitToPage="1"/>
  </sheetPr>
  <dimension ref="B2:O179"/>
  <sheetViews>
    <sheetView topLeftCell="A133" workbookViewId="0">
      <selection activeCell="H37" sqref="H37"/>
    </sheetView>
  </sheetViews>
  <sheetFormatPr defaultRowHeight="13.5"/>
  <cols>
    <col min="1" max="1" width="3.42578125" style="88" customWidth="1"/>
    <col min="2" max="2" width="46.7109375" style="88" customWidth="1"/>
    <col min="3" max="6" width="18.42578125" style="88" customWidth="1"/>
    <col min="7" max="7" width="22.5703125" style="88" customWidth="1"/>
    <col min="8" max="8" width="18.42578125" style="88" customWidth="1"/>
    <col min="9" max="9" width="19.42578125" style="91" customWidth="1"/>
    <col min="10" max="10" width="9.140625" style="88"/>
    <col min="11" max="11" width="29.28515625" style="88" customWidth="1"/>
    <col min="12" max="12" width="14.85546875" style="88" bestFit="1" customWidth="1"/>
    <col min="13" max="13" width="9.140625" style="88"/>
    <col min="14" max="14" width="23.42578125" style="88" customWidth="1"/>
    <col min="15" max="16384" width="9.140625" style="88"/>
  </cols>
  <sheetData>
    <row r="2" spans="2:15" s="1" customFormat="1" ht="20.25">
      <c r="B2" s="123" t="s">
        <v>15</v>
      </c>
      <c r="C2" s="123"/>
      <c r="D2" s="123"/>
      <c r="E2" s="123"/>
      <c r="F2" s="123"/>
      <c r="G2" s="123"/>
      <c r="H2" s="123"/>
      <c r="I2" s="61"/>
    </row>
    <row r="3" spans="2:15" s="1" customFormat="1" ht="21" thickBot="1">
      <c r="B3" s="124">
        <v>41334</v>
      </c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</row>
    <row r="4" spans="2:15" s="1" customFormat="1" ht="18" thickTop="1">
      <c r="I4" s="61"/>
    </row>
    <row r="5" spans="2:15" s="1" customFormat="1" ht="17.25">
      <c r="B5" s="19"/>
      <c r="C5" s="19"/>
      <c r="D5" s="19"/>
      <c r="E5" s="19"/>
      <c r="F5" s="19"/>
      <c r="G5" s="19"/>
      <c r="H5" s="19"/>
      <c r="I5" s="61"/>
    </row>
    <row r="6" spans="2:15" s="1" customFormat="1" ht="17.25">
      <c r="B6" s="20" t="s">
        <v>24</v>
      </c>
      <c r="C6" s="77">
        <f>B3</f>
        <v>41334</v>
      </c>
      <c r="D6" s="19"/>
      <c r="E6" s="19"/>
      <c r="F6" s="19"/>
      <c r="G6" s="19"/>
      <c r="H6" s="19"/>
      <c r="I6" s="61"/>
    </row>
    <row r="7" spans="2:15" s="1" customFormat="1" ht="18" thickBot="1">
      <c r="B7" s="23"/>
      <c r="C7" s="23"/>
      <c r="D7" s="23"/>
      <c r="E7" s="23"/>
      <c r="F7" s="23"/>
      <c r="G7" s="23"/>
      <c r="H7" s="23"/>
      <c r="I7" s="61"/>
    </row>
    <row r="8" spans="2:15">
      <c r="B8" s="2"/>
      <c r="C8" s="2"/>
      <c r="D8" s="2"/>
      <c r="E8" s="2"/>
    </row>
    <row r="9" spans="2:15" s="4" customFormat="1" ht="12.75">
      <c r="C9" s="3"/>
      <c r="D9" s="3"/>
      <c r="E9" s="3"/>
      <c r="F9" s="3"/>
      <c r="I9" s="62"/>
    </row>
    <row r="10" spans="2:15" ht="18" thickBot="1">
      <c r="B10" s="15" t="s">
        <v>70</v>
      </c>
      <c r="C10" s="16"/>
      <c r="D10" s="16"/>
      <c r="E10" s="16"/>
      <c r="F10" s="16"/>
      <c r="G10" s="16"/>
      <c r="H10" s="17" t="s">
        <v>13</v>
      </c>
    </row>
    <row r="11" spans="2:15" s="49" customFormat="1" ht="15.75" thickBot="1">
      <c r="B11" s="125" t="s">
        <v>18</v>
      </c>
      <c r="C11" s="125"/>
      <c r="D11" s="126"/>
      <c r="E11" s="85">
        <v>41333</v>
      </c>
      <c r="F11" s="85">
        <f>EDATE(E11,1)</f>
        <v>41361</v>
      </c>
      <c r="G11" s="48" t="s">
        <v>10</v>
      </c>
      <c r="H11" s="48" t="s">
        <v>11</v>
      </c>
      <c r="I11" s="106"/>
      <c r="K11" s="90"/>
    </row>
    <row r="12" spans="2:15" s="89" customFormat="1" ht="17.25">
      <c r="B12" s="127" t="s">
        <v>0</v>
      </c>
      <c r="C12" s="127"/>
      <c r="D12" s="128"/>
      <c r="E12" s="103">
        <v>1028377</v>
      </c>
      <c r="F12" s="103">
        <v>1034525</v>
      </c>
      <c r="G12" s="13">
        <f t="shared" ref="G12:G18" si="0">F12-E12</f>
        <v>6148</v>
      </c>
      <c r="H12" s="68">
        <f t="shared" ref="H12:H18" si="1">F12/E12-1</f>
        <v>5.978352296871714E-3</v>
      </c>
      <c r="I12" s="106"/>
      <c r="K12" s="90"/>
    </row>
    <row r="13" spans="2:15" s="89" customFormat="1" ht="17.25">
      <c r="B13" s="129" t="s">
        <v>1</v>
      </c>
      <c r="C13" s="129"/>
      <c r="D13" s="130"/>
      <c r="E13" s="103">
        <v>34856</v>
      </c>
      <c r="F13" s="103">
        <v>34949</v>
      </c>
      <c r="G13" s="95">
        <f t="shared" si="0"/>
        <v>93</v>
      </c>
      <c r="H13" s="96">
        <f t="shared" si="1"/>
        <v>2.6681202662381942E-3</v>
      </c>
      <c r="I13" s="106"/>
      <c r="K13" s="90"/>
    </row>
    <row r="14" spans="2:15" s="89" customFormat="1" ht="17.25">
      <c r="B14" s="129" t="s">
        <v>2</v>
      </c>
      <c r="C14" s="129"/>
      <c r="D14" s="130"/>
      <c r="E14" s="103">
        <v>12432</v>
      </c>
      <c r="F14" s="103">
        <v>12564</v>
      </c>
      <c r="G14" s="95">
        <f t="shared" si="0"/>
        <v>132</v>
      </c>
      <c r="H14" s="96">
        <f t="shared" si="1"/>
        <v>1.0617760617760652E-2</v>
      </c>
      <c r="I14" s="106"/>
      <c r="J14" s="90"/>
    </row>
    <row r="15" spans="2:15" s="89" customFormat="1" ht="17.25">
      <c r="B15" s="131" t="s">
        <v>41</v>
      </c>
      <c r="C15" s="131"/>
      <c r="D15" s="132"/>
      <c r="E15" s="103">
        <v>2244</v>
      </c>
      <c r="F15" s="103">
        <v>2300</v>
      </c>
      <c r="G15" s="93">
        <f t="shared" si="0"/>
        <v>56</v>
      </c>
      <c r="H15" s="94">
        <f t="shared" si="1"/>
        <v>2.4955436720142554E-2</v>
      </c>
      <c r="I15" s="106"/>
      <c r="J15" s="90"/>
    </row>
    <row r="16" spans="2:15" s="89" customFormat="1" ht="17.25">
      <c r="B16" s="133" t="s">
        <v>42</v>
      </c>
      <c r="C16" s="133"/>
      <c r="D16" s="134"/>
      <c r="E16" s="103">
        <v>10188</v>
      </c>
      <c r="F16" s="103">
        <v>10264</v>
      </c>
      <c r="G16" s="93">
        <f t="shared" si="0"/>
        <v>76</v>
      </c>
      <c r="H16" s="94">
        <f t="shared" si="1"/>
        <v>7.4597565763643292E-3</v>
      </c>
      <c r="I16" s="106"/>
      <c r="J16" s="90"/>
    </row>
    <row r="17" spans="2:11" s="89" customFormat="1" ht="18" customHeight="1" thickBot="1">
      <c r="B17" s="135" t="s">
        <v>3</v>
      </c>
      <c r="C17" s="135"/>
      <c r="D17" s="136"/>
      <c r="E17" s="103">
        <v>14069</v>
      </c>
      <c r="F17" s="103">
        <v>10644</v>
      </c>
      <c r="G17" s="12">
        <f t="shared" si="0"/>
        <v>-3425</v>
      </c>
      <c r="H17" s="67">
        <f t="shared" si="1"/>
        <v>-0.24344303077688534</v>
      </c>
      <c r="I17" s="106"/>
      <c r="K17" s="90"/>
    </row>
    <row r="18" spans="2:11" s="79" customFormat="1" ht="18" thickBot="1">
      <c r="B18" s="69" t="s">
        <v>4</v>
      </c>
      <c r="C18" s="69"/>
      <c r="D18" s="70"/>
      <c r="E18" s="82">
        <v>1089734</v>
      </c>
      <c r="F18" s="82">
        <v>1092682</v>
      </c>
      <c r="G18" s="82">
        <f t="shared" si="0"/>
        <v>2948</v>
      </c>
      <c r="H18" s="78">
        <f t="shared" si="1"/>
        <v>2.7052473355884121E-3</v>
      </c>
    </row>
    <row r="19" spans="2:11" ht="15">
      <c r="B19" s="10"/>
      <c r="C19" s="2"/>
      <c r="D19" s="2"/>
      <c r="E19" s="2"/>
      <c r="F19" s="2"/>
      <c r="G19" s="2"/>
    </row>
    <row r="20" spans="2:11" ht="15">
      <c r="B20" s="10"/>
      <c r="C20" s="2"/>
      <c r="D20" s="2"/>
      <c r="E20" s="2"/>
      <c r="F20" s="2"/>
      <c r="G20" s="2"/>
    </row>
    <row r="21" spans="2:11" ht="18" thickBot="1">
      <c r="B21" s="15" t="s">
        <v>71</v>
      </c>
      <c r="C21" s="16"/>
      <c r="D21" s="16"/>
      <c r="E21" s="16"/>
      <c r="F21" s="16"/>
      <c r="G21" s="16"/>
      <c r="H21" s="17" t="s">
        <v>12</v>
      </c>
    </row>
    <row r="22" spans="2:11" s="89" customFormat="1" ht="15.75" thickBot="1">
      <c r="B22" s="125" t="s">
        <v>18</v>
      </c>
      <c r="C22" s="125"/>
      <c r="D22" s="126"/>
      <c r="E22" s="85">
        <f>E11</f>
        <v>41333</v>
      </c>
      <c r="F22" s="85">
        <f>F11</f>
        <v>41361</v>
      </c>
      <c r="G22" s="48" t="s">
        <v>10</v>
      </c>
      <c r="H22" s="48" t="s">
        <v>11</v>
      </c>
      <c r="I22" s="92"/>
      <c r="K22" s="90"/>
    </row>
    <row r="23" spans="2:11" s="89" customFormat="1" ht="17.25">
      <c r="B23" s="127" t="s">
        <v>0</v>
      </c>
      <c r="C23" s="127"/>
      <c r="D23" s="128"/>
      <c r="E23" s="103">
        <v>830471</v>
      </c>
      <c r="F23" s="103">
        <v>871195</v>
      </c>
      <c r="G23" s="13">
        <f>F23-E23</f>
        <v>40724</v>
      </c>
      <c r="H23" s="68">
        <f>F23/E23-1</f>
        <v>4.9037233088211396E-2</v>
      </c>
      <c r="J23" s="90"/>
    </row>
    <row r="24" spans="2:11" s="89" customFormat="1" ht="17.25">
      <c r="B24" s="129" t="s">
        <v>1</v>
      </c>
      <c r="C24" s="129"/>
      <c r="D24" s="130"/>
      <c r="E24" s="103">
        <v>17820</v>
      </c>
      <c r="F24" s="103">
        <v>18896</v>
      </c>
      <c r="G24" s="13">
        <f>F24-E24</f>
        <v>1076</v>
      </c>
      <c r="H24" s="68">
        <f t="shared" ref="H24:H29" si="2">F24/E24-1</f>
        <v>6.0381593714927018E-2</v>
      </c>
      <c r="J24" s="90"/>
    </row>
    <row r="25" spans="2:11" s="89" customFormat="1" ht="17.25">
      <c r="B25" s="129" t="s">
        <v>2</v>
      </c>
      <c r="C25" s="129"/>
      <c r="D25" s="130"/>
      <c r="E25" s="103">
        <v>6029</v>
      </c>
      <c r="F25" s="103">
        <v>6333</v>
      </c>
      <c r="G25" s="13">
        <f t="shared" ref="G25:G29" si="3">F25-E25</f>
        <v>304</v>
      </c>
      <c r="H25" s="68">
        <f t="shared" si="2"/>
        <v>5.0422955714048756E-2</v>
      </c>
      <c r="J25" s="90"/>
    </row>
    <row r="26" spans="2:11" s="89" customFormat="1" ht="17.25">
      <c r="B26" s="131" t="s">
        <v>41</v>
      </c>
      <c r="C26" s="131"/>
      <c r="D26" s="132"/>
      <c r="E26" s="103">
        <v>2147</v>
      </c>
      <c r="F26" s="103">
        <v>2255</v>
      </c>
      <c r="G26" s="13">
        <f t="shared" si="3"/>
        <v>108</v>
      </c>
      <c r="H26" s="68">
        <f t="shared" si="2"/>
        <v>5.0302748020493615E-2</v>
      </c>
      <c r="J26" s="90"/>
    </row>
    <row r="27" spans="2:11" s="89" customFormat="1" ht="17.25">
      <c r="B27" s="133" t="s">
        <v>42</v>
      </c>
      <c r="C27" s="133"/>
      <c r="D27" s="134"/>
      <c r="E27" s="103">
        <v>3882</v>
      </c>
      <c r="F27" s="103">
        <v>4078</v>
      </c>
      <c r="G27" s="13">
        <f t="shared" si="3"/>
        <v>196</v>
      </c>
      <c r="H27" s="68">
        <f t="shared" si="2"/>
        <v>5.0489438433797051E-2</v>
      </c>
      <c r="J27" s="90"/>
    </row>
    <row r="28" spans="2:11" s="89" customFormat="1" ht="18" thickBot="1">
      <c r="B28" s="135" t="s">
        <v>3</v>
      </c>
      <c r="C28" s="135"/>
      <c r="D28" s="136"/>
      <c r="E28" s="103">
        <v>5099</v>
      </c>
      <c r="F28" s="103">
        <v>5433</v>
      </c>
      <c r="G28" s="13">
        <f t="shared" si="3"/>
        <v>334</v>
      </c>
      <c r="H28" s="68">
        <f t="shared" si="2"/>
        <v>6.5503039811727781E-2</v>
      </c>
      <c r="J28" s="90"/>
    </row>
    <row r="29" spans="2:11" s="79" customFormat="1" ht="18" thickBot="1">
      <c r="B29" s="69" t="s">
        <v>4</v>
      </c>
      <c r="C29" s="69"/>
      <c r="D29" s="70"/>
      <c r="E29" s="82">
        <v>859419</v>
      </c>
      <c r="F29" s="82">
        <v>901857</v>
      </c>
      <c r="G29" s="82">
        <f t="shared" si="3"/>
        <v>42438</v>
      </c>
      <c r="H29" s="78">
        <f t="shared" si="2"/>
        <v>4.9379871750566462E-2</v>
      </c>
    </row>
    <row r="30" spans="2:11" ht="15">
      <c r="B30" s="10"/>
      <c r="C30" s="2"/>
      <c r="D30" s="2"/>
      <c r="E30" s="2"/>
      <c r="F30" s="2"/>
      <c r="G30" s="2"/>
    </row>
    <row r="31" spans="2:11" ht="15">
      <c r="B31" s="10"/>
      <c r="C31" s="2"/>
      <c r="D31" s="2"/>
      <c r="E31" s="2"/>
      <c r="F31" s="2"/>
      <c r="G31" s="2"/>
    </row>
    <row r="32" spans="2:11" ht="18" thickBot="1">
      <c r="B32" s="15" t="s">
        <v>16</v>
      </c>
      <c r="C32" s="16"/>
      <c r="D32" s="16"/>
      <c r="E32" s="16"/>
      <c r="F32" s="16"/>
      <c r="G32" s="16"/>
      <c r="H32" s="17" t="s">
        <v>14</v>
      </c>
    </row>
    <row r="33" spans="2:9" ht="15.75" thickBot="1">
      <c r="B33" s="137" t="s">
        <v>18</v>
      </c>
      <c r="C33" s="137"/>
      <c r="D33" s="138"/>
      <c r="E33" s="83">
        <f>EDATE(C6,-1)</f>
        <v>41306</v>
      </c>
      <c r="F33" s="83">
        <f>EDATE(E33,1)</f>
        <v>41334</v>
      </c>
      <c r="G33" s="18" t="s">
        <v>10</v>
      </c>
      <c r="H33" s="18" t="s">
        <v>11</v>
      </c>
    </row>
    <row r="34" spans="2:9" ht="17.25">
      <c r="B34" s="139" t="s">
        <v>0</v>
      </c>
      <c r="C34" s="139"/>
      <c r="D34" s="140"/>
      <c r="E34" s="97">
        <v>69676</v>
      </c>
      <c r="F34" s="97">
        <v>68190</v>
      </c>
      <c r="G34" s="13">
        <f t="shared" ref="G34:G40" si="4">F34-E34</f>
        <v>-1486</v>
      </c>
      <c r="H34" s="68">
        <f>F34/E34-1</f>
        <v>-2.1327286296572656E-2</v>
      </c>
      <c r="I34" s="88"/>
    </row>
    <row r="35" spans="2:9" ht="17.25">
      <c r="B35" s="152" t="s">
        <v>1</v>
      </c>
      <c r="C35" s="152"/>
      <c r="D35" s="153"/>
      <c r="E35" s="97">
        <v>1506</v>
      </c>
      <c r="F35" s="97">
        <v>1476</v>
      </c>
      <c r="G35" s="95">
        <f t="shared" si="4"/>
        <v>-30</v>
      </c>
      <c r="H35" s="68">
        <f t="shared" ref="H35:H40" si="5">F35/E35-1</f>
        <v>-1.9920318725099584E-2</v>
      </c>
      <c r="I35" s="88"/>
    </row>
    <row r="36" spans="2:9" ht="17.25">
      <c r="B36" s="152" t="s">
        <v>2</v>
      </c>
      <c r="C36" s="152"/>
      <c r="D36" s="153"/>
      <c r="E36" s="97">
        <v>612</v>
      </c>
      <c r="F36" s="97">
        <v>622</v>
      </c>
      <c r="G36" s="95">
        <f t="shared" si="4"/>
        <v>10</v>
      </c>
      <c r="H36" s="68">
        <f t="shared" si="5"/>
        <v>1.6339869281045694E-2</v>
      </c>
      <c r="I36" s="88"/>
    </row>
    <row r="37" spans="2:9" ht="17.25">
      <c r="B37" s="131" t="s">
        <v>41</v>
      </c>
      <c r="C37" s="131"/>
      <c r="D37" s="132"/>
      <c r="E37" s="97">
        <v>158</v>
      </c>
      <c r="F37" s="97">
        <v>167</v>
      </c>
      <c r="G37" s="95">
        <f t="shared" si="4"/>
        <v>9</v>
      </c>
      <c r="H37" s="68">
        <f t="shared" si="5"/>
        <v>5.6962025316455778E-2</v>
      </c>
      <c r="I37" s="88"/>
    </row>
    <row r="38" spans="2:9" ht="17.25">
      <c r="B38" s="133" t="s">
        <v>42</v>
      </c>
      <c r="C38" s="133"/>
      <c r="D38" s="134"/>
      <c r="E38" s="97">
        <v>454</v>
      </c>
      <c r="F38" s="97">
        <v>455</v>
      </c>
      <c r="G38" s="95">
        <f t="shared" si="4"/>
        <v>1</v>
      </c>
      <c r="H38" s="68">
        <f t="shared" si="5"/>
        <v>2.2026431718060735E-3</v>
      </c>
      <c r="I38" s="88"/>
    </row>
    <row r="39" spans="2:9" ht="18" thickBot="1">
      <c r="B39" s="154" t="s">
        <v>3</v>
      </c>
      <c r="C39" s="154"/>
      <c r="D39" s="155"/>
      <c r="E39" s="97">
        <v>896</v>
      </c>
      <c r="F39" s="97">
        <v>918</v>
      </c>
      <c r="G39" s="12">
        <f t="shared" si="4"/>
        <v>22</v>
      </c>
      <c r="H39" s="68">
        <f t="shared" si="5"/>
        <v>2.4553571428571397E-2</v>
      </c>
      <c r="I39" s="88"/>
    </row>
    <row r="40" spans="2:9" s="79" customFormat="1" ht="18" thickBot="1">
      <c r="B40" s="69" t="s">
        <v>4</v>
      </c>
      <c r="C40" s="69"/>
      <c r="D40" s="70"/>
      <c r="E40" s="82">
        <v>72690</v>
      </c>
      <c r="F40" s="82">
        <v>71206</v>
      </c>
      <c r="G40" s="82">
        <f t="shared" si="4"/>
        <v>-1484</v>
      </c>
      <c r="H40" s="78">
        <f t="shared" si="5"/>
        <v>-2.0415462924748939E-2</v>
      </c>
    </row>
    <row r="41" spans="2:9" ht="15">
      <c r="B41" s="6"/>
      <c r="C41" s="6"/>
      <c r="D41" s="6"/>
      <c r="E41" s="45"/>
      <c r="F41" s="45"/>
      <c r="G41" s="46"/>
      <c r="H41" s="47"/>
    </row>
    <row r="42" spans="2:9" ht="15">
      <c r="B42" s="10"/>
      <c r="C42" s="2"/>
      <c r="D42" s="2"/>
      <c r="E42" s="2"/>
      <c r="F42" s="2"/>
      <c r="G42" s="2"/>
    </row>
    <row r="43" spans="2:9" ht="17.25">
      <c r="B43" s="21"/>
      <c r="C43" s="21"/>
      <c r="D43" s="21"/>
      <c r="E43" s="21"/>
      <c r="F43" s="21"/>
      <c r="G43" s="21"/>
      <c r="H43" s="21"/>
    </row>
    <row r="44" spans="2:9" ht="17.25">
      <c r="B44" s="22" t="s">
        <v>17</v>
      </c>
      <c r="C44" s="21"/>
      <c r="D44" s="21"/>
      <c r="E44" s="21"/>
      <c r="F44" s="21"/>
      <c r="G44" s="21"/>
      <c r="H44" s="21"/>
    </row>
    <row r="45" spans="2:9" ht="18" thickBot="1">
      <c r="B45" s="24"/>
      <c r="C45" s="24"/>
      <c r="D45" s="24"/>
      <c r="E45" s="24"/>
      <c r="F45" s="24"/>
      <c r="G45" s="24"/>
      <c r="H45" s="24"/>
    </row>
    <row r="47" spans="2:9">
      <c r="F47" s="5"/>
    </row>
    <row r="48" spans="2:9" ht="18" thickBot="1">
      <c r="B48" s="14" t="s">
        <v>72</v>
      </c>
      <c r="C48" s="25"/>
      <c r="D48" s="25"/>
      <c r="E48" s="25"/>
      <c r="F48" s="25"/>
      <c r="G48" s="25"/>
      <c r="H48" s="26" t="s">
        <v>13</v>
      </c>
    </row>
    <row r="49" spans="2:9" ht="15.75" thickBot="1">
      <c r="B49" s="137" t="s">
        <v>18</v>
      </c>
      <c r="C49" s="137"/>
      <c r="D49" s="138"/>
      <c r="E49" s="85">
        <v>40178</v>
      </c>
      <c r="F49" s="85">
        <v>40543</v>
      </c>
      <c r="G49" s="85">
        <v>40908</v>
      </c>
      <c r="H49" s="85">
        <v>41274</v>
      </c>
      <c r="I49" s="88"/>
    </row>
    <row r="50" spans="2:9" ht="17.25">
      <c r="B50" s="141" t="s">
        <v>0</v>
      </c>
      <c r="C50" s="141"/>
      <c r="D50" s="142"/>
      <c r="E50" s="99">
        <v>671475</v>
      </c>
      <c r="F50" s="99">
        <v>714295</v>
      </c>
      <c r="G50" s="99">
        <v>772175</v>
      </c>
      <c r="H50" s="99">
        <v>805549</v>
      </c>
      <c r="I50" s="88"/>
    </row>
    <row r="51" spans="2:9" ht="17.25">
      <c r="B51" s="143" t="s">
        <v>1</v>
      </c>
      <c r="C51" s="143"/>
      <c r="D51" s="144"/>
      <c r="E51" s="100">
        <v>16364</v>
      </c>
      <c r="F51" s="100">
        <v>17170</v>
      </c>
      <c r="G51" s="100">
        <v>16850</v>
      </c>
      <c r="H51" s="100">
        <v>17821</v>
      </c>
      <c r="I51" s="88"/>
    </row>
    <row r="52" spans="2:9" ht="17.25">
      <c r="B52" s="145" t="s">
        <v>2</v>
      </c>
      <c r="C52" s="145"/>
      <c r="D52" s="146"/>
      <c r="E52" s="102">
        <v>3851</v>
      </c>
      <c r="F52" s="102">
        <v>4295</v>
      </c>
      <c r="G52" s="102">
        <v>5058</v>
      </c>
      <c r="H52" s="102">
        <v>5876</v>
      </c>
      <c r="I52" s="88"/>
    </row>
    <row r="53" spans="2:9" ht="18" thickBot="1">
      <c r="B53" s="147" t="s">
        <v>3</v>
      </c>
      <c r="C53" s="147"/>
      <c r="D53" s="148"/>
      <c r="E53" s="98">
        <v>4717</v>
      </c>
      <c r="F53" s="98">
        <v>5348</v>
      </c>
      <c r="G53" s="98">
        <v>5242</v>
      </c>
      <c r="H53" s="98">
        <v>5261</v>
      </c>
      <c r="I53" s="88"/>
    </row>
    <row r="54" spans="2:9" s="81" customFormat="1" ht="18" thickBot="1">
      <c r="B54" s="149" t="s">
        <v>4</v>
      </c>
      <c r="C54" s="149"/>
      <c r="D54" s="150"/>
      <c r="E54" s="101">
        <v>696407</v>
      </c>
      <c r="F54" s="101">
        <v>741108</v>
      </c>
      <c r="G54" s="101">
        <v>799325</v>
      </c>
      <c r="H54" s="101">
        <v>834507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2" ht="15">
      <c r="B81" s="6"/>
      <c r="C81" s="7"/>
      <c r="D81" s="8"/>
      <c r="E81" s="8"/>
      <c r="F81" s="5"/>
      <c r="G81" s="8"/>
      <c r="H81" s="8"/>
      <c r="J81"/>
      <c r="K81"/>
      <c r="L81"/>
    </row>
    <row r="82" spans="2:12" ht="18" thickBot="1">
      <c r="B82" s="14" t="s">
        <v>73</v>
      </c>
      <c r="C82" s="25"/>
      <c r="D82" s="25"/>
      <c r="E82" s="25"/>
      <c r="F82" s="25"/>
      <c r="G82" s="25"/>
      <c r="H82" s="26" t="s">
        <v>12</v>
      </c>
      <c r="J82"/>
      <c r="K82"/>
      <c r="L82"/>
    </row>
    <row r="83" spans="2:12" ht="15.75" thickBot="1">
      <c r="B83" s="34" t="s">
        <v>18</v>
      </c>
      <c r="C83" s="85">
        <f>EDATE(D83,-1)</f>
        <v>41210</v>
      </c>
      <c r="D83" s="85">
        <f>EDATE(E83,-1)</f>
        <v>41241</v>
      </c>
      <c r="E83" s="85">
        <f>EDATE(F83,-1)</f>
        <v>41271</v>
      </c>
      <c r="F83" s="85">
        <f>EDATE(G83,-1)</f>
        <v>41302</v>
      </c>
      <c r="G83" s="85">
        <f>EDATE(H83,-1)</f>
        <v>41333</v>
      </c>
      <c r="H83" s="85">
        <f>EDATE(E11,1)</f>
        <v>41361</v>
      </c>
      <c r="I83" s="64"/>
      <c r="J83"/>
      <c r="K83"/>
    </row>
    <row r="84" spans="2:12" ht="16.5" customHeight="1">
      <c r="B84" s="27" t="s">
        <v>0</v>
      </c>
      <c r="C84" s="72">
        <v>804740</v>
      </c>
      <c r="D84" s="72">
        <v>815485</v>
      </c>
      <c r="E84" s="72">
        <v>805549</v>
      </c>
      <c r="F84" s="72">
        <v>833454</v>
      </c>
      <c r="G84" s="72">
        <v>830471</v>
      </c>
      <c r="H84" s="72">
        <v>871195</v>
      </c>
      <c r="I84"/>
      <c r="J84"/>
    </row>
    <row r="85" spans="2:12" ht="16.5" customHeight="1">
      <c r="B85" s="28" t="s">
        <v>1</v>
      </c>
      <c r="C85" s="73">
        <v>17648</v>
      </c>
      <c r="D85" s="73">
        <v>17752</v>
      </c>
      <c r="E85" s="73">
        <v>17821</v>
      </c>
      <c r="F85" s="73">
        <v>18015</v>
      </c>
      <c r="G85" s="73">
        <v>17820</v>
      </c>
      <c r="H85" s="73">
        <v>18896</v>
      </c>
      <c r="I85"/>
      <c r="J85"/>
    </row>
    <row r="86" spans="2:12" ht="16.5" customHeight="1">
      <c r="B86" s="29" t="s">
        <v>2</v>
      </c>
      <c r="C86" s="74">
        <v>5781</v>
      </c>
      <c r="D86" s="74">
        <v>5845</v>
      </c>
      <c r="E86" s="74">
        <v>5876</v>
      </c>
      <c r="F86" s="74">
        <v>6049</v>
      </c>
      <c r="G86" s="74">
        <v>6029</v>
      </c>
      <c r="H86" s="74">
        <v>6333</v>
      </c>
      <c r="I86"/>
      <c r="J86"/>
    </row>
    <row r="87" spans="2:12" ht="16.5" customHeight="1" thickBot="1">
      <c r="B87" s="30" t="s">
        <v>3</v>
      </c>
      <c r="C87" s="75">
        <v>5247</v>
      </c>
      <c r="D87" s="75">
        <v>5266</v>
      </c>
      <c r="E87" s="75">
        <v>5261</v>
      </c>
      <c r="F87" s="75">
        <v>5288</v>
      </c>
      <c r="G87" s="75">
        <v>5099</v>
      </c>
      <c r="H87" s="75">
        <v>5433</v>
      </c>
      <c r="I87"/>
      <c r="J87"/>
    </row>
    <row r="88" spans="2:12" s="81" customFormat="1" ht="18" thickBot="1">
      <c r="B88" s="107" t="s">
        <v>4</v>
      </c>
      <c r="C88" s="76">
        <v>833416</v>
      </c>
      <c r="D88" s="76">
        <v>844348</v>
      </c>
      <c r="E88" s="76">
        <v>834507</v>
      </c>
      <c r="F88" s="76">
        <v>862806</v>
      </c>
      <c r="G88" s="76">
        <v>859419</v>
      </c>
      <c r="H88" s="76">
        <v>901857</v>
      </c>
      <c r="I88" s="80"/>
      <c r="J88" s="80"/>
    </row>
    <row r="89" spans="2:12">
      <c r="I89"/>
      <c r="J89"/>
      <c r="K89"/>
    </row>
    <row r="90" spans="2:12">
      <c r="I90"/>
      <c r="J90"/>
      <c r="K90"/>
    </row>
    <row r="91" spans="2:12">
      <c r="B91" s="2"/>
      <c r="F91" s="2"/>
      <c r="G91" s="2"/>
      <c r="H91" s="2"/>
      <c r="J91"/>
      <c r="K91"/>
      <c r="L91"/>
    </row>
    <row r="92" spans="2:12">
      <c r="B92" s="2"/>
      <c r="F92" s="2"/>
      <c r="G92" s="2"/>
      <c r="H92" s="2"/>
      <c r="J92"/>
      <c r="K92"/>
      <c r="L92"/>
    </row>
    <row r="93" spans="2:12" ht="15">
      <c r="B93" s="10"/>
      <c r="C93" s="2"/>
      <c r="D93" s="2"/>
      <c r="E93" s="2"/>
      <c r="G93" s="2"/>
      <c r="H93" s="2"/>
      <c r="J93"/>
      <c r="K93"/>
      <c r="L93"/>
    </row>
    <row r="94" spans="2:12" s="4" customFormat="1" ht="12.75">
      <c r="B94" s="3"/>
      <c r="C94" s="3"/>
      <c r="D94" s="3"/>
      <c r="E94" s="3"/>
      <c r="F94" s="3"/>
      <c r="G94" s="3"/>
      <c r="H94" s="3"/>
      <c r="I94" s="62"/>
    </row>
    <row r="95" spans="2:12" ht="15">
      <c r="B95" s="9"/>
      <c r="C95" s="2"/>
      <c r="D95" s="2"/>
      <c r="E95" s="2"/>
      <c r="F95" s="2"/>
      <c r="G95" s="2"/>
      <c r="H95" s="2"/>
    </row>
    <row r="96" spans="2:12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31"/>
      <c r="C123" s="31"/>
      <c r="D123" s="31"/>
      <c r="E123" s="31"/>
      <c r="F123" s="31"/>
      <c r="G123" s="31"/>
      <c r="H123" s="31"/>
    </row>
    <row r="124" spans="2:8" ht="17.25">
      <c r="B124" s="32" t="s">
        <v>43</v>
      </c>
      <c r="C124" s="86">
        <v>41363</v>
      </c>
      <c r="D124" s="31"/>
      <c r="E124" s="31"/>
      <c r="F124" s="31"/>
      <c r="G124" s="31"/>
      <c r="H124" s="31"/>
    </row>
    <row r="125" spans="2:8" ht="18" thickBot="1">
      <c r="B125" s="33"/>
      <c r="C125" s="33"/>
      <c r="D125" s="33"/>
      <c r="E125" s="33"/>
      <c r="F125" s="33"/>
      <c r="G125" s="33"/>
      <c r="H125" s="33"/>
    </row>
    <row r="127" spans="2:8" ht="18" thickBot="1">
      <c r="B127" s="71"/>
      <c r="C127" s="87"/>
      <c r="D127" s="38"/>
      <c r="E127" s="38"/>
      <c r="F127" s="38"/>
      <c r="G127" s="38"/>
      <c r="H127" s="39" t="s">
        <v>13</v>
      </c>
    </row>
    <row r="128" spans="2:8" ht="30.75" customHeight="1" thickBot="1">
      <c r="B128" s="138" t="s">
        <v>44</v>
      </c>
      <c r="C128" s="151"/>
      <c r="D128" s="151"/>
      <c r="E128" s="151"/>
      <c r="F128" s="151"/>
      <c r="G128" s="163" t="s">
        <v>5</v>
      </c>
      <c r="H128" s="164"/>
    </row>
    <row r="129" spans="2:11" ht="18" customHeight="1">
      <c r="B129" s="140" t="s">
        <v>19</v>
      </c>
      <c r="C129" s="165"/>
      <c r="D129" s="165"/>
      <c r="E129" s="165"/>
      <c r="F129" s="165"/>
      <c r="G129" s="166">
        <v>748</v>
      </c>
      <c r="H129" s="167"/>
    </row>
    <row r="130" spans="2:11" ht="17.25" customHeight="1">
      <c r="B130" s="153" t="s">
        <v>39</v>
      </c>
      <c r="C130" s="168"/>
      <c r="D130" s="168"/>
      <c r="E130" s="168"/>
      <c r="F130" s="168"/>
      <c r="G130" s="166">
        <v>748</v>
      </c>
      <c r="H130" s="167"/>
    </row>
    <row r="131" spans="2:11" ht="18" customHeight="1" thickBot="1">
      <c r="B131" s="169" t="s">
        <v>40</v>
      </c>
      <c r="C131" s="170"/>
      <c r="D131" s="170"/>
      <c r="E131" s="170"/>
      <c r="F131" s="170"/>
      <c r="G131" s="180">
        <v>470</v>
      </c>
      <c r="H131" s="180"/>
    </row>
    <row r="134" spans="2:11" ht="17.25">
      <c r="B134" s="35"/>
      <c r="C134" s="35"/>
      <c r="D134" s="35"/>
      <c r="E134" s="35"/>
      <c r="F134" s="35"/>
      <c r="G134" s="35"/>
      <c r="H134" s="35"/>
    </row>
    <row r="135" spans="2:11" ht="17.25">
      <c r="B135" s="36" t="s">
        <v>25</v>
      </c>
      <c r="C135" s="35"/>
      <c r="D135" s="35"/>
      <c r="E135" s="36"/>
      <c r="F135" s="84">
        <f>C6</f>
        <v>41334</v>
      </c>
      <c r="G135" s="35"/>
      <c r="H135" s="35"/>
    </row>
    <row r="136" spans="2:11" ht="18" thickBot="1">
      <c r="B136" s="37"/>
      <c r="C136" s="37"/>
      <c r="D136" s="37"/>
      <c r="E136" s="37"/>
      <c r="F136" s="37"/>
      <c r="G136" s="37"/>
      <c r="H136" s="37"/>
    </row>
    <row r="138" spans="2:11" ht="18" thickBot="1">
      <c r="B138" s="40" t="s">
        <v>45</v>
      </c>
      <c r="C138" s="41"/>
      <c r="D138" s="41"/>
      <c r="E138" s="41"/>
      <c r="F138" s="41"/>
      <c r="G138" s="41"/>
      <c r="H138" s="42" t="s">
        <v>13</v>
      </c>
    </row>
    <row r="139" spans="2:11" ht="15.75" thickBot="1">
      <c r="B139" s="137" t="s">
        <v>20</v>
      </c>
      <c r="C139" s="137"/>
      <c r="D139" s="137"/>
      <c r="E139" s="137"/>
      <c r="F139" s="138"/>
      <c r="G139" s="156" t="s">
        <v>6</v>
      </c>
      <c r="H139" s="156"/>
      <c r="J139"/>
    </row>
    <row r="140" spans="2:11" ht="17.25" customHeight="1">
      <c r="B140" s="157" t="s">
        <v>21</v>
      </c>
      <c r="C140" s="157"/>
      <c r="D140" s="157"/>
      <c r="E140" s="157"/>
      <c r="F140" s="158"/>
      <c r="G140" s="159">
        <v>191194</v>
      </c>
      <c r="H140" s="160"/>
      <c r="J140" s="50"/>
      <c r="K140" s="53"/>
    </row>
    <row r="141" spans="2:11" ht="17.25">
      <c r="B141" s="152" t="s">
        <v>26</v>
      </c>
      <c r="C141" s="152"/>
      <c r="D141" s="152"/>
      <c r="E141" s="152"/>
      <c r="F141" s="153"/>
      <c r="G141" s="161">
        <v>175645</v>
      </c>
      <c r="H141" s="162"/>
      <c r="J141" s="50"/>
      <c r="K141" s="53"/>
    </row>
    <row r="142" spans="2:11" ht="17.25" customHeight="1">
      <c r="B142" s="152" t="s">
        <v>27</v>
      </c>
      <c r="C142" s="152"/>
      <c r="D142" s="152"/>
      <c r="E142" s="152"/>
      <c r="F142" s="153"/>
      <c r="G142" s="161">
        <v>119642</v>
      </c>
      <c r="H142" s="162"/>
      <c r="J142" s="50"/>
      <c r="K142" s="53"/>
    </row>
    <row r="143" spans="2:11" ht="17.25" customHeight="1">
      <c r="B143" s="152" t="s">
        <v>38</v>
      </c>
      <c r="C143" s="152"/>
      <c r="D143" s="152"/>
      <c r="E143" s="152"/>
      <c r="F143" s="153"/>
      <c r="G143" s="161">
        <v>106282</v>
      </c>
      <c r="H143" s="162"/>
      <c r="J143" s="50"/>
      <c r="K143" s="53"/>
    </row>
    <row r="144" spans="2:11" ht="17.25" customHeight="1">
      <c r="B144" s="152" t="s">
        <v>28</v>
      </c>
      <c r="C144" s="152"/>
      <c r="D144" s="152"/>
      <c r="E144" s="152"/>
      <c r="F144" s="153"/>
      <c r="G144" s="161">
        <v>60087</v>
      </c>
      <c r="H144" s="162"/>
      <c r="J144" s="50"/>
      <c r="K144" s="53"/>
    </row>
    <row r="145" spans="2:14" ht="13.5" customHeight="1">
      <c r="B145" s="152" t="s">
        <v>29</v>
      </c>
      <c r="C145" s="152"/>
      <c r="D145" s="152"/>
      <c r="E145" s="152"/>
      <c r="F145" s="153"/>
      <c r="G145" s="161">
        <v>42587</v>
      </c>
      <c r="H145" s="162"/>
      <c r="J145" s="54"/>
      <c r="K145" s="53"/>
    </row>
    <row r="146" spans="2:14" ht="17.25" customHeight="1">
      <c r="B146" s="152" t="s">
        <v>47</v>
      </c>
      <c r="C146" s="152"/>
      <c r="D146" s="152"/>
      <c r="E146" s="152"/>
      <c r="F146" s="153"/>
      <c r="G146" s="161">
        <v>35215</v>
      </c>
      <c r="H146" s="162"/>
      <c r="J146" s="50"/>
      <c r="K146" s="53"/>
    </row>
    <row r="147" spans="2:14" ht="17.25" customHeight="1">
      <c r="B147" s="152" t="s">
        <v>22</v>
      </c>
      <c r="C147" s="152"/>
      <c r="D147" s="152"/>
      <c r="E147" s="152"/>
      <c r="F147" s="153"/>
      <c r="G147" s="161">
        <v>28745</v>
      </c>
      <c r="H147" s="162"/>
      <c r="J147" s="50"/>
      <c r="K147" s="53"/>
    </row>
    <row r="148" spans="2:14" ht="17.25" customHeight="1">
      <c r="B148" s="152" t="s">
        <v>23</v>
      </c>
      <c r="C148" s="152"/>
      <c r="D148" s="152"/>
      <c r="E148" s="152"/>
      <c r="F148" s="153"/>
      <c r="G148" s="161">
        <v>19765</v>
      </c>
      <c r="H148" s="162"/>
      <c r="J148" s="50"/>
      <c r="K148" s="53"/>
      <c r="M148"/>
    </row>
    <row r="149" spans="2:14" ht="18" customHeight="1" thickBot="1">
      <c r="B149" s="171" t="s">
        <v>35</v>
      </c>
      <c r="C149" s="171"/>
      <c r="D149" s="171"/>
      <c r="E149" s="171"/>
      <c r="F149" s="108"/>
      <c r="G149" s="172">
        <v>19409</v>
      </c>
      <c r="H149" s="173"/>
      <c r="J149" s="50"/>
      <c r="K149" s="53"/>
      <c r="M149"/>
    </row>
    <row r="150" spans="2:14" ht="17.25">
      <c r="G150" s="44"/>
      <c r="H150" s="44"/>
      <c r="J150" s="55"/>
      <c r="K150" s="55"/>
    </row>
    <row r="151" spans="2:14" ht="17.25">
      <c r="B151" s="43"/>
      <c r="C151" s="43"/>
      <c r="D151" s="43"/>
      <c r="E151" s="43"/>
      <c r="F151" s="43"/>
      <c r="G151" s="44"/>
      <c r="H151" s="44"/>
      <c r="J151" s="55"/>
      <c r="K151" s="55"/>
    </row>
    <row r="152" spans="2:14" ht="18" thickBot="1">
      <c r="B152" s="40" t="s">
        <v>7</v>
      </c>
      <c r="C152" s="41"/>
      <c r="D152" s="41"/>
      <c r="E152" s="41"/>
      <c r="F152" s="41"/>
      <c r="G152" s="41"/>
      <c r="H152" s="42" t="s">
        <v>12</v>
      </c>
      <c r="J152" s="55"/>
      <c r="K152" s="55"/>
    </row>
    <row r="153" spans="2:14" ht="15.75" thickBot="1">
      <c r="B153" s="137" t="s">
        <v>20</v>
      </c>
      <c r="C153" s="137"/>
      <c r="D153" s="137"/>
      <c r="E153" s="137"/>
      <c r="F153" s="138"/>
      <c r="G153" s="156" t="s">
        <v>6</v>
      </c>
      <c r="H153" s="156"/>
      <c r="J153" s="55"/>
      <c r="K153" s="55"/>
      <c r="L153"/>
      <c r="M153"/>
      <c r="N153"/>
    </row>
    <row r="154" spans="2:14" ht="17.25" customHeight="1">
      <c r="B154" s="157" t="s">
        <v>27</v>
      </c>
      <c r="C154" s="157"/>
      <c r="D154" s="157"/>
      <c r="E154" s="157"/>
      <c r="F154" s="158"/>
      <c r="G154" s="159">
        <v>12469</v>
      </c>
      <c r="H154" s="160"/>
      <c r="I154" s="65"/>
      <c r="J154" s="56"/>
      <c r="K154" s="53"/>
      <c r="L154" s="52"/>
      <c r="M154"/>
      <c r="N154"/>
    </row>
    <row r="155" spans="2:14" ht="17.25" customHeight="1">
      <c r="B155" s="152" t="s">
        <v>26</v>
      </c>
      <c r="C155" s="152"/>
      <c r="D155" s="152"/>
      <c r="E155" s="152"/>
      <c r="F155" s="153"/>
      <c r="G155" s="161">
        <v>11145</v>
      </c>
      <c r="H155" s="162"/>
      <c r="I155" s="65"/>
      <c r="J155" s="56"/>
      <c r="K155" s="53"/>
      <c r="L155" s="52"/>
      <c r="M155"/>
      <c r="N155"/>
    </row>
    <row r="156" spans="2:14" ht="17.25" customHeight="1">
      <c r="B156" s="152" t="s">
        <v>38</v>
      </c>
      <c r="C156" s="152"/>
      <c r="D156" s="152"/>
      <c r="E156" s="152"/>
      <c r="F156" s="153"/>
      <c r="G156" s="161">
        <v>10523</v>
      </c>
      <c r="H156" s="162"/>
      <c r="I156" s="65"/>
      <c r="J156" s="56"/>
      <c r="K156" s="53"/>
      <c r="L156" s="52"/>
      <c r="M156"/>
      <c r="N156"/>
    </row>
    <row r="157" spans="2:14" ht="17.25">
      <c r="B157" s="152" t="s">
        <v>21</v>
      </c>
      <c r="C157" s="152"/>
      <c r="D157" s="152"/>
      <c r="E157" s="152"/>
      <c r="F157" s="153"/>
      <c r="G157" s="161">
        <v>7264</v>
      </c>
      <c r="H157" s="162"/>
      <c r="I157" s="65"/>
      <c r="J157" s="56"/>
      <c r="K157" s="53"/>
      <c r="L157" s="52"/>
      <c r="M157"/>
      <c r="N157"/>
    </row>
    <row r="158" spans="2:14" ht="17.25" customHeight="1">
      <c r="B158" s="152" t="s">
        <v>28</v>
      </c>
      <c r="C158" s="152"/>
      <c r="D158" s="152"/>
      <c r="E158" s="152"/>
      <c r="F158" s="153"/>
      <c r="G158" s="161">
        <v>4469</v>
      </c>
      <c r="H158" s="162"/>
      <c r="I158" s="65"/>
      <c r="J158" s="56"/>
      <c r="K158" s="53"/>
      <c r="L158" s="52"/>
      <c r="M158"/>
      <c r="N158"/>
    </row>
    <row r="159" spans="2:14" ht="17.25" customHeight="1">
      <c r="B159" s="152" t="s">
        <v>29</v>
      </c>
      <c r="C159" s="152"/>
      <c r="D159" s="152"/>
      <c r="E159" s="152"/>
      <c r="F159" s="153"/>
      <c r="G159" s="161">
        <v>4134</v>
      </c>
      <c r="H159" s="162"/>
      <c r="I159" s="65"/>
      <c r="J159" s="57"/>
      <c r="K159" s="53"/>
      <c r="L159" s="52"/>
      <c r="M159"/>
      <c r="N159"/>
    </row>
    <row r="160" spans="2:14" ht="17.25" customHeight="1">
      <c r="B160" s="152" t="s">
        <v>47</v>
      </c>
      <c r="C160" s="152"/>
      <c r="D160" s="152"/>
      <c r="E160" s="152"/>
      <c r="F160" s="153"/>
      <c r="G160" s="161">
        <v>3376</v>
      </c>
      <c r="H160" s="162"/>
      <c r="I160" s="65"/>
      <c r="J160" s="56"/>
      <c r="K160" s="53"/>
      <c r="L160" s="52"/>
      <c r="M160"/>
      <c r="N160"/>
    </row>
    <row r="161" spans="2:14" ht="17.25" customHeight="1">
      <c r="B161" s="152" t="s">
        <v>22</v>
      </c>
      <c r="C161" s="152"/>
      <c r="D161" s="152"/>
      <c r="E161" s="152"/>
      <c r="F161" s="153"/>
      <c r="G161" s="161">
        <v>2090</v>
      </c>
      <c r="H161" s="162"/>
      <c r="I161" s="65"/>
      <c r="J161" s="56"/>
      <c r="K161" s="53"/>
      <c r="L161" s="52"/>
      <c r="M161"/>
      <c r="N161"/>
    </row>
    <row r="162" spans="2:14" ht="17.25">
      <c r="B162" s="152" t="s">
        <v>37</v>
      </c>
      <c r="C162" s="152"/>
      <c r="D162" s="152"/>
      <c r="E162" s="152"/>
      <c r="F162" s="153"/>
      <c r="G162" s="161">
        <v>1631</v>
      </c>
      <c r="H162" s="162"/>
      <c r="I162" s="65"/>
      <c r="J162" s="56"/>
      <c r="K162" s="53"/>
      <c r="L162" s="52"/>
      <c r="M162"/>
      <c r="N162"/>
    </row>
    <row r="163" spans="2:14" ht="18" customHeight="1" thickBot="1">
      <c r="B163" s="171" t="s">
        <v>23</v>
      </c>
      <c r="C163" s="171"/>
      <c r="D163" s="171"/>
      <c r="E163" s="171"/>
      <c r="F163" s="169"/>
      <c r="G163" s="172">
        <v>1611</v>
      </c>
      <c r="H163" s="173"/>
      <c r="I163" s="65"/>
      <c r="J163" s="56"/>
      <c r="K163" s="53"/>
      <c r="L163" s="52"/>
      <c r="M163"/>
      <c r="N163"/>
    </row>
    <row r="164" spans="2:14" ht="17.25">
      <c r="B164" s="43"/>
      <c r="C164" s="43"/>
      <c r="D164" s="43"/>
      <c r="E164" s="43"/>
      <c r="F164" s="43"/>
      <c r="G164" s="44"/>
      <c r="H164" s="44"/>
      <c r="J164" s="55"/>
      <c r="K164" s="55"/>
      <c r="M164"/>
      <c r="N164"/>
    </row>
    <row r="165" spans="2:14" ht="17.25">
      <c r="G165" s="44"/>
      <c r="H165" s="44"/>
      <c r="J165" s="2"/>
      <c r="K165" s="2"/>
    </row>
    <row r="166" spans="2:14" ht="18" thickBot="1">
      <c r="B166" s="40" t="s">
        <v>8</v>
      </c>
      <c r="C166" s="41"/>
      <c r="D166" s="41"/>
      <c r="E166" s="41"/>
      <c r="F166" s="41"/>
      <c r="G166" s="41"/>
      <c r="H166" s="42" t="s">
        <v>14</v>
      </c>
      <c r="J166" s="2"/>
      <c r="K166" s="55"/>
      <c r="L166"/>
    </row>
    <row r="167" spans="2:14" ht="15" customHeight="1" thickBot="1">
      <c r="B167" s="137" t="s">
        <v>20</v>
      </c>
      <c r="C167" s="137"/>
      <c r="D167" s="137"/>
      <c r="E167" s="137"/>
      <c r="F167" s="138"/>
      <c r="G167" s="156" t="s">
        <v>9</v>
      </c>
      <c r="H167" s="156"/>
      <c r="J167" s="2"/>
      <c r="K167" s="2"/>
    </row>
    <row r="168" spans="2:14" ht="17.25" customHeight="1">
      <c r="B168" s="157" t="s">
        <v>47</v>
      </c>
      <c r="C168" s="157"/>
      <c r="D168" s="157"/>
      <c r="E168" s="157"/>
      <c r="F168" s="158"/>
      <c r="G168" s="159">
        <v>788707102819</v>
      </c>
      <c r="H168" s="160"/>
      <c r="I168" s="65"/>
      <c r="J168" s="58"/>
      <c r="K168" s="59"/>
    </row>
    <row r="169" spans="2:14" ht="17.25" customHeight="1">
      <c r="B169" s="152" t="s">
        <v>38</v>
      </c>
      <c r="C169" s="152"/>
      <c r="D169" s="152"/>
      <c r="E169" s="152"/>
      <c r="F169" s="153"/>
      <c r="G169" s="161">
        <v>528451198281</v>
      </c>
      <c r="H169" s="162"/>
      <c r="I169" s="65"/>
      <c r="J169" s="58"/>
      <c r="K169" s="59"/>
    </row>
    <row r="170" spans="2:14" ht="17.25" customHeight="1">
      <c r="B170" s="152" t="s">
        <v>31</v>
      </c>
      <c r="C170" s="152"/>
      <c r="D170" s="152"/>
      <c r="E170" s="152"/>
      <c r="F170" s="153"/>
      <c r="G170" s="161">
        <v>525740670689</v>
      </c>
      <c r="H170" s="162"/>
      <c r="I170" s="65"/>
      <c r="J170" s="58"/>
      <c r="K170" s="59"/>
    </row>
    <row r="171" spans="2:14" ht="17.25" customHeight="1">
      <c r="B171" s="152" t="s">
        <v>37</v>
      </c>
      <c r="C171" s="152"/>
      <c r="D171" s="152"/>
      <c r="E171" s="152"/>
      <c r="F171" s="153"/>
      <c r="G171" s="161">
        <v>442547330590.08899</v>
      </c>
      <c r="H171" s="162"/>
      <c r="I171" s="65"/>
      <c r="J171" s="58"/>
      <c r="K171" s="59"/>
    </row>
    <row r="172" spans="2:14" ht="17.25" customHeight="1">
      <c r="B172" s="152" t="s">
        <v>27</v>
      </c>
      <c r="C172" s="152"/>
      <c r="D172" s="152"/>
      <c r="E172" s="152"/>
      <c r="F172" s="153"/>
      <c r="G172" s="161">
        <v>352787466819</v>
      </c>
      <c r="H172" s="162"/>
      <c r="I172" s="65"/>
      <c r="J172" s="60"/>
      <c r="K172" s="53"/>
    </row>
    <row r="173" spans="2:14" ht="17.25" customHeight="1">
      <c r="B173" s="152" t="s">
        <v>32</v>
      </c>
      <c r="C173" s="152"/>
      <c r="D173" s="152"/>
      <c r="E173" s="152"/>
      <c r="F173" s="153"/>
      <c r="G173" s="161">
        <v>343477885610</v>
      </c>
      <c r="H173" s="162"/>
      <c r="I173" s="65"/>
      <c r="J173" s="58"/>
      <c r="K173" s="59"/>
    </row>
    <row r="174" spans="2:14" ht="17.25" customHeight="1">
      <c r="B174" s="152" t="s">
        <v>29</v>
      </c>
      <c r="C174" s="152"/>
      <c r="D174" s="152"/>
      <c r="E174" s="152"/>
      <c r="F174" s="153"/>
      <c r="G174" s="161">
        <v>277461478181</v>
      </c>
      <c r="H174" s="162"/>
      <c r="I174" s="65"/>
      <c r="J174" s="58"/>
      <c r="K174" s="59"/>
    </row>
    <row r="175" spans="2:14" ht="17.25" customHeight="1">
      <c r="B175" s="152" t="s">
        <v>34</v>
      </c>
      <c r="C175" s="152"/>
      <c r="D175" s="152"/>
      <c r="E175" s="152"/>
      <c r="F175" s="153"/>
      <c r="G175" s="161">
        <v>211169711707</v>
      </c>
      <c r="H175" s="162"/>
      <c r="I175" s="65"/>
      <c r="J175" s="58"/>
      <c r="K175" s="59"/>
    </row>
    <row r="176" spans="2:14" ht="17.25" customHeight="1">
      <c r="B176" s="152" t="s">
        <v>46</v>
      </c>
      <c r="C176" s="152"/>
      <c r="D176" s="152"/>
      <c r="E176" s="152"/>
      <c r="F176" s="153"/>
      <c r="G176" s="161">
        <v>207824560491</v>
      </c>
      <c r="H176" s="162"/>
      <c r="I176" s="65"/>
      <c r="J176" s="58"/>
      <c r="K176" s="59"/>
    </row>
    <row r="177" spans="2:11" ht="18" customHeight="1" thickBot="1">
      <c r="B177" s="171" t="s">
        <v>33</v>
      </c>
      <c r="C177" s="171"/>
      <c r="D177" s="171"/>
      <c r="E177" s="171"/>
      <c r="F177" s="169"/>
      <c r="G177" s="172">
        <v>195952366581</v>
      </c>
      <c r="H177" s="173"/>
      <c r="I177" s="65"/>
      <c r="J177" s="58"/>
      <c r="K177" s="59"/>
    </row>
    <row r="178" spans="2:11" ht="17.25">
      <c r="G178" s="44"/>
      <c r="H178" s="44"/>
      <c r="K178" s="51"/>
    </row>
    <row r="179" spans="2:11">
      <c r="B179" s="66"/>
      <c r="K179" s="51"/>
    </row>
  </sheetData>
  <dataConsolidate link="1"/>
  <mergeCells count="104">
    <mergeCell ref="G170:H170"/>
    <mergeCell ref="B162:F162"/>
    <mergeCell ref="G162:H162"/>
    <mergeCell ref="B163:F163"/>
    <mergeCell ref="G163:H163"/>
    <mergeCell ref="B167:F167"/>
    <mergeCell ref="G167:H167"/>
    <mergeCell ref="B177:F177"/>
    <mergeCell ref="B174:F174"/>
    <mergeCell ref="B175:F175"/>
    <mergeCell ref="B176:F176"/>
    <mergeCell ref="B171:F171"/>
    <mergeCell ref="B172:F172"/>
    <mergeCell ref="B173:F173"/>
    <mergeCell ref="B144:F144"/>
    <mergeCell ref="B145:F145"/>
    <mergeCell ref="B146:F146"/>
    <mergeCell ref="B141:F141"/>
    <mergeCell ref="B142:F142"/>
    <mergeCell ref="B143:F143"/>
    <mergeCell ref="B153:F153"/>
    <mergeCell ref="G153:H153"/>
    <mergeCell ref="B159:F159"/>
    <mergeCell ref="B156:F156"/>
    <mergeCell ref="B157:F157"/>
    <mergeCell ref="B158:F158"/>
    <mergeCell ref="B131:F131"/>
    <mergeCell ref="G131:H131"/>
    <mergeCell ref="B139:F139"/>
    <mergeCell ref="G139:H139"/>
    <mergeCell ref="B128:F128"/>
    <mergeCell ref="G128:H128"/>
    <mergeCell ref="B129:F129"/>
    <mergeCell ref="G129:H129"/>
    <mergeCell ref="B130:F130"/>
    <mergeCell ref="G130:H130"/>
    <mergeCell ref="B50:D50"/>
    <mergeCell ref="B51:D51"/>
    <mergeCell ref="B52:D52"/>
    <mergeCell ref="B53:D53"/>
    <mergeCell ref="B54:D54"/>
    <mergeCell ref="B34:D34"/>
    <mergeCell ref="B35:D35"/>
    <mergeCell ref="B36:D36"/>
    <mergeCell ref="B37:D37"/>
    <mergeCell ref="B38:D38"/>
    <mergeCell ref="B39:D39"/>
    <mergeCell ref="B28:D28"/>
    <mergeCell ref="B33:D33"/>
    <mergeCell ref="B14:D14"/>
    <mergeCell ref="B15:D15"/>
    <mergeCell ref="B16:D16"/>
    <mergeCell ref="B17:D17"/>
    <mergeCell ref="B22:D22"/>
    <mergeCell ref="B23:D23"/>
    <mergeCell ref="B49:D49"/>
    <mergeCell ref="B2:H2"/>
    <mergeCell ref="B3:H3"/>
    <mergeCell ref="I3:O3"/>
    <mergeCell ref="B11:D11"/>
    <mergeCell ref="B12:D12"/>
    <mergeCell ref="B13:D13"/>
    <mergeCell ref="G149:H149"/>
    <mergeCell ref="G148:H148"/>
    <mergeCell ref="G147:H147"/>
    <mergeCell ref="G140:H140"/>
    <mergeCell ref="B140:F140"/>
    <mergeCell ref="B147:F147"/>
    <mergeCell ref="B148:F148"/>
    <mergeCell ref="B149:E149"/>
    <mergeCell ref="G141:H141"/>
    <mergeCell ref="G142:H142"/>
    <mergeCell ref="G143:H143"/>
    <mergeCell ref="G144:H144"/>
    <mergeCell ref="G145:H145"/>
    <mergeCell ref="G146:H146"/>
    <mergeCell ref="B24:D24"/>
    <mergeCell ref="B25:D25"/>
    <mergeCell ref="B26:D26"/>
    <mergeCell ref="B27:D27"/>
    <mergeCell ref="G161:H161"/>
    <mergeCell ref="G171:H171"/>
    <mergeCell ref="G172:H172"/>
    <mergeCell ref="G173:H173"/>
    <mergeCell ref="G174:H174"/>
    <mergeCell ref="G175:H175"/>
    <mergeCell ref="G176:H176"/>
    <mergeCell ref="G177:H177"/>
    <mergeCell ref="B154:F154"/>
    <mergeCell ref="B155:F155"/>
    <mergeCell ref="G154:H154"/>
    <mergeCell ref="G155:H155"/>
    <mergeCell ref="G156:H156"/>
    <mergeCell ref="G157:H157"/>
    <mergeCell ref="G158:H158"/>
    <mergeCell ref="G159:H159"/>
    <mergeCell ref="G160:H160"/>
    <mergeCell ref="B160:F160"/>
    <mergeCell ref="B161:F161"/>
    <mergeCell ref="B168:F168"/>
    <mergeCell ref="G168:H168"/>
    <mergeCell ref="B169:F169"/>
    <mergeCell ref="G169:H169"/>
    <mergeCell ref="B170:F170"/>
  </mergeCells>
  <pageMargins left="0.70866141732283472" right="0.70866141732283472" top="0.15748031496062992" bottom="0.15748031496062992" header="0.31496062992125984" footer="0.11811023622047245"/>
  <pageSetup paperSize="9" scale="48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50" max="16383" man="1"/>
    <brk id="191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16737">
          <objectPr defaultSize="0" autoPict="0" dde="1">
            <anchor moveWithCells="1">
              <from>
                <xdr:col>0</xdr:col>
                <xdr:colOff>114300</xdr:colOff>
                <xdr:row>63</xdr:row>
                <xdr:rowOff>76200</xdr:rowOff>
              </from>
              <to>
                <xdr:col>1</xdr:col>
                <xdr:colOff>209550</xdr:colOff>
                <xdr:row>64</xdr:row>
                <xdr:rowOff>114300</xdr:rowOff>
              </to>
            </anchor>
          </objectPr>
        </oleObject>
      </mc:Choice>
      <mc:Fallback>
        <oleObject link="[1]!'!Январь2012!R1C2:R10C9'" oleUpdate="OLEUPDATE_ALWAYS" shapeId="116737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76">
    <pageSetUpPr fitToPage="1"/>
  </sheetPr>
  <dimension ref="B2:N179"/>
  <sheetViews>
    <sheetView topLeftCell="A76" workbookViewId="0">
      <selection activeCell="H40" sqref="H40"/>
    </sheetView>
  </sheetViews>
  <sheetFormatPr defaultRowHeight="13.5"/>
  <cols>
    <col min="1" max="1" width="3.42578125" style="88" customWidth="1"/>
    <col min="2" max="2" width="46.7109375" style="88" customWidth="1"/>
    <col min="3" max="6" width="18.42578125" style="88" customWidth="1"/>
    <col min="7" max="7" width="22.7109375" style="88" customWidth="1"/>
    <col min="8" max="8" width="18.42578125" style="88" customWidth="1"/>
    <col min="9" max="9" width="9.140625" style="88"/>
    <col min="10" max="10" width="29.28515625" style="88" customWidth="1"/>
    <col min="11" max="11" width="14.85546875" style="88" bestFit="1" customWidth="1"/>
    <col min="12" max="12" width="9.140625" style="88"/>
    <col min="13" max="13" width="23.42578125" style="88" customWidth="1"/>
    <col min="14" max="16384" width="9.140625" style="88"/>
  </cols>
  <sheetData>
    <row r="2" spans="2:14" s="1" customFormat="1" ht="20.25">
      <c r="B2" s="123" t="s">
        <v>15</v>
      </c>
      <c r="C2" s="123"/>
      <c r="D2" s="123"/>
      <c r="E2" s="123"/>
      <c r="F2" s="123"/>
      <c r="G2" s="123"/>
      <c r="H2" s="123"/>
    </row>
    <row r="3" spans="2:14" s="1" customFormat="1" ht="21" thickBot="1">
      <c r="B3" s="124">
        <v>41365</v>
      </c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</row>
    <row r="4" spans="2:14" s="1" customFormat="1" ht="18" thickTop="1"/>
    <row r="5" spans="2:14" s="1" customFormat="1" ht="17.25">
      <c r="B5" s="19"/>
      <c r="C5" s="19"/>
      <c r="D5" s="19"/>
      <c r="E5" s="19"/>
      <c r="F5" s="19"/>
      <c r="G5" s="19"/>
      <c r="H5" s="19"/>
    </row>
    <row r="6" spans="2:14" s="1" customFormat="1" ht="17.25">
      <c r="B6" s="20" t="s">
        <v>24</v>
      </c>
      <c r="C6" s="77">
        <f>B3</f>
        <v>41365</v>
      </c>
      <c r="D6" s="19"/>
      <c r="E6" s="19"/>
      <c r="F6" s="19"/>
      <c r="G6" s="19"/>
      <c r="H6" s="19"/>
    </row>
    <row r="7" spans="2:14" s="1" customFormat="1" ht="18" thickBot="1">
      <c r="B7" s="23"/>
      <c r="C7" s="23"/>
      <c r="D7" s="23"/>
      <c r="E7" s="23"/>
      <c r="F7" s="23"/>
      <c r="G7" s="23"/>
      <c r="H7" s="23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5" t="s">
        <v>70</v>
      </c>
      <c r="C10" s="16"/>
      <c r="D10" s="16"/>
      <c r="E10" s="16"/>
      <c r="F10" s="16"/>
      <c r="G10" s="16"/>
      <c r="H10" s="17" t="s">
        <v>13</v>
      </c>
    </row>
    <row r="11" spans="2:14" s="49" customFormat="1" ht="15.75" thickBot="1">
      <c r="B11" s="125" t="s">
        <v>18</v>
      </c>
      <c r="C11" s="125"/>
      <c r="D11" s="126"/>
      <c r="E11" s="85">
        <v>41364</v>
      </c>
      <c r="F11" s="85">
        <f>EDATE(E11,1)</f>
        <v>41394</v>
      </c>
      <c r="G11" s="48" t="s">
        <v>10</v>
      </c>
      <c r="H11" s="48" t="s">
        <v>11</v>
      </c>
      <c r="J11" s="90"/>
    </row>
    <row r="12" spans="2:14" s="89" customFormat="1" ht="17.25">
      <c r="B12" s="127" t="s">
        <v>0</v>
      </c>
      <c r="C12" s="127"/>
      <c r="D12" s="128"/>
      <c r="E12" s="103">
        <v>1034525</v>
      </c>
      <c r="F12" s="103">
        <v>1037702</v>
      </c>
      <c r="G12" s="13">
        <f>F12-E12</f>
        <v>3177</v>
      </c>
      <c r="H12" s="68">
        <f>F12/E12-1</f>
        <v>3.0709746018704465E-3</v>
      </c>
      <c r="J12" s="90"/>
    </row>
    <row r="13" spans="2:14" s="89" customFormat="1" ht="17.25">
      <c r="B13" s="129" t="s">
        <v>1</v>
      </c>
      <c r="C13" s="129"/>
      <c r="D13" s="130"/>
      <c r="E13" s="103">
        <v>34949</v>
      </c>
      <c r="F13" s="103">
        <v>34957</v>
      </c>
      <c r="G13" s="13">
        <f t="shared" ref="G13:G18" si="0">F13-E13</f>
        <v>8</v>
      </c>
      <c r="H13" s="68">
        <f t="shared" ref="H13:H18" si="1">F13/E13-1</f>
        <v>2.2890497582195302E-4</v>
      </c>
      <c r="J13" s="90"/>
    </row>
    <row r="14" spans="2:14" s="89" customFormat="1" ht="17.25">
      <c r="B14" s="129" t="s">
        <v>2</v>
      </c>
      <c r="C14" s="129"/>
      <c r="D14" s="130"/>
      <c r="E14" s="103">
        <v>12564</v>
      </c>
      <c r="F14" s="103">
        <v>12590</v>
      </c>
      <c r="G14" s="13">
        <f t="shared" si="0"/>
        <v>26</v>
      </c>
      <c r="H14" s="68">
        <f t="shared" si="1"/>
        <v>2.0694046482012673E-3</v>
      </c>
      <c r="I14" s="90"/>
    </row>
    <row r="15" spans="2:14" s="89" customFormat="1" ht="17.25">
      <c r="B15" s="131" t="s">
        <v>41</v>
      </c>
      <c r="C15" s="131"/>
      <c r="D15" s="132"/>
      <c r="E15" s="103">
        <v>2300</v>
      </c>
      <c r="F15" s="103">
        <v>2336</v>
      </c>
      <c r="G15" s="13">
        <f t="shared" si="0"/>
        <v>36</v>
      </c>
      <c r="H15" s="68">
        <f t="shared" si="1"/>
        <v>1.5652173913043521E-2</v>
      </c>
      <c r="I15" s="90"/>
    </row>
    <row r="16" spans="2:14" s="89" customFormat="1" ht="17.25">
      <c r="B16" s="133" t="s">
        <v>42</v>
      </c>
      <c r="C16" s="133"/>
      <c r="D16" s="134"/>
      <c r="E16" s="103">
        <v>10264</v>
      </c>
      <c r="F16" s="103">
        <v>10254</v>
      </c>
      <c r="G16" s="13">
        <f t="shared" si="0"/>
        <v>-10</v>
      </c>
      <c r="H16" s="68">
        <f t="shared" si="1"/>
        <v>-9.7427903351521294E-4</v>
      </c>
      <c r="I16" s="90"/>
    </row>
    <row r="17" spans="2:10" s="89" customFormat="1" ht="18" customHeight="1" thickBot="1">
      <c r="B17" s="135" t="s">
        <v>3</v>
      </c>
      <c r="C17" s="135"/>
      <c r="D17" s="136"/>
      <c r="E17" s="103">
        <v>10644</v>
      </c>
      <c r="F17" s="103">
        <v>11746</v>
      </c>
      <c r="G17" s="13">
        <f t="shared" si="0"/>
        <v>1102</v>
      </c>
      <c r="H17" s="68">
        <f t="shared" si="1"/>
        <v>0.10353250657647495</v>
      </c>
      <c r="J17" s="90"/>
    </row>
    <row r="18" spans="2:10" s="79" customFormat="1" ht="18" thickBot="1">
      <c r="B18" s="69" t="s">
        <v>4</v>
      </c>
      <c r="C18" s="69"/>
      <c r="D18" s="70"/>
      <c r="E18" s="82">
        <v>1092682</v>
      </c>
      <c r="F18" s="82">
        <v>1096995</v>
      </c>
      <c r="G18" s="82">
        <f t="shared" si="0"/>
        <v>4313</v>
      </c>
      <c r="H18" s="78">
        <f t="shared" si="1"/>
        <v>3.9471685266161405E-3</v>
      </c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5" t="s">
        <v>71</v>
      </c>
      <c r="C21" s="16"/>
      <c r="D21" s="16"/>
      <c r="E21" s="16"/>
      <c r="F21" s="16"/>
      <c r="G21" s="16"/>
      <c r="H21" s="17" t="s">
        <v>12</v>
      </c>
    </row>
    <row r="22" spans="2:10" s="89" customFormat="1" ht="15.75" thickBot="1">
      <c r="B22" s="125" t="s">
        <v>18</v>
      </c>
      <c r="C22" s="125"/>
      <c r="D22" s="126"/>
      <c r="E22" s="85">
        <f>E11</f>
        <v>41364</v>
      </c>
      <c r="F22" s="85">
        <f>F11</f>
        <v>41394</v>
      </c>
      <c r="G22" s="48" t="s">
        <v>10</v>
      </c>
      <c r="H22" s="48" t="s">
        <v>11</v>
      </c>
      <c r="J22" s="90"/>
    </row>
    <row r="23" spans="2:10" s="89" customFormat="1" ht="17.25">
      <c r="B23" s="127" t="s">
        <v>0</v>
      </c>
      <c r="C23" s="127"/>
      <c r="D23" s="128"/>
      <c r="E23" s="103">
        <v>871195</v>
      </c>
      <c r="F23" s="103">
        <v>875529</v>
      </c>
      <c r="G23" s="13">
        <f>F23-E23</f>
        <v>4334</v>
      </c>
      <c r="H23" s="68">
        <f>F23/E23-1</f>
        <v>4.9747760260332452E-3</v>
      </c>
      <c r="I23" s="90"/>
    </row>
    <row r="24" spans="2:10" s="89" customFormat="1" ht="17.25">
      <c r="B24" s="129" t="s">
        <v>1</v>
      </c>
      <c r="C24" s="129"/>
      <c r="D24" s="130"/>
      <c r="E24" s="103">
        <v>18896</v>
      </c>
      <c r="F24" s="103">
        <v>18984</v>
      </c>
      <c r="G24" s="13">
        <f t="shared" ref="G24:G29" si="2">F24-E24</f>
        <v>88</v>
      </c>
      <c r="H24" s="68">
        <f t="shared" ref="H24:H29" si="3">F24/E24-1</f>
        <v>4.6570702794241914E-3</v>
      </c>
      <c r="I24" s="90"/>
    </row>
    <row r="25" spans="2:10" s="89" customFormat="1" ht="17.25">
      <c r="B25" s="129" t="s">
        <v>2</v>
      </c>
      <c r="C25" s="129"/>
      <c r="D25" s="130"/>
      <c r="E25" s="103">
        <v>6333</v>
      </c>
      <c r="F25" s="103">
        <v>6397</v>
      </c>
      <c r="G25" s="13">
        <f t="shared" si="2"/>
        <v>64</v>
      </c>
      <c r="H25" s="68">
        <f t="shared" si="3"/>
        <v>1.010579504184439E-2</v>
      </c>
      <c r="I25" s="90"/>
    </row>
    <row r="26" spans="2:10" s="89" customFormat="1" ht="17.25">
      <c r="B26" s="131" t="s">
        <v>41</v>
      </c>
      <c r="C26" s="131"/>
      <c r="D26" s="132"/>
      <c r="E26" s="103">
        <v>2255</v>
      </c>
      <c r="F26" s="103">
        <v>2292</v>
      </c>
      <c r="G26" s="13">
        <f t="shared" si="2"/>
        <v>37</v>
      </c>
      <c r="H26" s="68">
        <f t="shared" si="3"/>
        <v>1.6407982261640752E-2</v>
      </c>
      <c r="I26" s="90"/>
    </row>
    <row r="27" spans="2:10" s="89" customFormat="1" ht="17.25">
      <c r="B27" s="133" t="s">
        <v>42</v>
      </c>
      <c r="C27" s="133"/>
      <c r="D27" s="134"/>
      <c r="E27" s="103">
        <v>4078</v>
      </c>
      <c r="F27" s="103">
        <v>4105</v>
      </c>
      <c r="G27" s="13">
        <f t="shared" si="2"/>
        <v>27</v>
      </c>
      <c r="H27" s="68">
        <f t="shared" si="3"/>
        <v>6.6208925944091224E-3</v>
      </c>
      <c r="I27" s="90"/>
    </row>
    <row r="28" spans="2:10" s="89" customFormat="1" ht="18" thickBot="1">
      <c r="B28" s="135" t="s">
        <v>3</v>
      </c>
      <c r="C28" s="135"/>
      <c r="D28" s="136"/>
      <c r="E28" s="103">
        <v>5433</v>
      </c>
      <c r="F28" s="103">
        <v>5262</v>
      </c>
      <c r="G28" s="13">
        <f t="shared" si="2"/>
        <v>-171</v>
      </c>
      <c r="H28" s="68">
        <f t="shared" si="3"/>
        <v>-3.1474323578133623E-2</v>
      </c>
      <c r="I28" s="90"/>
    </row>
    <row r="29" spans="2:10" s="79" customFormat="1" ht="18" thickBot="1">
      <c r="B29" s="69" t="s">
        <v>4</v>
      </c>
      <c r="C29" s="69"/>
      <c r="D29" s="70"/>
      <c r="E29" s="82">
        <v>901857</v>
      </c>
      <c r="F29" s="82">
        <v>906172</v>
      </c>
      <c r="G29" s="82">
        <f t="shared" si="2"/>
        <v>4315</v>
      </c>
      <c r="H29" s="78">
        <f t="shared" si="3"/>
        <v>4.7845722769797039E-3</v>
      </c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5" t="s">
        <v>16</v>
      </c>
      <c r="C32" s="16"/>
      <c r="D32" s="16"/>
      <c r="E32" s="16"/>
      <c r="F32" s="16"/>
      <c r="G32" s="16"/>
      <c r="H32" s="17" t="s">
        <v>14</v>
      </c>
    </row>
    <row r="33" spans="2:8" ht="15.75" thickBot="1">
      <c r="B33" s="137" t="s">
        <v>18</v>
      </c>
      <c r="C33" s="137"/>
      <c r="D33" s="138"/>
      <c r="E33" s="83">
        <f>EDATE(C6,-1)</f>
        <v>41334</v>
      </c>
      <c r="F33" s="83">
        <f>EDATE(E33,1)</f>
        <v>41365</v>
      </c>
      <c r="G33" s="18" t="s">
        <v>10</v>
      </c>
      <c r="H33" s="18" t="s">
        <v>11</v>
      </c>
    </row>
    <row r="34" spans="2:8" ht="17.25">
      <c r="B34" s="139" t="s">
        <v>0</v>
      </c>
      <c r="C34" s="139"/>
      <c r="D34" s="140"/>
      <c r="E34" s="97">
        <v>68190</v>
      </c>
      <c r="F34" s="97">
        <v>67871</v>
      </c>
      <c r="G34" s="13">
        <f>F34-E34</f>
        <v>-319</v>
      </c>
      <c r="H34" s="68">
        <f>F34/E34-1</f>
        <v>-4.6781052940313428E-3</v>
      </c>
    </row>
    <row r="35" spans="2:8" ht="17.25">
      <c r="B35" s="152" t="s">
        <v>1</v>
      </c>
      <c r="C35" s="152"/>
      <c r="D35" s="153"/>
      <c r="E35" s="97">
        <v>1476</v>
      </c>
      <c r="F35" s="97">
        <v>1508</v>
      </c>
      <c r="G35" s="13">
        <f t="shared" ref="G35:G40" si="4">F35-E35</f>
        <v>32</v>
      </c>
      <c r="H35" s="68">
        <f t="shared" ref="H35:H40" si="5">F35/E35-1</f>
        <v>2.1680216802167918E-2</v>
      </c>
    </row>
    <row r="36" spans="2:8" ht="17.25">
      <c r="B36" s="152" t="s">
        <v>2</v>
      </c>
      <c r="C36" s="152"/>
      <c r="D36" s="153"/>
      <c r="E36" s="97">
        <v>622</v>
      </c>
      <c r="F36" s="97">
        <v>685</v>
      </c>
      <c r="G36" s="13">
        <f t="shared" si="4"/>
        <v>63</v>
      </c>
      <c r="H36" s="68">
        <f t="shared" si="5"/>
        <v>0.1012861736334405</v>
      </c>
    </row>
    <row r="37" spans="2:8" ht="17.25">
      <c r="B37" s="131" t="s">
        <v>41</v>
      </c>
      <c r="C37" s="131"/>
      <c r="D37" s="132"/>
      <c r="E37" s="97">
        <v>167</v>
      </c>
      <c r="F37" s="97">
        <v>198</v>
      </c>
      <c r="G37" s="13">
        <f t="shared" si="4"/>
        <v>31</v>
      </c>
      <c r="H37" s="68">
        <f t="shared" si="5"/>
        <v>0.18562874251497008</v>
      </c>
    </row>
    <row r="38" spans="2:8" ht="17.25">
      <c r="B38" s="133" t="s">
        <v>42</v>
      </c>
      <c r="C38" s="133"/>
      <c r="D38" s="134"/>
      <c r="E38" s="97">
        <v>455</v>
      </c>
      <c r="F38" s="97">
        <v>487</v>
      </c>
      <c r="G38" s="13">
        <f t="shared" si="4"/>
        <v>32</v>
      </c>
      <c r="H38" s="68">
        <f t="shared" si="5"/>
        <v>7.0329670329670302E-2</v>
      </c>
    </row>
    <row r="39" spans="2:8" ht="18" thickBot="1">
      <c r="B39" s="154" t="s">
        <v>3</v>
      </c>
      <c r="C39" s="154"/>
      <c r="D39" s="155"/>
      <c r="E39" s="97">
        <v>918</v>
      </c>
      <c r="F39" s="97">
        <v>903</v>
      </c>
      <c r="G39" s="13">
        <f t="shared" si="4"/>
        <v>-15</v>
      </c>
      <c r="H39" s="68">
        <f t="shared" si="5"/>
        <v>-1.6339869281045805E-2</v>
      </c>
    </row>
    <row r="40" spans="2:8" s="79" customFormat="1" ht="18" thickBot="1">
      <c r="B40" s="69" t="s">
        <v>4</v>
      </c>
      <c r="C40" s="69"/>
      <c r="D40" s="70"/>
      <c r="E40" s="82">
        <v>71206</v>
      </c>
      <c r="F40" s="82">
        <v>70967</v>
      </c>
      <c r="G40" s="82">
        <f t="shared" si="4"/>
        <v>-239</v>
      </c>
      <c r="H40" s="78">
        <f t="shared" si="5"/>
        <v>-3.3564587253882561E-3</v>
      </c>
    </row>
    <row r="41" spans="2:8" ht="15">
      <c r="B41" s="6"/>
      <c r="C41" s="6"/>
      <c r="D41" s="6"/>
      <c r="E41" s="45"/>
      <c r="F41" s="45"/>
      <c r="G41" s="46"/>
      <c r="H41" s="47"/>
    </row>
    <row r="42" spans="2:8" ht="15">
      <c r="B42" s="10"/>
      <c r="C42" s="2"/>
      <c r="D42" s="2"/>
      <c r="E42" s="2"/>
      <c r="F42" s="2"/>
      <c r="G42" s="2"/>
    </row>
    <row r="43" spans="2:8" ht="17.25">
      <c r="B43" s="21"/>
      <c r="C43" s="21"/>
      <c r="D43" s="21"/>
      <c r="E43" s="21"/>
      <c r="F43" s="21"/>
      <c r="G43" s="21"/>
      <c r="H43" s="21"/>
    </row>
    <row r="44" spans="2:8" ht="17.25">
      <c r="B44" s="22" t="s">
        <v>17</v>
      </c>
      <c r="C44" s="21"/>
      <c r="D44" s="21"/>
      <c r="E44" s="21"/>
      <c r="F44" s="21"/>
      <c r="G44" s="21"/>
      <c r="H44" s="21"/>
    </row>
    <row r="45" spans="2:8" ht="18" thickBot="1">
      <c r="B45" s="24"/>
      <c r="C45" s="24"/>
      <c r="D45" s="24"/>
      <c r="E45" s="24"/>
      <c r="F45" s="24"/>
      <c r="G45" s="24"/>
      <c r="H45" s="24"/>
    </row>
    <row r="47" spans="2:8">
      <c r="F47" s="5"/>
    </row>
    <row r="48" spans="2:8" ht="18" thickBot="1">
      <c r="B48" s="14" t="s">
        <v>72</v>
      </c>
      <c r="C48" s="25"/>
      <c r="D48" s="25"/>
      <c r="E48" s="25"/>
      <c r="F48" s="25"/>
      <c r="G48" s="25"/>
      <c r="H48" s="26" t="s">
        <v>13</v>
      </c>
    </row>
    <row r="49" spans="2:8" ht="15.75" thickBot="1">
      <c r="B49" s="137" t="s">
        <v>18</v>
      </c>
      <c r="C49" s="137"/>
      <c r="D49" s="138"/>
      <c r="E49" s="85">
        <v>40178</v>
      </c>
      <c r="F49" s="85">
        <v>40543</v>
      </c>
      <c r="G49" s="85">
        <v>40908</v>
      </c>
      <c r="H49" s="85">
        <v>41274</v>
      </c>
    </row>
    <row r="50" spans="2:8" ht="17.25">
      <c r="B50" s="141" t="s">
        <v>0</v>
      </c>
      <c r="C50" s="141"/>
      <c r="D50" s="142"/>
      <c r="E50" s="99">
        <v>671475</v>
      </c>
      <c r="F50" s="99">
        <v>714295</v>
      </c>
      <c r="G50" s="99">
        <v>772175</v>
      </c>
      <c r="H50" s="99">
        <v>805549</v>
      </c>
    </row>
    <row r="51" spans="2:8" ht="17.25">
      <c r="B51" s="143" t="s">
        <v>1</v>
      </c>
      <c r="C51" s="143"/>
      <c r="D51" s="144"/>
      <c r="E51" s="100">
        <v>16364</v>
      </c>
      <c r="F51" s="100">
        <v>17170</v>
      </c>
      <c r="G51" s="100">
        <v>16850</v>
      </c>
      <c r="H51" s="100">
        <v>17821</v>
      </c>
    </row>
    <row r="52" spans="2:8" ht="17.25">
      <c r="B52" s="145" t="s">
        <v>2</v>
      </c>
      <c r="C52" s="145"/>
      <c r="D52" s="146"/>
      <c r="E52" s="102">
        <v>3851</v>
      </c>
      <c r="F52" s="102">
        <v>4295</v>
      </c>
      <c r="G52" s="102">
        <v>5058</v>
      </c>
      <c r="H52" s="102">
        <v>5876</v>
      </c>
    </row>
    <row r="53" spans="2:8" ht="18" thickBot="1">
      <c r="B53" s="147" t="s">
        <v>3</v>
      </c>
      <c r="C53" s="147"/>
      <c r="D53" s="148"/>
      <c r="E53" s="98">
        <v>4717</v>
      </c>
      <c r="F53" s="98">
        <v>5348</v>
      </c>
      <c r="G53" s="98">
        <v>5242</v>
      </c>
      <c r="H53" s="98">
        <v>5261</v>
      </c>
    </row>
    <row r="54" spans="2:8" s="81" customFormat="1" ht="18" thickBot="1">
      <c r="B54" s="149" t="s">
        <v>4</v>
      </c>
      <c r="C54" s="149"/>
      <c r="D54" s="150"/>
      <c r="E54" s="101">
        <v>696407</v>
      </c>
      <c r="F54" s="101">
        <v>741108</v>
      </c>
      <c r="G54" s="101">
        <v>799325</v>
      </c>
      <c r="H54" s="101">
        <v>834507</v>
      </c>
    </row>
    <row r="55" spans="2:8" ht="15">
      <c r="B55" s="6"/>
      <c r="C55" s="7"/>
      <c r="D55" s="8"/>
      <c r="E55" s="8"/>
      <c r="F55" s="8"/>
      <c r="G55" s="8"/>
      <c r="H55" s="8"/>
    </row>
    <row r="56" spans="2:8" ht="15">
      <c r="B56" s="6"/>
      <c r="C56" s="7"/>
      <c r="D56" s="8"/>
      <c r="E56" s="8"/>
      <c r="F56" s="8"/>
      <c r="G56" s="8"/>
      <c r="H56" s="8"/>
    </row>
    <row r="57" spans="2:8" ht="15">
      <c r="B57" s="6"/>
      <c r="C57" s="7"/>
      <c r="D57" s="8"/>
      <c r="E57" s="8"/>
      <c r="F57" s="8"/>
      <c r="G57" s="8"/>
      <c r="H57" s="8"/>
    </row>
    <row r="58" spans="2:8" ht="15">
      <c r="B58" s="6"/>
      <c r="C58" s="7"/>
      <c r="D58" s="8"/>
      <c r="E58" s="8"/>
      <c r="F58" s="8"/>
      <c r="G58" s="8"/>
      <c r="H58" s="8"/>
    </row>
    <row r="59" spans="2:8" ht="15">
      <c r="B59" s="6"/>
      <c r="C59" s="7"/>
      <c r="D59" s="8"/>
      <c r="E59" s="8"/>
      <c r="F59" s="8"/>
      <c r="G59" s="8"/>
      <c r="H59" s="8"/>
    </row>
    <row r="60" spans="2:8" ht="15">
      <c r="B60" s="6"/>
      <c r="C60" s="7"/>
      <c r="D60" s="8"/>
      <c r="E60" s="8"/>
      <c r="F60" s="8"/>
      <c r="G60" s="8"/>
      <c r="H60" s="8"/>
    </row>
    <row r="61" spans="2:8" ht="15">
      <c r="B61" s="6"/>
      <c r="C61" s="7"/>
      <c r="D61" s="8"/>
      <c r="E61" s="8"/>
      <c r="F61" s="8"/>
      <c r="G61" s="8"/>
      <c r="H61" s="8"/>
    </row>
    <row r="62" spans="2:8" ht="15">
      <c r="B62" s="6"/>
      <c r="C62" s="7"/>
      <c r="D62" s="8"/>
      <c r="E62" s="8"/>
      <c r="F62" s="8"/>
      <c r="G62" s="8"/>
      <c r="H62" s="8"/>
    </row>
    <row r="63" spans="2:8" ht="15">
      <c r="B63" s="6"/>
      <c r="C63" s="7"/>
      <c r="D63" s="8"/>
      <c r="E63" s="8"/>
      <c r="F63" s="8"/>
      <c r="G63" s="8"/>
      <c r="H63" s="8"/>
    </row>
    <row r="64" spans="2:8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4" t="s">
        <v>73</v>
      </c>
      <c r="C82" s="25"/>
      <c r="D82" s="25"/>
      <c r="E82" s="25"/>
      <c r="F82" s="25"/>
      <c r="G82" s="25"/>
      <c r="H82" s="26" t="s">
        <v>12</v>
      </c>
      <c r="I82"/>
      <c r="J82"/>
      <c r="K82"/>
    </row>
    <row r="83" spans="2:11" ht="15.75" thickBot="1">
      <c r="B83" s="34" t="s">
        <v>18</v>
      </c>
      <c r="C83" s="85">
        <f>EDATE(D83,-1)</f>
        <v>41241</v>
      </c>
      <c r="D83" s="85">
        <f>EDATE(E83,-1)</f>
        <v>41271</v>
      </c>
      <c r="E83" s="85">
        <f>EDATE(F83,-1)</f>
        <v>41302</v>
      </c>
      <c r="F83" s="85">
        <f>EDATE(G83,-1)</f>
        <v>41333</v>
      </c>
      <c r="G83" s="85">
        <f>EDATE(H83,-1)</f>
        <v>41363</v>
      </c>
      <c r="H83" s="85">
        <f>EDATE(E11,1)</f>
        <v>41394</v>
      </c>
      <c r="I83"/>
      <c r="J83"/>
    </row>
    <row r="84" spans="2:11" ht="16.5" customHeight="1">
      <c r="B84" s="27" t="s">
        <v>0</v>
      </c>
      <c r="C84" s="72">
        <v>815485</v>
      </c>
      <c r="D84" s="72">
        <v>805549</v>
      </c>
      <c r="E84" s="72">
        <v>833454</v>
      </c>
      <c r="F84" s="72">
        <v>830471</v>
      </c>
      <c r="G84" s="72">
        <v>871195</v>
      </c>
      <c r="H84" s="72">
        <v>875529</v>
      </c>
      <c r="I84"/>
    </row>
    <row r="85" spans="2:11" ht="16.5" customHeight="1">
      <c r="B85" s="28" t="s">
        <v>1</v>
      </c>
      <c r="C85" s="73">
        <v>17752</v>
      </c>
      <c r="D85" s="73">
        <v>17821</v>
      </c>
      <c r="E85" s="73">
        <v>18015</v>
      </c>
      <c r="F85" s="73">
        <v>17820</v>
      </c>
      <c r="G85" s="73">
        <v>18896</v>
      </c>
      <c r="H85" s="73">
        <v>18984</v>
      </c>
      <c r="I85"/>
    </row>
    <row r="86" spans="2:11" ht="16.5" customHeight="1">
      <c r="B86" s="29" t="s">
        <v>2</v>
      </c>
      <c r="C86" s="74">
        <v>5845</v>
      </c>
      <c r="D86" s="74">
        <v>5876</v>
      </c>
      <c r="E86" s="74">
        <v>6049</v>
      </c>
      <c r="F86" s="74">
        <v>6029</v>
      </c>
      <c r="G86" s="74">
        <v>6333</v>
      </c>
      <c r="H86" s="74">
        <v>6397</v>
      </c>
      <c r="I86"/>
    </row>
    <row r="87" spans="2:11" ht="16.5" customHeight="1" thickBot="1">
      <c r="B87" s="30" t="s">
        <v>3</v>
      </c>
      <c r="C87" s="75">
        <v>5266</v>
      </c>
      <c r="D87" s="75">
        <v>5261</v>
      </c>
      <c r="E87" s="75">
        <v>5288</v>
      </c>
      <c r="F87" s="75">
        <v>5099</v>
      </c>
      <c r="G87" s="75">
        <v>5433</v>
      </c>
      <c r="H87" s="75">
        <v>5262</v>
      </c>
      <c r="I87"/>
    </row>
    <row r="88" spans="2:11" s="81" customFormat="1" ht="18" thickBot="1">
      <c r="B88" s="109" t="s">
        <v>4</v>
      </c>
      <c r="C88" s="76">
        <v>844348</v>
      </c>
      <c r="D88" s="76">
        <v>834507</v>
      </c>
      <c r="E88" s="76">
        <v>862806</v>
      </c>
      <c r="F88" s="76">
        <v>859419</v>
      </c>
      <c r="G88" s="76">
        <v>901857</v>
      </c>
      <c r="H88" s="76">
        <v>906172</v>
      </c>
      <c r="I88" s="80"/>
    </row>
    <row r="89" spans="2:11">
      <c r="I89"/>
      <c r="J89"/>
    </row>
    <row r="90" spans="2:11">
      <c r="I90"/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31"/>
      <c r="C123" s="31"/>
      <c r="D123" s="31"/>
      <c r="E123" s="31"/>
      <c r="F123" s="31"/>
      <c r="G123" s="31"/>
      <c r="H123" s="31"/>
    </row>
    <row r="124" spans="2:8" ht="17.25">
      <c r="B124" s="32" t="s">
        <v>43</v>
      </c>
      <c r="C124" s="86">
        <v>41394</v>
      </c>
      <c r="D124" s="31"/>
      <c r="E124" s="31"/>
      <c r="F124" s="31"/>
      <c r="G124" s="31"/>
      <c r="H124" s="31"/>
    </row>
    <row r="125" spans="2:8" ht="18" thickBot="1">
      <c r="B125" s="33"/>
      <c r="C125" s="33"/>
      <c r="D125" s="33"/>
      <c r="E125" s="33"/>
      <c r="F125" s="33"/>
      <c r="G125" s="33"/>
      <c r="H125" s="33"/>
    </row>
    <row r="127" spans="2:8" ht="18" thickBot="1">
      <c r="B127" s="71"/>
      <c r="C127" s="87"/>
      <c r="D127" s="38"/>
      <c r="E127" s="38"/>
      <c r="F127" s="38"/>
      <c r="G127" s="38"/>
      <c r="H127" s="39" t="s">
        <v>13</v>
      </c>
    </row>
    <row r="128" spans="2:8" ht="30.75" customHeight="1" thickBot="1">
      <c r="B128" s="138" t="s">
        <v>44</v>
      </c>
      <c r="C128" s="151"/>
      <c r="D128" s="151"/>
      <c r="E128" s="151"/>
      <c r="F128" s="151"/>
      <c r="G128" s="163" t="s">
        <v>5</v>
      </c>
      <c r="H128" s="164"/>
    </row>
    <row r="129" spans="2:10" ht="18" customHeight="1">
      <c r="B129" s="140" t="s">
        <v>19</v>
      </c>
      <c r="C129" s="165"/>
      <c r="D129" s="165"/>
      <c r="E129" s="165"/>
      <c r="F129" s="165"/>
      <c r="G129" s="166">
        <v>750</v>
      </c>
      <c r="H129" s="167"/>
    </row>
    <row r="130" spans="2:10" ht="17.25" customHeight="1">
      <c r="B130" s="153" t="s">
        <v>39</v>
      </c>
      <c r="C130" s="168"/>
      <c r="D130" s="168"/>
      <c r="E130" s="168"/>
      <c r="F130" s="168"/>
      <c r="G130" s="166">
        <v>750</v>
      </c>
      <c r="H130" s="167"/>
    </row>
    <row r="131" spans="2:10" ht="18" customHeight="1" thickBot="1">
      <c r="B131" s="169" t="s">
        <v>40</v>
      </c>
      <c r="C131" s="170"/>
      <c r="D131" s="170"/>
      <c r="E131" s="170"/>
      <c r="F131" s="170"/>
      <c r="G131" s="180">
        <v>471</v>
      </c>
      <c r="H131" s="180"/>
    </row>
    <row r="134" spans="2:10" ht="17.25">
      <c r="B134" s="35"/>
      <c r="C134" s="35"/>
      <c r="D134" s="35"/>
      <c r="E134" s="35"/>
      <c r="F134" s="35"/>
      <c r="G134" s="35"/>
      <c r="H134" s="35"/>
    </row>
    <row r="135" spans="2:10" ht="17.25">
      <c r="B135" s="36" t="s">
        <v>25</v>
      </c>
      <c r="C135" s="35"/>
      <c r="D135" s="35"/>
      <c r="E135" s="36"/>
      <c r="F135" s="84">
        <f>C6</f>
        <v>41365</v>
      </c>
      <c r="G135" s="35"/>
      <c r="H135" s="35"/>
    </row>
    <row r="136" spans="2:10" ht="18" thickBot="1">
      <c r="B136" s="37"/>
      <c r="C136" s="37"/>
      <c r="D136" s="37"/>
      <c r="E136" s="37"/>
      <c r="F136" s="37"/>
      <c r="G136" s="37"/>
      <c r="H136" s="37"/>
    </row>
    <row r="138" spans="2:10" ht="18" thickBot="1">
      <c r="B138" s="40" t="s">
        <v>45</v>
      </c>
      <c r="C138" s="41"/>
      <c r="D138" s="41"/>
      <c r="E138" s="41"/>
      <c r="F138" s="41"/>
      <c r="G138" s="41"/>
      <c r="H138" s="42" t="s">
        <v>13</v>
      </c>
    </row>
    <row r="139" spans="2:10" ht="15.75" thickBot="1">
      <c r="B139" s="137" t="s">
        <v>20</v>
      </c>
      <c r="C139" s="137"/>
      <c r="D139" s="137"/>
      <c r="E139" s="137"/>
      <c r="F139" s="138"/>
      <c r="G139" s="156" t="s">
        <v>6</v>
      </c>
      <c r="H139" s="156"/>
      <c r="I139"/>
    </row>
    <row r="140" spans="2:10" ht="17.25" customHeight="1">
      <c r="B140" s="157" t="s">
        <v>21</v>
      </c>
      <c r="C140" s="157"/>
      <c r="D140" s="157"/>
      <c r="E140" s="157"/>
      <c r="F140" s="158"/>
      <c r="G140" s="159">
        <v>192226</v>
      </c>
      <c r="H140" s="160"/>
      <c r="I140" s="50"/>
      <c r="J140" s="53"/>
    </row>
    <row r="141" spans="2:10" ht="17.25">
      <c r="B141" s="152" t="s">
        <v>26</v>
      </c>
      <c r="C141" s="152"/>
      <c r="D141" s="152"/>
      <c r="E141" s="152"/>
      <c r="F141" s="153"/>
      <c r="G141" s="161">
        <v>175451</v>
      </c>
      <c r="H141" s="162"/>
      <c r="I141" s="50"/>
      <c r="J141" s="53"/>
    </row>
    <row r="142" spans="2:10" ht="17.25" customHeight="1">
      <c r="B142" s="152" t="s">
        <v>27</v>
      </c>
      <c r="C142" s="152"/>
      <c r="D142" s="152"/>
      <c r="E142" s="152"/>
      <c r="F142" s="153"/>
      <c r="G142" s="161">
        <v>120205</v>
      </c>
      <c r="H142" s="162"/>
      <c r="I142" s="50"/>
      <c r="J142" s="53"/>
    </row>
    <row r="143" spans="2:10" ht="17.25" customHeight="1">
      <c r="B143" s="152" t="s">
        <v>38</v>
      </c>
      <c r="C143" s="152"/>
      <c r="D143" s="152"/>
      <c r="E143" s="152"/>
      <c r="F143" s="153"/>
      <c r="G143" s="161">
        <v>106869</v>
      </c>
      <c r="H143" s="162"/>
      <c r="I143" s="50"/>
      <c r="J143" s="53"/>
    </row>
    <row r="144" spans="2:10" ht="17.25" customHeight="1">
      <c r="B144" s="152" t="s">
        <v>28</v>
      </c>
      <c r="C144" s="152"/>
      <c r="D144" s="152"/>
      <c r="E144" s="152"/>
      <c r="F144" s="153"/>
      <c r="G144" s="161">
        <v>60049</v>
      </c>
      <c r="H144" s="162"/>
      <c r="I144" s="50"/>
      <c r="J144" s="53"/>
    </row>
    <row r="145" spans="2:13" ht="13.5" customHeight="1">
      <c r="B145" s="152" t="s">
        <v>29</v>
      </c>
      <c r="C145" s="152"/>
      <c r="D145" s="152"/>
      <c r="E145" s="152"/>
      <c r="F145" s="153"/>
      <c r="G145" s="161">
        <v>42717</v>
      </c>
      <c r="H145" s="162"/>
      <c r="I145" s="54"/>
      <c r="J145" s="53"/>
    </row>
    <row r="146" spans="2:13" ht="17.25" customHeight="1">
      <c r="B146" s="152" t="s">
        <v>48</v>
      </c>
      <c r="C146" s="152"/>
      <c r="D146" s="152"/>
      <c r="E146" s="152"/>
      <c r="F146" s="153"/>
      <c r="G146" s="161">
        <v>36209</v>
      </c>
      <c r="H146" s="162"/>
      <c r="I146" s="50"/>
      <c r="J146" s="53"/>
    </row>
    <row r="147" spans="2:13" ht="17.25" customHeight="1">
      <c r="B147" s="152" t="s">
        <v>22</v>
      </c>
      <c r="C147" s="152"/>
      <c r="D147" s="152"/>
      <c r="E147" s="152"/>
      <c r="F147" s="153"/>
      <c r="G147" s="161">
        <v>28888</v>
      </c>
      <c r="H147" s="162"/>
      <c r="I147" s="50"/>
      <c r="J147" s="53"/>
    </row>
    <row r="148" spans="2:13" ht="17.25" customHeight="1">
      <c r="B148" s="152" t="s">
        <v>23</v>
      </c>
      <c r="C148" s="152"/>
      <c r="D148" s="152"/>
      <c r="E148" s="152"/>
      <c r="F148" s="153"/>
      <c r="G148" s="161">
        <v>19788</v>
      </c>
      <c r="H148" s="162"/>
      <c r="I148" s="50"/>
      <c r="J148" s="53"/>
      <c r="L148"/>
    </row>
    <row r="149" spans="2:13" ht="18" customHeight="1" thickBot="1">
      <c r="B149" s="171" t="s">
        <v>35</v>
      </c>
      <c r="C149" s="171"/>
      <c r="D149" s="171"/>
      <c r="E149" s="171"/>
      <c r="F149" s="169"/>
      <c r="G149" s="172">
        <v>19428</v>
      </c>
      <c r="H149" s="173"/>
      <c r="I149" s="50"/>
      <c r="J149" s="53"/>
      <c r="L149"/>
    </row>
    <row r="150" spans="2:13" ht="17.25">
      <c r="G150" s="44"/>
      <c r="H150" s="44"/>
      <c r="I150" s="55"/>
      <c r="J150" s="55"/>
    </row>
    <row r="151" spans="2:13" ht="17.25">
      <c r="B151" s="43"/>
      <c r="C151" s="43"/>
      <c r="D151" s="43"/>
      <c r="E151" s="43"/>
      <c r="F151" s="43"/>
      <c r="G151" s="44"/>
      <c r="H151" s="44"/>
      <c r="I151" s="55"/>
      <c r="J151" s="55"/>
    </row>
    <row r="152" spans="2:13" ht="18" thickBot="1">
      <c r="B152" s="40" t="s">
        <v>7</v>
      </c>
      <c r="C152" s="41"/>
      <c r="D152" s="41"/>
      <c r="E152" s="41"/>
      <c r="F152" s="41"/>
      <c r="G152" s="41"/>
      <c r="H152" s="42" t="s">
        <v>12</v>
      </c>
      <c r="I152" s="55"/>
      <c r="J152" s="55"/>
    </row>
    <row r="153" spans="2:13" ht="15.75" thickBot="1">
      <c r="B153" s="137" t="s">
        <v>20</v>
      </c>
      <c r="C153" s="137"/>
      <c r="D153" s="137"/>
      <c r="E153" s="137"/>
      <c r="F153" s="138"/>
      <c r="G153" s="156" t="s">
        <v>6</v>
      </c>
      <c r="H153" s="156"/>
      <c r="I153" s="55"/>
      <c r="J153" s="55"/>
      <c r="K153"/>
      <c r="L153"/>
      <c r="M153"/>
    </row>
    <row r="154" spans="2:13" ht="17.25" customHeight="1">
      <c r="B154" s="157" t="s">
        <v>27</v>
      </c>
      <c r="C154" s="157"/>
      <c r="D154" s="157"/>
      <c r="E154" s="157"/>
      <c r="F154" s="158"/>
      <c r="G154" s="159">
        <v>13099</v>
      </c>
      <c r="H154" s="160"/>
      <c r="I154" s="56"/>
      <c r="J154" s="53"/>
      <c r="K154" s="52"/>
      <c r="L154"/>
      <c r="M154"/>
    </row>
    <row r="155" spans="2:13" ht="17.25" customHeight="1">
      <c r="B155" s="152" t="s">
        <v>38</v>
      </c>
      <c r="C155" s="152"/>
      <c r="D155" s="152"/>
      <c r="E155" s="152"/>
      <c r="F155" s="153"/>
      <c r="G155" s="161">
        <v>10624</v>
      </c>
      <c r="H155" s="162"/>
      <c r="I155" s="56"/>
      <c r="J155" s="53"/>
      <c r="K155" s="52"/>
      <c r="L155"/>
      <c r="M155"/>
    </row>
    <row r="156" spans="2:13" ht="17.25" customHeight="1">
      <c r="B156" s="152" t="s">
        <v>26</v>
      </c>
      <c r="C156" s="152"/>
      <c r="D156" s="152"/>
      <c r="E156" s="152"/>
      <c r="F156" s="153"/>
      <c r="G156" s="161">
        <v>9813</v>
      </c>
      <c r="H156" s="162"/>
      <c r="I156" s="56"/>
      <c r="J156" s="53"/>
      <c r="K156" s="52"/>
      <c r="L156"/>
      <c r="M156"/>
    </row>
    <row r="157" spans="2:13" ht="17.25">
      <c r="B157" s="152" t="s">
        <v>21</v>
      </c>
      <c r="C157" s="152"/>
      <c r="D157" s="152"/>
      <c r="E157" s="152"/>
      <c r="F157" s="153"/>
      <c r="G157" s="161">
        <v>7268</v>
      </c>
      <c r="H157" s="162"/>
      <c r="I157" s="56"/>
      <c r="J157" s="53"/>
      <c r="K157" s="52"/>
      <c r="L157"/>
      <c r="M157"/>
    </row>
    <row r="158" spans="2:13" ht="17.25" customHeight="1">
      <c r="B158" s="152" t="s">
        <v>28</v>
      </c>
      <c r="C158" s="152"/>
      <c r="D158" s="152"/>
      <c r="E158" s="152"/>
      <c r="F158" s="153"/>
      <c r="G158" s="161">
        <v>4582</v>
      </c>
      <c r="H158" s="162"/>
      <c r="I158" s="56"/>
      <c r="J158" s="53"/>
      <c r="K158" s="52"/>
      <c r="L158"/>
      <c r="M158"/>
    </row>
    <row r="159" spans="2:13" ht="17.25" customHeight="1">
      <c r="B159" s="152" t="s">
        <v>29</v>
      </c>
      <c r="C159" s="152"/>
      <c r="D159" s="152"/>
      <c r="E159" s="152"/>
      <c r="F159" s="153"/>
      <c r="G159" s="161">
        <v>3986</v>
      </c>
      <c r="H159" s="162"/>
      <c r="I159" s="57"/>
      <c r="J159" s="53"/>
      <c r="K159" s="52"/>
      <c r="L159"/>
      <c r="M159"/>
    </row>
    <row r="160" spans="2:13" ht="17.25" customHeight="1">
      <c r="B160" s="152" t="s">
        <v>48</v>
      </c>
      <c r="C160" s="152"/>
      <c r="D160" s="152"/>
      <c r="E160" s="152"/>
      <c r="F160" s="153"/>
      <c r="G160" s="161">
        <v>3388</v>
      </c>
      <c r="H160" s="162"/>
      <c r="I160" s="56"/>
      <c r="J160" s="53"/>
      <c r="K160" s="52"/>
      <c r="L160"/>
      <c r="M160"/>
    </row>
    <row r="161" spans="2:13" ht="17.25" customHeight="1">
      <c r="B161" s="152" t="s">
        <v>22</v>
      </c>
      <c r="C161" s="152"/>
      <c r="D161" s="152"/>
      <c r="E161" s="152"/>
      <c r="F161" s="153"/>
      <c r="G161" s="161">
        <v>2691</v>
      </c>
      <c r="H161" s="162"/>
      <c r="I161" s="56"/>
      <c r="J161" s="53"/>
      <c r="K161" s="52"/>
      <c r="L161"/>
      <c r="M161"/>
    </row>
    <row r="162" spans="2:13" ht="17.25">
      <c r="B162" s="152" t="s">
        <v>37</v>
      </c>
      <c r="C162" s="152"/>
      <c r="D162" s="152"/>
      <c r="E162" s="152"/>
      <c r="F162" s="153"/>
      <c r="G162" s="161">
        <v>1611</v>
      </c>
      <c r="H162" s="162"/>
      <c r="I162" s="56"/>
      <c r="J162" s="53"/>
      <c r="K162" s="52"/>
      <c r="L162"/>
      <c r="M162"/>
    </row>
    <row r="163" spans="2:13" ht="18" customHeight="1" thickBot="1">
      <c r="B163" s="171" t="s">
        <v>49</v>
      </c>
      <c r="C163" s="171"/>
      <c r="D163" s="171"/>
      <c r="E163" s="171"/>
      <c r="F163" s="169"/>
      <c r="G163" s="172">
        <v>1601</v>
      </c>
      <c r="H163" s="173"/>
      <c r="I163" s="56"/>
      <c r="J163" s="53"/>
      <c r="K163" s="52"/>
      <c r="L163"/>
      <c r="M163"/>
    </row>
    <row r="164" spans="2:13" ht="17.25">
      <c r="B164" s="43"/>
      <c r="C164" s="43"/>
      <c r="D164" s="43"/>
      <c r="E164" s="43"/>
      <c r="F164" s="43"/>
      <c r="G164" s="44"/>
      <c r="H164" s="44"/>
      <c r="I164" s="55"/>
      <c r="J164" s="55"/>
      <c r="L164"/>
      <c r="M164"/>
    </row>
    <row r="165" spans="2:13" ht="17.25">
      <c r="G165" s="44"/>
      <c r="H165" s="44"/>
      <c r="I165" s="2"/>
      <c r="J165" s="2"/>
    </row>
    <row r="166" spans="2:13" ht="18" thickBot="1">
      <c r="B166" s="40" t="s">
        <v>8</v>
      </c>
      <c r="C166" s="41"/>
      <c r="D166" s="41"/>
      <c r="E166" s="41"/>
      <c r="F166" s="41"/>
      <c r="G166" s="41"/>
      <c r="H166" s="42" t="s">
        <v>14</v>
      </c>
      <c r="I166" s="2"/>
      <c r="J166" s="55"/>
      <c r="K166"/>
    </row>
    <row r="167" spans="2:13" ht="15" customHeight="1" thickBot="1">
      <c r="B167" s="137" t="s">
        <v>20</v>
      </c>
      <c r="C167" s="137"/>
      <c r="D167" s="137"/>
      <c r="E167" s="137"/>
      <c r="F167" s="138"/>
      <c r="G167" s="156" t="s">
        <v>9</v>
      </c>
      <c r="H167" s="156"/>
      <c r="I167" s="2"/>
      <c r="J167" s="2"/>
    </row>
    <row r="168" spans="2:13" ht="17.25" customHeight="1">
      <c r="B168" s="157" t="s">
        <v>48</v>
      </c>
      <c r="C168" s="157"/>
      <c r="D168" s="157"/>
      <c r="E168" s="157"/>
      <c r="F168" s="158"/>
      <c r="G168" s="159">
        <v>903969479660</v>
      </c>
      <c r="H168" s="160"/>
      <c r="I168" s="58"/>
      <c r="J168" s="59"/>
    </row>
    <row r="169" spans="2:13" ht="17.25" customHeight="1">
      <c r="B169" s="152" t="s">
        <v>31</v>
      </c>
      <c r="C169" s="152"/>
      <c r="D169" s="152"/>
      <c r="E169" s="152"/>
      <c r="F169" s="153"/>
      <c r="G169" s="161">
        <v>695607119393</v>
      </c>
      <c r="H169" s="162"/>
      <c r="I169" s="58"/>
      <c r="J169" s="59"/>
    </row>
    <row r="170" spans="2:13" ht="17.25" customHeight="1">
      <c r="B170" s="152" t="s">
        <v>38</v>
      </c>
      <c r="C170" s="152"/>
      <c r="D170" s="152"/>
      <c r="E170" s="152"/>
      <c r="F170" s="153"/>
      <c r="G170" s="161">
        <v>617077156113</v>
      </c>
      <c r="H170" s="162"/>
      <c r="I170" s="58"/>
      <c r="J170" s="59"/>
    </row>
    <row r="171" spans="2:13" ht="17.25" customHeight="1">
      <c r="B171" s="152" t="s">
        <v>37</v>
      </c>
      <c r="C171" s="152"/>
      <c r="D171" s="152"/>
      <c r="E171" s="152"/>
      <c r="F171" s="153"/>
      <c r="G171" s="161">
        <v>434909768394</v>
      </c>
      <c r="H171" s="162"/>
      <c r="I171" s="58"/>
      <c r="J171" s="59"/>
    </row>
    <row r="172" spans="2:13" ht="17.25" customHeight="1">
      <c r="B172" s="152" t="s">
        <v>27</v>
      </c>
      <c r="C172" s="152"/>
      <c r="D172" s="152"/>
      <c r="E172" s="152"/>
      <c r="F172" s="153"/>
      <c r="G172" s="161">
        <v>374317381533</v>
      </c>
      <c r="H172" s="162"/>
      <c r="I172" s="60"/>
      <c r="J172" s="53"/>
    </row>
    <row r="173" spans="2:13" ht="17.25" customHeight="1">
      <c r="B173" s="152" t="s">
        <v>32</v>
      </c>
      <c r="C173" s="152"/>
      <c r="D173" s="152"/>
      <c r="E173" s="152"/>
      <c r="F173" s="153"/>
      <c r="G173" s="161">
        <v>360962784708</v>
      </c>
      <c r="H173" s="162"/>
      <c r="I173" s="58"/>
      <c r="J173" s="59"/>
    </row>
    <row r="174" spans="2:13" ht="17.25" customHeight="1">
      <c r="B174" s="152" t="s">
        <v>34</v>
      </c>
      <c r="C174" s="152"/>
      <c r="D174" s="152"/>
      <c r="E174" s="152"/>
      <c r="F174" s="153"/>
      <c r="G174" s="161">
        <v>321712062312</v>
      </c>
      <c r="H174" s="162"/>
      <c r="I174" s="58"/>
      <c r="J174" s="59"/>
    </row>
    <row r="175" spans="2:13" ht="17.25" customHeight="1">
      <c r="B175" s="152" t="s">
        <v>29</v>
      </c>
      <c r="C175" s="152"/>
      <c r="D175" s="152"/>
      <c r="E175" s="152"/>
      <c r="F175" s="153"/>
      <c r="G175" s="161">
        <v>298599133929</v>
      </c>
      <c r="H175" s="162"/>
      <c r="I175" s="58"/>
      <c r="J175" s="59"/>
    </row>
    <row r="176" spans="2:13" ht="17.25" customHeight="1">
      <c r="B176" s="152" t="s">
        <v>50</v>
      </c>
      <c r="C176" s="152"/>
      <c r="D176" s="152"/>
      <c r="E176" s="152"/>
      <c r="F176" s="153"/>
      <c r="G176" s="161">
        <v>244261645620</v>
      </c>
      <c r="H176" s="162"/>
      <c r="I176" s="58"/>
      <c r="J176" s="59"/>
    </row>
    <row r="177" spans="2:10" ht="18" customHeight="1" thickBot="1">
      <c r="B177" s="171" t="s">
        <v>33</v>
      </c>
      <c r="C177" s="171"/>
      <c r="D177" s="171"/>
      <c r="E177" s="171"/>
      <c r="F177" s="169"/>
      <c r="G177" s="172">
        <v>234398019985</v>
      </c>
      <c r="H177" s="173"/>
      <c r="I177" s="58"/>
      <c r="J177" s="59"/>
    </row>
    <row r="178" spans="2:10" ht="17.25">
      <c r="G178" s="44"/>
      <c r="H178" s="44"/>
      <c r="J178" s="51"/>
    </row>
    <row r="179" spans="2:10">
      <c r="B179" s="66"/>
      <c r="J179" s="51"/>
    </row>
  </sheetData>
  <dataConsolidate link="1"/>
  <mergeCells count="104">
    <mergeCell ref="B131:F131"/>
    <mergeCell ref="G131:H131"/>
    <mergeCell ref="B139:F139"/>
    <mergeCell ref="G139:H139"/>
    <mergeCell ref="G140:H140"/>
    <mergeCell ref="B140:F140"/>
    <mergeCell ref="B2:H2"/>
    <mergeCell ref="B3:H3"/>
    <mergeCell ref="B39:D39"/>
    <mergeCell ref="B128:F128"/>
    <mergeCell ref="G128:H128"/>
    <mergeCell ref="B129:F129"/>
    <mergeCell ref="G129:H129"/>
    <mergeCell ref="B130:F130"/>
    <mergeCell ref="G130:H130"/>
    <mergeCell ref="B49:D49"/>
    <mergeCell ref="B50:D50"/>
    <mergeCell ref="B51:D51"/>
    <mergeCell ref="B52:D52"/>
    <mergeCell ref="B53:D53"/>
    <mergeCell ref="B54:D54"/>
    <mergeCell ref="I3:N3"/>
    <mergeCell ref="B11:D11"/>
    <mergeCell ref="B12:D12"/>
    <mergeCell ref="B13:D13"/>
    <mergeCell ref="B34:D34"/>
    <mergeCell ref="B35:D35"/>
    <mergeCell ref="B36:D36"/>
    <mergeCell ref="B37:D37"/>
    <mergeCell ref="B38:D38"/>
    <mergeCell ref="B24:D24"/>
    <mergeCell ref="B25:D25"/>
    <mergeCell ref="B26:D26"/>
    <mergeCell ref="B27:D27"/>
    <mergeCell ref="B28:D28"/>
    <mergeCell ref="B33:D33"/>
    <mergeCell ref="B14:D14"/>
    <mergeCell ref="B15:D15"/>
    <mergeCell ref="B16:D16"/>
    <mergeCell ref="B17:D17"/>
    <mergeCell ref="B22:D22"/>
    <mergeCell ref="B23:D23"/>
    <mergeCell ref="B144:F144"/>
    <mergeCell ref="G144:H144"/>
    <mergeCell ref="B145:F145"/>
    <mergeCell ref="G145:H145"/>
    <mergeCell ref="B146:F146"/>
    <mergeCell ref="G146:H146"/>
    <mergeCell ref="B149:F149"/>
    <mergeCell ref="G141:H141"/>
    <mergeCell ref="B142:F142"/>
    <mergeCell ref="G142:H142"/>
    <mergeCell ref="B143:F143"/>
    <mergeCell ref="G143:H143"/>
    <mergeCell ref="B141:F141"/>
    <mergeCell ref="B153:F153"/>
    <mergeCell ref="G153:H153"/>
    <mergeCell ref="B147:F147"/>
    <mergeCell ref="G147:H147"/>
    <mergeCell ref="B148:F148"/>
    <mergeCell ref="G148:H148"/>
    <mergeCell ref="G149:H149"/>
    <mergeCell ref="B154:F154"/>
    <mergeCell ref="B155:F155"/>
    <mergeCell ref="G154:H154"/>
    <mergeCell ref="G155:H155"/>
    <mergeCell ref="B169:F169"/>
    <mergeCell ref="G169:H169"/>
    <mergeCell ref="B162:F162"/>
    <mergeCell ref="G162:H162"/>
    <mergeCell ref="B163:F163"/>
    <mergeCell ref="G163:H163"/>
    <mergeCell ref="B156:F156"/>
    <mergeCell ref="G156:H156"/>
    <mergeCell ref="B157:F157"/>
    <mergeCell ref="G157:H157"/>
    <mergeCell ref="B158:F158"/>
    <mergeCell ref="G158:H158"/>
    <mergeCell ref="B167:F167"/>
    <mergeCell ref="G167:H167"/>
    <mergeCell ref="B177:F177"/>
    <mergeCell ref="G177:H177"/>
    <mergeCell ref="B175:F175"/>
    <mergeCell ref="G175:H175"/>
    <mergeCell ref="B176:F176"/>
    <mergeCell ref="G176:H176"/>
    <mergeCell ref="B159:F159"/>
    <mergeCell ref="G159:H159"/>
    <mergeCell ref="B160:F160"/>
    <mergeCell ref="G160:H160"/>
    <mergeCell ref="B161:F161"/>
    <mergeCell ref="G161:H161"/>
    <mergeCell ref="G170:H170"/>
    <mergeCell ref="B170:F170"/>
    <mergeCell ref="B174:F174"/>
    <mergeCell ref="G174:H174"/>
    <mergeCell ref="B171:F171"/>
    <mergeCell ref="G171:H171"/>
    <mergeCell ref="B172:F172"/>
    <mergeCell ref="G172:H172"/>
    <mergeCell ref="B173:F173"/>
    <mergeCell ref="G173:H173"/>
    <mergeCell ref="B168:F168"/>
    <mergeCell ref="G168:H168"/>
  </mergeCells>
  <pageMargins left="0.70866141732283472" right="0.70866141732283472" top="0.15748031496062992" bottom="0.15748031496062992" header="0.31496062992125984" footer="0.11811023622047245"/>
  <pageSetup paperSize="9" scale="52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50" max="16383" man="1"/>
    <brk id="191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17761">
          <objectPr defaultSize="0" autoPict="0" dde="1">
            <anchor moveWithCells="1">
              <from>
                <xdr:col>0</xdr:col>
                <xdr:colOff>114300</xdr:colOff>
                <xdr:row>69</xdr:row>
                <xdr:rowOff>38100</xdr:rowOff>
              </from>
              <to>
                <xdr:col>1</xdr:col>
                <xdr:colOff>228600</xdr:colOff>
                <xdr:row>70</xdr:row>
                <xdr:rowOff>95250</xdr:rowOff>
              </to>
            </anchor>
          </objectPr>
        </oleObject>
      </mc:Choice>
      <mc:Fallback>
        <oleObject link="[1]!'!Январь2012!R1C2:R10C9'" oleUpdate="OLEUPDATE_ALWAYS" shapeId="117761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77">
    <pageSetUpPr fitToPage="1"/>
  </sheetPr>
  <dimension ref="B2:N179"/>
  <sheetViews>
    <sheetView topLeftCell="A67" workbookViewId="0">
      <selection activeCell="H40" sqref="H40"/>
    </sheetView>
  </sheetViews>
  <sheetFormatPr defaultRowHeight="13.5"/>
  <cols>
    <col min="1" max="1" width="3.42578125" style="88" customWidth="1"/>
    <col min="2" max="2" width="46.7109375" style="88" customWidth="1"/>
    <col min="3" max="6" width="18.42578125" style="88" customWidth="1"/>
    <col min="7" max="7" width="24.140625" style="88" customWidth="1"/>
    <col min="8" max="8" width="18.42578125" style="88" customWidth="1"/>
    <col min="9" max="9" width="11" style="88" bestFit="1" customWidth="1"/>
    <col min="10" max="10" width="10.5703125" style="88" customWidth="1"/>
    <col min="11" max="11" width="14.85546875" style="88" bestFit="1" customWidth="1"/>
    <col min="12" max="12" width="9.140625" style="88"/>
    <col min="13" max="13" width="23.42578125" style="88" customWidth="1"/>
    <col min="14" max="16384" width="9.140625" style="88"/>
  </cols>
  <sheetData>
    <row r="2" spans="2:14" s="1" customFormat="1" ht="20.25">
      <c r="B2" s="123" t="s">
        <v>15</v>
      </c>
      <c r="C2" s="123"/>
      <c r="D2" s="123"/>
      <c r="E2" s="123"/>
      <c r="F2" s="123"/>
      <c r="G2" s="123"/>
      <c r="H2" s="123"/>
    </row>
    <row r="3" spans="2:14" s="1" customFormat="1" ht="21" thickBot="1">
      <c r="B3" s="124">
        <v>41395</v>
      </c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</row>
    <row r="4" spans="2:14" s="1" customFormat="1" ht="18" thickTop="1"/>
    <row r="5" spans="2:14" s="1" customFormat="1" ht="17.25">
      <c r="B5" s="19"/>
      <c r="C5" s="19"/>
      <c r="D5" s="19"/>
      <c r="E5" s="19"/>
      <c r="F5" s="19"/>
      <c r="G5" s="19"/>
      <c r="H5" s="19"/>
    </row>
    <row r="6" spans="2:14" s="1" customFormat="1" ht="17.25">
      <c r="B6" s="20" t="s">
        <v>24</v>
      </c>
      <c r="C6" s="77">
        <f>B3</f>
        <v>41395</v>
      </c>
      <c r="D6" s="19"/>
      <c r="E6" s="19"/>
      <c r="F6" s="19"/>
      <c r="G6" s="19"/>
      <c r="H6" s="19"/>
    </row>
    <row r="7" spans="2:14" s="1" customFormat="1" ht="18" thickBot="1">
      <c r="B7" s="23"/>
      <c r="C7" s="23"/>
      <c r="D7" s="23"/>
      <c r="E7" s="23"/>
      <c r="F7" s="23"/>
      <c r="G7" s="23"/>
      <c r="H7" s="23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5" t="s">
        <v>70</v>
      </c>
      <c r="C10" s="16"/>
      <c r="D10" s="16"/>
      <c r="E10" s="16"/>
      <c r="F10" s="16"/>
      <c r="G10" s="16"/>
      <c r="H10" s="17" t="s">
        <v>13</v>
      </c>
    </row>
    <row r="11" spans="2:14" s="49" customFormat="1" ht="15.75" thickBot="1">
      <c r="B11" s="125" t="s">
        <v>18</v>
      </c>
      <c r="C11" s="125"/>
      <c r="D11" s="126"/>
      <c r="E11" s="85">
        <v>41394</v>
      </c>
      <c r="F11" s="85">
        <f>EDATE(E11,1)</f>
        <v>41424</v>
      </c>
      <c r="G11" s="48" t="s">
        <v>10</v>
      </c>
      <c r="H11" s="48" t="s">
        <v>11</v>
      </c>
      <c r="J11" s="90"/>
    </row>
    <row r="12" spans="2:14" s="89" customFormat="1" ht="17.25">
      <c r="B12" s="127" t="s">
        <v>0</v>
      </c>
      <c r="C12" s="127"/>
      <c r="D12" s="128"/>
      <c r="E12" s="103">
        <v>1037702</v>
      </c>
      <c r="F12" s="103">
        <v>1043140</v>
      </c>
      <c r="G12" s="13">
        <f>F12-E12</f>
        <v>5438</v>
      </c>
      <c r="H12" s="68">
        <f>F12/E12-1</f>
        <v>5.2404254786055926E-3</v>
      </c>
      <c r="I12" s="112"/>
      <c r="J12" s="90"/>
    </row>
    <row r="13" spans="2:14" s="89" customFormat="1" ht="17.25">
      <c r="B13" s="129" t="s">
        <v>1</v>
      </c>
      <c r="C13" s="129"/>
      <c r="D13" s="130"/>
      <c r="E13" s="103">
        <v>34957</v>
      </c>
      <c r="F13" s="103">
        <v>35202</v>
      </c>
      <c r="G13" s="13">
        <f t="shared" ref="G13:G18" si="0">F13-E13</f>
        <v>245</v>
      </c>
      <c r="H13" s="68">
        <f t="shared" ref="H13:H18" si="1">F13/E13-1</f>
        <v>7.0086105787110498E-3</v>
      </c>
      <c r="J13" s="90"/>
    </row>
    <row r="14" spans="2:14" s="89" customFormat="1" ht="17.25">
      <c r="B14" s="129" t="s">
        <v>2</v>
      </c>
      <c r="C14" s="129"/>
      <c r="D14" s="130"/>
      <c r="E14" s="103">
        <v>12590</v>
      </c>
      <c r="F14" s="103">
        <v>12720</v>
      </c>
      <c r="G14" s="13">
        <f t="shared" si="0"/>
        <v>130</v>
      </c>
      <c r="H14" s="68">
        <f t="shared" si="1"/>
        <v>1.0325655281969714E-2</v>
      </c>
      <c r="I14" s="90"/>
    </row>
    <row r="15" spans="2:14" s="89" customFormat="1" ht="17.25">
      <c r="B15" s="131" t="s">
        <v>41</v>
      </c>
      <c r="C15" s="131"/>
      <c r="D15" s="132"/>
      <c r="E15" s="103">
        <v>2336</v>
      </c>
      <c r="F15" s="103">
        <v>2365</v>
      </c>
      <c r="G15" s="13">
        <f t="shared" si="0"/>
        <v>29</v>
      </c>
      <c r="H15" s="68">
        <f t="shared" si="1"/>
        <v>1.2414383561643927E-2</v>
      </c>
      <c r="I15" s="90"/>
    </row>
    <row r="16" spans="2:14" s="89" customFormat="1" ht="17.25">
      <c r="B16" s="133" t="s">
        <v>42</v>
      </c>
      <c r="C16" s="133"/>
      <c r="D16" s="134"/>
      <c r="E16" s="103">
        <v>10254</v>
      </c>
      <c r="F16" s="103">
        <v>10355</v>
      </c>
      <c r="G16" s="13">
        <f t="shared" si="0"/>
        <v>101</v>
      </c>
      <c r="H16" s="68">
        <f t="shared" si="1"/>
        <v>9.8498147064560726E-3</v>
      </c>
      <c r="I16" s="90"/>
    </row>
    <row r="17" spans="2:10" s="89" customFormat="1" ht="18" customHeight="1" thickBot="1">
      <c r="B17" s="135" t="s">
        <v>3</v>
      </c>
      <c r="C17" s="135"/>
      <c r="D17" s="136"/>
      <c r="E17" s="103">
        <v>11746</v>
      </c>
      <c r="F17" s="103">
        <v>12373</v>
      </c>
      <c r="G17" s="13">
        <f t="shared" si="0"/>
        <v>627</v>
      </c>
      <c r="H17" s="68">
        <f t="shared" si="1"/>
        <v>5.3379873999659377E-2</v>
      </c>
      <c r="J17" s="90"/>
    </row>
    <row r="18" spans="2:10" s="79" customFormat="1" ht="18" thickBot="1">
      <c r="B18" s="69" t="s">
        <v>4</v>
      </c>
      <c r="C18" s="69"/>
      <c r="D18" s="70"/>
      <c r="E18" s="82">
        <v>1096995</v>
      </c>
      <c r="F18" s="82">
        <v>1103435</v>
      </c>
      <c r="G18" s="82">
        <f t="shared" si="0"/>
        <v>6440</v>
      </c>
      <c r="H18" s="78">
        <f t="shared" si="1"/>
        <v>5.8705828194294263E-3</v>
      </c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5" t="s">
        <v>71</v>
      </c>
      <c r="C21" s="16"/>
      <c r="D21" s="16"/>
      <c r="E21" s="16"/>
      <c r="F21" s="16"/>
      <c r="G21" s="16"/>
      <c r="H21" s="17" t="s">
        <v>12</v>
      </c>
    </row>
    <row r="22" spans="2:10" s="89" customFormat="1" ht="15.75" thickBot="1">
      <c r="B22" s="125" t="s">
        <v>18</v>
      </c>
      <c r="C22" s="125"/>
      <c r="D22" s="126"/>
      <c r="E22" s="85">
        <f>E11</f>
        <v>41394</v>
      </c>
      <c r="F22" s="85">
        <f>F11</f>
        <v>41424</v>
      </c>
      <c r="G22" s="48" t="s">
        <v>10</v>
      </c>
      <c r="H22" s="48" t="s">
        <v>11</v>
      </c>
      <c r="J22" s="90"/>
    </row>
    <row r="23" spans="2:10" s="89" customFormat="1" ht="17.25">
      <c r="B23" s="127" t="s">
        <v>0</v>
      </c>
      <c r="C23" s="127"/>
      <c r="D23" s="128"/>
      <c r="E23" s="103">
        <v>875529</v>
      </c>
      <c r="F23" s="103">
        <v>877243</v>
      </c>
      <c r="G23" s="13">
        <f>F23-E23</f>
        <v>1714</v>
      </c>
      <c r="H23" s="68">
        <f>F23/E23-1</f>
        <v>1.9576735893385155E-3</v>
      </c>
      <c r="I23" s="90"/>
    </row>
    <row r="24" spans="2:10" s="89" customFormat="1" ht="17.25">
      <c r="B24" s="129" t="s">
        <v>1</v>
      </c>
      <c r="C24" s="129"/>
      <c r="D24" s="130"/>
      <c r="E24" s="103">
        <v>18984</v>
      </c>
      <c r="F24" s="103">
        <v>18978</v>
      </c>
      <c r="G24" s="13">
        <f t="shared" ref="G24:G29" si="2">F24-E24</f>
        <v>-6</v>
      </c>
      <c r="H24" s="68">
        <f t="shared" ref="H24:H29" si="3">F24/E24-1</f>
        <v>-3.1605562579017921E-4</v>
      </c>
      <c r="I24" s="90"/>
    </row>
    <row r="25" spans="2:10" s="89" customFormat="1" ht="17.25">
      <c r="B25" s="129" t="s">
        <v>2</v>
      </c>
      <c r="C25" s="129"/>
      <c r="D25" s="130"/>
      <c r="E25" s="103">
        <v>6397</v>
      </c>
      <c r="F25" s="103">
        <v>6424</v>
      </c>
      <c r="G25" s="13">
        <f t="shared" si="2"/>
        <v>27</v>
      </c>
      <c r="H25" s="68">
        <f t="shared" si="3"/>
        <v>4.2207284664685929E-3</v>
      </c>
      <c r="I25" s="90"/>
    </row>
    <row r="26" spans="2:10" s="89" customFormat="1" ht="17.25">
      <c r="B26" s="131" t="s">
        <v>41</v>
      </c>
      <c r="C26" s="131"/>
      <c r="D26" s="132"/>
      <c r="E26" s="103">
        <v>2292</v>
      </c>
      <c r="F26" s="103">
        <v>2317</v>
      </c>
      <c r="G26" s="13">
        <f t="shared" si="2"/>
        <v>25</v>
      </c>
      <c r="H26" s="68">
        <f t="shared" si="3"/>
        <v>1.0907504363001808E-2</v>
      </c>
      <c r="I26" s="90"/>
    </row>
    <row r="27" spans="2:10" s="89" customFormat="1" ht="17.25">
      <c r="B27" s="133" t="s">
        <v>42</v>
      </c>
      <c r="C27" s="133"/>
      <c r="D27" s="134"/>
      <c r="E27" s="103">
        <v>4105</v>
      </c>
      <c r="F27" s="103">
        <v>4107</v>
      </c>
      <c r="G27" s="13">
        <f t="shared" si="2"/>
        <v>2</v>
      </c>
      <c r="H27" s="68">
        <f t="shared" si="3"/>
        <v>4.872107186357777E-4</v>
      </c>
      <c r="I27" s="90"/>
    </row>
    <row r="28" spans="2:10" s="89" customFormat="1" ht="18" thickBot="1">
      <c r="B28" s="135" t="s">
        <v>3</v>
      </c>
      <c r="C28" s="135"/>
      <c r="D28" s="136"/>
      <c r="E28" s="103">
        <v>5262</v>
      </c>
      <c r="F28" s="103">
        <v>5237</v>
      </c>
      <c r="G28" s="13">
        <f t="shared" si="2"/>
        <v>-25</v>
      </c>
      <c r="H28" s="68">
        <f t="shared" si="3"/>
        <v>-4.7510452299506234E-3</v>
      </c>
      <c r="I28" s="90"/>
    </row>
    <row r="29" spans="2:10" s="79" customFormat="1" ht="18" thickBot="1">
      <c r="B29" s="69" t="s">
        <v>4</v>
      </c>
      <c r="C29" s="69"/>
      <c r="D29" s="70"/>
      <c r="E29" s="82">
        <v>906172</v>
      </c>
      <c r="F29" s="82">
        <v>907882</v>
      </c>
      <c r="G29" s="82">
        <f t="shared" si="2"/>
        <v>1710</v>
      </c>
      <c r="H29" s="78">
        <f t="shared" si="3"/>
        <v>1.8870589689374828E-3</v>
      </c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5" t="s">
        <v>16</v>
      </c>
      <c r="C32" s="16"/>
      <c r="D32" s="16"/>
      <c r="E32" s="16"/>
      <c r="F32" s="16"/>
      <c r="G32" s="16"/>
      <c r="H32" s="17" t="s">
        <v>14</v>
      </c>
    </row>
    <row r="33" spans="2:8" ht="15.75" thickBot="1">
      <c r="B33" s="137" t="s">
        <v>18</v>
      </c>
      <c r="C33" s="137"/>
      <c r="D33" s="138"/>
      <c r="E33" s="83">
        <f>EDATE(C6,-1)</f>
        <v>41365</v>
      </c>
      <c r="F33" s="83">
        <f>EDATE(E33,1)</f>
        <v>41395</v>
      </c>
      <c r="G33" s="18" t="s">
        <v>10</v>
      </c>
      <c r="H33" s="18" t="s">
        <v>11</v>
      </c>
    </row>
    <row r="34" spans="2:8" ht="17.25">
      <c r="B34" s="139" t="s">
        <v>0</v>
      </c>
      <c r="C34" s="139"/>
      <c r="D34" s="140"/>
      <c r="E34" s="97">
        <v>67871</v>
      </c>
      <c r="F34" s="97">
        <v>65030</v>
      </c>
      <c r="G34" s="13">
        <f t="shared" ref="G34:G40" si="4">F34-E34</f>
        <v>-2841</v>
      </c>
      <c r="H34" s="68">
        <f t="shared" ref="H34:H40" si="5">F34/E34-1</f>
        <v>-4.1858820409305886E-2</v>
      </c>
    </row>
    <row r="35" spans="2:8" ht="17.25">
      <c r="B35" s="152" t="s">
        <v>1</v>
      </c>
      <c r="C35" s="152"/>
      <c r="D35" s="153"/>
      <c r="E35" s="97">
        <v>1508</v>
      </c>
      <c r="F35" s="97">
        <v>1347</v>
      </c>
      <c r="G35" s="13">
        <f t="shared" si="4"/>
        <v>-161</v>
      </c>
      <c r="H35" s="68">
        <f t="shared" si="5"/>
        <v>-0.10676392572944293</v>
      </c>
    </row>
    <row r="36" spans="2:8" ht="17.25">
      <c r="B36" s="152" t="s">
        <v>2</v>
      </c>
      <c r="C36" s="152"/>
      <c r="D36" s="153"/>
      <c r="E36" s="97">
        <v>685</v>
      </c>
      <c r="F36" s="97">
        <v>582</v>
      </c>
      <c r="G36" s="13">
        <f t="shared" si="4"/>
        <v>-103</v>
      </c>
      <c r="H36" s="68">
        <f t="shared" si="5"/>
        <v>-0.15036496350364958</v>
      </c>
    </row>
    <row r="37" spans="2:8" ht="17.25">
      <c r="B37" s="131" t="s">
        <v>41</v>
      </c>
      <c r="C37" s="131"/>
      <c r="D37" s="132"/>
      <c r="E37" s="97">
        <v>198</v>
      </c>
      <c r="F37" s="97">
        <v>150</v>
      </c>
      <c r="G37" s="13">
        <f t="shared" si="4"/>
        <v>-48</v>
      </c>
      <c r="H37" s="68">
        <f t="shared" si="5"/>
        <v>-0.24242424242424243</v>
      </c>
    </row>
    <row r="38" spans="2:8" ht="17.25">
      <c r="B38" s="133" t="s">
        <v>42</v>
      </c>
      <c r="C38" s="133"/>
      <c r="D38" s="134"/>
      <c r="E38" s="97">
        <v>487</v>
      </c>
      <c r="F38" s="97">
        <v>432</v>
      </c>
      <c r="G38" s="13">
        <f t="shared" si="4"/>
        <v>-55</v>
      </c>
      <c r="H38" s="68">
        <f t="shared" si="5"/>
        <v>-0.11293634496919913</v>
      </c>
    </row>
    <row r="39" spans="2:8" ht="18" thickBot="1">
      <c r="B39" s="154" t="s">
        <v>3</v>
      </c>
      <c r="C39" s="154"/>
      <c r="D39" s="155"/>
      <c r="E39" s="97">
        <v>903</v>
      </c>
      <c r="F39" s="97">
        <v>766</v>
      </c>
      <c r="G39" s="13">
        <f t="shared" si="4"/>
        <v>-137</v>
      </c>
      <c r="H39" s="68">
        <f t="shared" si="5"/>
        <v>-0.15171650055370989</v>
      </c>
    </row>
    <row r="40" spans="2:8" s="79" customFormat="1" ht="18" thickBot="1">
      <c r="B40" s="69" t="s">
        <v>4</v>
      </c>
      <c r="C40" s="69"/>
      <c r="D40" s="70"/>
      <c r="E40" s="82">
        <v>70967</v>
      </c>
      <c r="F40" s="82">
        <v>67725</v>
      </c>
      <c r="G40" s="82">
        <f t="shared" si="4"/>
        <v>-3242</v>
      </c>
      <c r="H40" s="78">
        <f t="shared" si="5"/>
        <v>-4.5683204869869098E-2</v>
      </c>
    </row>
    <row r="41" spans="2:8" ht="15">
      <c r="B41" s="6"/>
      <c r="C41" s="6"/>
      <c r="D41" s="6"/>
      <c r="E41" s="45"/>
      <c r="F41" s="45"/>
      <c r="G41" s="46"/>
      <c r="H41" s="47"/>
    </row>
    <row r="42" spans="2:8" ht="15">
      <c r="B42" s="10"/>
      <c r="C42" s="2"/>
      <c r="D42" s="2"/>
      <c r="E42" s="2"/>
      <c r="F42" s="2"/>
      <c r="G42" s="2"/>
    </row>
    <row r="43" spans="2:8" ht="17.25">
      <c r="B43" s="21"/>
      <c r="C43" s="21"/>
      <c r="D43" s="21"/>
      <c r="E43" s="21"/>
      <c r="F43" s="21"/>
      <c r="G43" s="21"/>
      <c r="H43" s="21"/>
    </row>
    <row r="44" spans="2:8" ht="17.25">
      <c r="B44" s="22" t="s">
        <v>17</v>
      </c>
      <c r="C44" s="21"/>
      <c r="D44" s="21"/>
      <c r="E44" s="21"/>
      <c r="F44" s="21"/>
      <c r="G44" s="21"/>
      <c r="H44" s="21"/>
    </row>
    <row r="45" spans="2:8" ht="18" thickBot="1">
      <c r="B45" s="24"/>
      <c r="C45" s="24"/>
      <c r="D45" s="24"/>
      <c r="E45" s="24"/>
      <c r="F45" s="24"/>
      <c r="G45" s="24"/>
      <c r="H45" s="24"/>
    </row>
    <row r="47" spans="2:8">
      <c r="F47" s="5"/>
    </row>
    <row r="48" spans="2:8" ht="18" thickBot="1">
      <c r="B48" s="14" t="s">
        <v>72</v>
      </c>
      <c r="C48" s="25"/>
      <c r="D48" s="25"/>
      <c r="E48" s="25"/>
      <c r="F48" s="25"/>
      <c r="G48" s="25"/>
      <c r="H48" s="26" t="s">
        <v>13</v>
      </c>
    </row>
    <row r="49" spans="2:8" ht="15.75" thickBot="1">
      <c r="B49" s="137" t="s">
        <v>18</v>
      </c>
      <c r="C49" s="137"/>
      <c r="D49" s="138"/>
      <c r="E49" s="85">
        <v>40178</v>
      </c>
      <c r="F49" s="85">
        <v>40543</v>
      </c>
      <c r="G49" s="85">
        <v>40908</v>
      </c>
      <c r="H49" s="85">
        <v>41274</v>
      </c>
    </row>
    <row r="50" spans="2:8" ht="17.25">
      <c r="B50" s="141" t="s">
        <v>0</v>
      </c>
      <c r="C50" s="141"/>
      <c r="D50" s="142"/>
      <c r="E50" s="99">
        <v>671475</v>
      </c>
      <c r="F50" s="99">
        <v>714295</v>
      </c>
      <c r="G50" s="99">
        <v>772175</v>
      </c>
      <c r="H50" s="99">
        <v>805549</v>
      </c>
    </row>
    <row r="51" spans="2:8" ht="17.25">
      <c r="B51" s="143" t="s">
        <v>1</v>
      </c>
      <c r="C51" s="143"/>
      <c r="D51" s="144"/>
      <c r="E51" s="100">
        <v>16364</v>
      </c>
      <c r="F51" s="100">
        <v>17170</v>
      </c>
      <c r="G51" s="100">
        <v>16850</v>
      </c>
      <c r="H51" s="100">
        <v>17821</v>
      </c>
    </row>
    <row r="52" spans="2:8" ht="17.25">
      <c r="B52" s="145" t="s">
        <v>2</v>
      </c>
      <c r="C52" s="145"/>
      <c r="D52" s="146"/>
      <c r="E52" s="102">
        <v>3851</v>
      </c>
      <c r="F52" s="102">
        <v>4295</v>
      </c>
      <c r="G52" s="102">
        <v>5058</v>
      </c>
      <c r="H52" s="102">
        <v>5876</v>
      </c>
    </row>
    <row r="53" spans="2:8" ht="18" thickBot="1">
      <c r="B53" s="147" t="s">
        <v>3</v>
      </c>
      <c r="C53" s="147"/>
      <c r="D53" s="148"/>
      <c r="E53" s="98">
        <v>4717</v>
      </c>
      <c r="F53" s="98">
        <v>5348</v>
      </c>
      <c r="G53" s="98">
        <v>5242</v>
      </c>
      <c r="H53" s="98">
        <v>5261</v>
      </c>
    </row>
    <row r="54" spans="2:8" s="81" customFormat="1" ht="18" thickBot="1">
      <c r="B54" s="149" t="s">
        <v>4</v>
      </c>
      <c r="C54" s="149"/>
      <c r="D54" s="150"/>
      <c r="E54" s="101">
        <v>696407</v>
      </c>
      <c r="F54" s="101">
        <v>741108</v>
      </c>
      <c r="G54" s="101">
        <v>799325</v>
      </c>
      <c r="H54" s="101">
        <v>834507</v>
      </c>
    </row>
    <row r="55" spans="2:8" ht="15">
      <c r="B55" s="6"/>
      <c r="C55" s="7"/>
      <c r="D55" s="8"/>
      <c r="E55" s="8"/>
      <c r="F55" s="8"/>
      <c r="G55" s="8"/>
      <c r="H55" s="8"/>
    </row>
    <row r="56" spans="2:8" ht="15">
      <c r="B56" s="6"/>
      <c r="C56" s="7"/>
      <c r="D56" s="8"/>
      <c r="E56" s="8"/>
      <c r="F56" s="8"/>
      <c r="G56" s="8"/>
      <c r="H56" s="8"/>
    </row>
    <row r="57" spans="2:8" ht="15">
      <c r="B57" s="6"/>
      <c r="C57" s="7"/>
      <c r="D57" s="8"/>
      <c r="E57" s="8"/>
      <c r="F57" s="8"/>
      <c r="G57" s="8"/>
      <c r="H57" s="8"/>
    </row>
    <row r="58" spans="2:8" ht="15">
      <c r="B58" s="6"/>
      <c r="C58" s="7"/>
      <c r="D58" s="8"/>
      <c r="E58" s="8"/>
      <c r="F58" s="8"/>
      <c r="G58" s="8"/>
      <c r="H58" s="8"/>
    </row>
    <row r="59" spans="2:8" ht="15">
      <c r="B59" s="6"/>
      <c r="C59" s="7"/>
      <c r="D59" s="8"/>
      <c r="E59" s="8"/>
      <c r="F59" s="8"/>
      <c r="G59" s="8"/>
      <c r="H59" s="8"/>
    </row>
    <row r="60" spans="2:8" ht="15">
      <c r="B60" s="6"/>
      <c r="C60" s="7"/>
      <c r="D60" s="8"/>
      <c r="E60" s="8"/>
      <c r="F60" s="8"/>
      <c r="G60" s="8"/>
      <c r="H60" s="8"/>
    </row>
    <row r="61" spans="2:8" ht="15">
      <c r="B61" s="6"/>
      <c r="C61" s="7"/>
      <c r="D61" s="8"/>
      <c r="E61" s="8"/>
      <c r="F61" s="8"/>
      <c r="G61" s="8"/>
      <c r="H61" s="8"/>
    </row>
    <row r="62" spans="2:8" ht="15">
      <c r="B62" s="6"/>
      <c r="C62" s="7"/>
      <c r="D62" s="8"/>
      <c r="E62" s="8"/>
      <c r="F62" s="8"/>
      <c r="G62" s="8"/>
      <c r="H62" s="8"/>
    </row>
    <row r="63" spans="2:8" ht="15">
      <c r="B63" s="6"/>
      <c r="C63" s="7"/>
      <c r="D63" s="8"/>
      <c r="E63" s="8"/>
      <c r="F63" s="8"/>
      <c r="G63" s="8"/>
      <c r="H63" s="8"/>
    </row>
    <row r="64" spans="2:8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4" t="s">
        <v>73</v>
      </c>
      <c r="C82" s="25"/>
      <c r="D82" s="25"/>
      <c r="E82" s="25"/>
      <c r="F82" s="25"/>
      <c r="G82" s="25"/>
      <c r="H82" s="26" t="s">
        <v>12</v>
      </c>
      <c r="I82"/>
      <c r="J82"/>
      <c r="K82"/>
    </row>
    <row r="83" spans="2:11" ht="15.75" thickBot="1">
      <c r="B83" s="34" t="s">
        <v>18</v>
      </c>
      <c r="C83" s="85">
        <f>EDATE(D83,-1)</f>
        <v>41271</v>
      </c>
      <c r="D83" s="85">
        <f>EDATE(E83,-1)</f>
        <v>41302</v>
      </c>
      <c r="E83" s="85">
        <f>EDATE(F83,-1)</f>
        <v>41333</v>
      </c>
      <c r="F83" s="85">
        <f>EDATE(G83,-1)</f>
        <v>41363</v>
      </c>
      <c r="G83" s="85">
        <f>EDATE(H83,-1)</f>
        <v>41394</v>
      </c>
      <c r="H83" s="85">
        <f>EDATE(E11,1)</f>
        <v>41424</v>
      </c>
      <c r="I83"/>
      <c r="J83"/>
    </row>
    <row r="84" spans="2:11" ht="16.5" customHeight="1">
      <c r="B84" s="27" t="s">
        <v>0</v>
      </c>
      <c r="C84" s="72">
        <v>805549</v>
      </c>
      <c r="D84" s="72">
        <v>833454</v>
      </c>
      <c r="E84" s="72">
        <v>830471</v>
      </c>
      <c r="F84" s="72">
        <v>871195</v>
      </c>
      <c r="G84" s="72">
        <v>875529</v>
      </c>
      <c r="H84" s="72">
        <v>877243</v>
      </c>
      <c r="I84"/>
    </row>
    <row r="85" spans="2:11" ht="16.5" customHeight="1">
      <c r="B85" s="28" t="s">
        <v>1</v>
      </c>
      <c r="C85" s="73">
        <v>17821</v>
      </c>
      <c r="D85" s="73">
        <v>18015</v>
      </c>
      <c r="E85" s="73">
        <v>17820</v>
      </c>
      <c r="F85" s="73">
        <v>18896</v>
      </c>
      <c r="G85" s="73">
        <v>18984</v>
      </c>
      <c r="H85" s="73">
        <v>18978</v>
      </c>
      <c r="I85"/>
    </row>
    <row r="86" spans="2:11" ht="16.5" customHeight="1">
      <c r="B86" s="29" t="s">
        <v>2</v>
      </c>
      <c r="C86" s="74">
        <v>5876</v>
      </c>
      <c r="D86" s="74">
        <v>6049</v>
      </c>
      <c r="E86" s="74">
        <v>6029</v>
      </c>
      <c r="F86" s="74">
        <v>6333</v>
      </c>
      <c r="G86" s="74">
        <v>6397</v>
      </c>
      <c r="H86" s="74">
        <v>6424</v>
      </c>
      <c r="I86"/>
    </row>
    <row r="87" spans="2:11" ht="16.5" customHeight="1" thickBot="1">
      <c r="B87" s="30" t="s">
        <v>3</v>
      </c>
      <c r="C87" s="75">
        <v>5261</v>
      </c>
      <c r="D87" s="75">
        <v>5288</v>
      </c>
      <c r="E87" s="75">
        <v>5099</v>
      </c>
      <c r="F87" s="75">
        <v>5433</v>
      </c>
      <c r="G87" s="75">
        <v>5262</v>
      </c>
      <c r="H87" s="75">
        <v>5237</v>
      </c>
      <c r="I87"/>
    </row>
    <row r="88" spans="2:11" s="81" customFormat="1" ht="18" thickBot="1">
      <c r="B88" s="110" t="s">
        <v>4</v>
      </c>
      <c r="C88" s="76">
        <v>834507</v>
      </c>
      <c r="D88" s="76">
        <v>862806</v>
      </c>
      <c r="E88" s="76">
        <v>859419</v>
      </c>
      <c r="F88" s="76">
        <v>901857</v>
      </c>
      <c r="G88" s="76">
        <v>906172</v>
      </c>
      <c r="H88" s="76">
        <v>907882</v>
      </c>
      <c r="I88" s="80"/>
    </row>
    <row r="89" spans="2:11">
      <c r="I89"/>
      <c r="J89"/>
    </row>
    <row r="90" spans="2:11">
      <c r="I90"/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31"/>
      <c r="C123" s="31"/>
      <c r="D123" s="31"/>
      <c r="E123" s="31"/>
      <c r="F123" s="31"/>
      <c r="G123" s="31"/>
      <c r="H123" s="31"/>
    </row>
    <row r="124" spans="2:8" ht="17.25">
      <c r="B124" s="32" t="s">
        <v>43</v>
      </c>
      <c r="C124" s="86">
        <v>41424</v>
      </c>
      <c r="D124" s="31"/>
      <c r="E124" s="31"/>
      <c r="F124" s="31"/>
      <c r="G124" s="31"/>
      <c r="H124" s="31"/>
    </row>
    <row r="125" spans="2:8" ht="18" thickBot="1">
      <c r="B125" s="33"/>
      <c r="C125" s="33"/>
      <c r="D125" s="33"/>
      <c r="E125" s="33"/>
      <c r="F125" s="33"/>
      <c r="G125" s="33"/>
      <c r="H125" s="33"/>
    </row>
    <row r="127" spans="2:8" ht="18" thickBot="1">
      <c r="B127" s="71"/>
      <c r="C127" s="87"/>
      <c r="D127" s="38"/>
      <c r="E127" s="38"/>
      <c r="F127" s="38"/>
      <c r="G127" s="38"/>
      <c r="H127" s="39" t="s">
        <v>13</v>
      </c>
    </row>
    <row r="128" spans="2:8" ht="30.75" customHeight="1" thickBot="1">
      <c r="B128" s="138" t="s">
        <v>44</v>
      </c>
      <c r="C128" s="151"/>
      <c r="D128" s="151"/>
      <c r="E128" s="151"/>
      <c r="F128" s="151"/>
      <c r="G128" s="163" t="s">
        <v>5</v>
      </c>
      <c r="H128" s="164"/>
    </row>
    <row r="129" spans="2:10" ht="18" customHeight="1">
      <c r="B129" s="140" t="s">
        <v>19</v>
      </c>
      <c r="C129" s="165"/>
      <c r="D129" s="165"/>
      <c r="E129" s="165"/>
      <c r="F129" s="165"/>
      <c r="G129" s="166">
        <v>753</v>
      </c>
      <c r="H129" s="167"/>
    </row>
    <row r="130" spans="2:10" ht="17.25" customHeight="1">
      <c r="B130" s="153" t="s">
        <v>39</v>
      </c>
      <c r="C130" s="168"/>
      <c r="D130" s="168"/>
      <c r="E130" s="168"/>
      <c r="F130" s="168"/>
      <c r="G130" s="166">
        <v>753</v>
      </c>
      <c r="H130" s="167"/>
    </row>
    <row r="131" spans="2:10" ht="18" customHeight="1" thickBot="1">
      <c r="B131" s="169" t="s">
        <v>40</v>
      </c>
      <c r="C131" s="170"/>
      <c r="D131" s="170"/>
      <c r="E131" s="170"/>
      <c r="F131" s="170"/>
      <c r="G131" s="180">
        <v>461</v>
      </c>
      <c r="H131" s="180"/>
    </row>
    <row r="134" spans="2:10" ht="17.25">
      <c r="B134" s="35"/>
      <c r="C134" s="35"/>
      <c r="D134" s="35"/>
      <c r="E134" s="35"/>
      <c r="F134" s="35"/>
      <c r="G134" s="35"/>
      <c r="H134" s="35"/>
    </row>
    <row r="135" spans="2:10" ht="17.25">
      <c r="B135" s="36" t="s">
        <v>25</v>
      </c>
      <c r="C135" s="35"/>
      <c r="D135" s="35"/>
      <c r="E135" s="36"/>
      <c r="F135" s="84">
        <f>C6</f>
        <v>41395</v>
      </c>
      <c r="G135" s="35"/>
      <c r="H135" s="35"/>
    </row>
    <row r="136" spans="2:10" ht="18" thickBot="1">
      <c r="B136" s="37"/>
      <c r="C136" s="37"/>
      <c r="D136" s="37"/>
      <c r="E136" s="37"/>
      <c r="F136" s="37"/>
      <c r="G136" s="37"/>
      <c r="H136" s="37"/>
    </row>
    <row r="138" spans="2:10" ht="18" thickBot="1">
      <c r="B138" s="40" t="s">
        <v>45</v>
      </c>
      <c r="C138" s="41"/>
      <c r="D138" s="41"/>
      <c r="E138" s="41"/>
      <c r="F138" s="41"/>
      <c r="G138" s="41"/>
      <c r="H138" s="42" t="s">
        <v>13</v>
      </c>
    </row>
    <row r="139" spans="2:10" ht="15.75" thickBot="1">
      <c r="B139" s="137" t="s">
        <v>20</v>
      </c>
      <c r="C139" s="137"/>
      <c r="D139" s="137"/>
      <c r="E139" s="137"/>
      <c r="F139" s="138"/>
      <c r="G139" s="156" t="s">
        <v>6</v>
      </c>
      <c r="H139" s="156"/>
      <c r="I139"/>
    </row>
    <row r="140" spans="2:10" ht="17.25" customHeight="1">
      <c r="B140" s="157" t="s">
        <v>21</v>
      </c>
      <c r="C140" s="157"/>
      <c r="D140" s="157"/>
      <c r="E140" s="157"/>
      <c r="F140" s="158"/>
      <c r="G140" s="159">
        <v>193342</v>
      </c>
      <c r="H140" s="160"/>
      <c r="I140" s="50"/>
      <c r="J140" s="53"/>
    </row>
    <row r="141" spans="2:10" ht="17.25">
      <c r="B141" s="152" t="s">
        <v>26</v>
      </c>
      <c r="C141" s="152"/>
      <c r="D141" s="152"/>
      <c r="E141" s="152"/>
      <c r="F141" s="153"/>
      <c r="G141" s="161">
        <v>175827</v>
      </c>
      <c r="H141" s="162"/>
      <c r="I141" s="50"/>
      <c r="J141" s="53"/>
    </row>
    <row r="142" spans="2:10" ht="17.25" customHeight="1">
      <c r="B142" s="152" t="s">
        <v>27</v>
      </c>
      <c r="C142" s="152"/>
      <c r="D142" s="152"/>
      <c r="E142" s="152"/>
      <c r="F142" s="153"/>
      <c r="G142" s="161">
        <v>120513</v>
      </c>
      <c r="H142" s="162"/>
      <c r="I142" s="50"/>
      <c r="J142" s="53"/>
    </row>
    <row r="143" spans="2:10" ht="17.25" customHeight="1">
      <c r="B143" s="152" t="s">
        <v>38</v>
      </c>
      <c r="C143" s="152"/>
      <c r="D143" s="152"/>
      <c r="E143" s="152"/>
      <c r="F143" s="153"/>
      <c r="G143" s="161">
        <v>107244</v>
      </c>
      <c r="H143" s="162"/>
      <c r="I143" s="50"/>
      <c r="J143" s="53"/>
    </row>
    <row r="144" spans="2:10" ht="17.25" customHeight="1">
      <c r="B144" s="152" t="s">
        <v>28</v>
      </c>
      <c r="C144" s="152"/>
      <c r="D144" s="152"/>
      <c r="E144" s="152"/>
      <c r="F144" s="153"/>
      <c r="G144" s="161">
        <v>60152</v>
      </c>
      <c r="H144" s="162"/>
      <c r="I144" s="50"/>
      <c r="J144" s="53"/>
    </row>
    <row r="145" spans="2:13" ht="13.5" customHeight="1">
      <c r="B145" s="152" t="s">
        <v>29</v>
      </c>
      <c r="C145" s="152"/>
      <c r="D145" s="152"/>
      <c r="E145" s="152"/>
      <c r="F145" s="153"/>
      <c r="G145" s="161">
        <v>42836</v>
      </c>
      <c r="H145" s="162"/>
      <c r="I145" s="54"/>
      <c r="J145" s="53"/>
    </row>
    <row r="146" spans="2:13" ht="17.25" customHeight="1">
      <c r="B146" s="152" t="s">
        <v>48</v>
      </c>
      <c r="C146" s="152"/>
      <c r="D146" s="152"/>
      <c r="E146" s="152"/>
      <c r="F146" s="153"/>
      <c r="G146" s="161">
        <v>36662</v>
      </c>
      <c r="H146" s="162"/>
      <c r="I146" s="50"/>
      <c r="J146" s="53"/>
    </row>
    <row r="147" spans="2:13" ht="17.25" customHeight="1">
      <c r="B147" s="152" t="s">
        <v>22</v>
      </c>
      <c r="C147" s="152"/>
      <c r="D147" s="152"/>
      <c r="E147" s="152"/>
      <c r="F147" s="153"/>
      <c r="G147" s="161">
        <v>28957</v>
      </c>
      <c r="H147" s="162"/>
      <c r="I147" s="50"/>
      <c r="J147" s="53"/>
    </row>
    <row r="148" spans="2:13" ht="17.25" customHeight="1">
      <c r="B148" s="152" t="s">
        <v>23</v>
      </c>
      <c r="C148" s="152"/>
      <c r="D148" s="152"/>
      <c r="E148" s="152"/>
      <c r="F148" s="153"/>
      <c r="G148" s="161">
        <v>19821</v>
      </c>
      <c r="H148" s="162"/>
      <c r="I148" s="50"/>
      <c r="J148" s="53"/>
      <c r="L148"/>
    </row>
    <row r="149" spans="2:13" ht="18" customHeight="1" thickBot="1">
      <c r="B149" s="171" t="s">
        <v>35</v>
      </c>
      <c r="C149" s="171"/>
      <c r="D149" s="171"/>
      <c r="E149" s="171"/>
      <c r="F149" s="169"/>
      <c r="G149" s="172">
        <v>19440</v>
      </c>
      <c r="H149" s="173"/>
      <c r="I149" s="50"/>
      <c r="J149" s="53"/>
      <c r="L149"/>
    </row>
    <row r="150" spans="2:13" ht="17.25">
      <c r="G150" s="44"/>
      <c r="H150" s="44"/>
      <c r="I150" s="55"/>
      <c r="J150" s="55"/>
    </row>
    <row r="151" spans="2:13" ht="17.25">
      <c r="B151" s="43"/>
      <c r="C151" s="43"/>
      <c r="D151" s="43"/>
      <c r="E151" s="43"/>
      <c r="F151" s="43"/>
      <c r="G151" s="44"/>
      <c r="H151" s="44"/>
      <c r="I151" s="55"/>
      <c r="J151" s="55"/>
    </row>
    <row r="152" spans="2:13" ht="18" thickBot="1">
      <c r="B152" s="40" t="s">
        <v>7</v>
      </c>
      <c r="C152" s="41"/>
      <c r="D152" s="41"/>
      <c r="E152" s="41"/>
      <c r="F152" s="41"/>
      <c r="G152" s="41"/>
      <c r="H152" s="42" t="s">
        <v>12</v>
      </c>
      <c r="I152" s="55"/>
      <c r="J152" s="55"/>
    </row>
    <row r="153" spans="2:13" ht="15.75" thickBot="1">
      <c r="B153" s="137" t="s">
        <v>20</v>
      </c>
      <c r="C153" s="137"/>
      <c r="D153" s="137"/>
      <c r="E153" s="137"/>
      <c r="F153" s="138"/>
      <c r="G153" s="156" t="s">
        <v>6</v>
      </c>
      <c r="H153" s="156"/>
      <c r="I153" s="55"/>
      <c r="J153" s="55"/>
      <c r="K153"/>
      <c r="L153"/>
      <c r="M153"/>
    </row>
    <row r="154" spans="2:13" ht="17.25" customHeight="1">
      <c r="B154" s="157" t="s">
        <v>27</v>
      </c>
      <c r="C154" s="157"/>
      <c r="D154" s="157"/>
      <c r="E154" s="157"/>
      <c r="F154" s="158"/>
      <c r="G154" s="159">
        <v>10660</v>
      </c>
      <c r="H154" s="160"/>
      <c r="I154" s="56"/>
      <c r="J154" s="53"/>
      <c r="K154" s="52"/>
      <c r="L154"/>
      <c r="M154"/>
    </row>
    <row r="155" spans="2:13" ht="17.25" customHeight="1">
      <c r="B155" s="152" t="s">
        <v>26</v>
      </c>
      <c r="C155" s="152"/>
      <c r="D155" s="152"/>
      <c r="E155" s="152"/>
      <c r="F155" s="153"/>
      <c r="G155" s="161">
        <v>9890</v>
      </c>
      <c r="H155" s="162"/>
      <c r="I155" s="56"/>
      <c r="J155" s="53"/>
      <c r="K155" s="52"/>
      <c r="L155"/>
      <c r="M155"/>
    </row>
    <row r="156" spans="2:13" ht="17.25" customHeight="1">
      <c r="B156" s="152" t="s">
        <v>38</v>
      </c>
      <c r="C156" s="152"/>
      <c r="D156" s="152"/>
      <c r="E156" s="152"/>
      <c r="F156" s="153"/>
      <c r="G156" s="161">
        <v>9318</v>
      </c>
      <c r="H156" s="162"/>
      <c r="I156" s="56"/>
      <c r="J156" s="53"/>
      <c r="K156" s="52"/>
      <c r="L156"/>
      <c r="M156"/>
    </row>
    <row r="157" spans="2:13" ht="17.25">
      <c r="B157" s="152" t="s">
        <v>22</v>
      </c>
      <c r="C157" s="152"/>
      <c r="D157" s="152"/>
      <c r="E157" s="152"/>
      <c r="F157" s="153"/>
      <c r="G157" s="161">
        <v>7104</v>
      </c>
      <c r="H157" s="162"/>
      <c r="I157" s="56"/>
      <c r="J157" s="53"/>
      <c r="K157" s="52"/>
      <c r="L157"/>
      <c r="M157"/>
    </row>
    <row r="158" spans="2:13" ht="17.25" customHeight="1">
      <c r="B158" s="152" t="s">
        <v>21</v>
      </c>
      <c r="C158" s="152"/>
      <c r="D158" s="152"/>
      <c r="E158" s="152"/>
      <c r="F158" s="153"/>
      <c r="G158" s="161">
        <v>6484</v>
      </c>
      <c r="H158" s="162"/>
      <c r="I158" s="56"/>
      <c r="J158" s="53"/>
      <c r="K158" s="52"/>
      <c r="L158"/>
      <c r="M158"/>
    </row>
    <row r="159" spans="2:13" ht="17.25" customHeight="1">
      <c r="B159" s="152" t="s">
        <v>28</v>
      </c>
      <c r="C159" s="152"/>
      <c r="D159" s="152"/>
      <c r="E159" s="152"/>
      <c r="F159" s="153"/>
      <c r="G159" s="161">
        <v>3898</v>
      </c>
      <c r="H159" s="162"/>
      <c r="I159" s="57"/>
      <c r="J159" s="53"/>
      <c r="K159" s="52"/>
      <c r="L159"/>
      <c r="M159"/>
    </row>
    <row r="160" spans="2:13" ht="17.25" customHeight="1">
      <c r="B160" s="152" t="s">
        <v>29</v>
      </c>
      <c r="C160" s="152"/>
      <c r="D160" s="152"/>
      <c r="E160" s="152"/>
      <c r="F160" s="153"/>
      <c r="G160" s="161">
        <v>3368</v>
      </c>
      <c r="H160" s="162"/>
      <c r="I160" s="56"/>
      <c r="J160" s="53"/>
      <c r="K160" s="52"/>
      <c r="L160"/>
      <c r="M160"/>
    </row>
    <row r="161" spans="2:13" ht="17.25" customHeight="1">
      <c r="B161" s="152" t="s">
        <v>48</v>
      </c>
      <c r="C161" s="152"/>
      <c r="D161" s="152"/>
      <c r="E161" s="152"/>
      <c r="F161" s="153"/>
      <c r="G161" s="161">
        <v>3047</v>
      </c>
      <c r="H161" s="162"/>
      <c r="I161" s="56"/>
      <c r="J161" s="53"/>
      <c r="K161" s="52"/>
      <c r="L161"/>
      <c r="M161"/>
    </row>
    <row r="162" spans="2:13" ht="17.25">
      <c r="B162" s="152" t="s">
        <v>49</v>
      </c>
      <c r="C162" s="152"/>
      <c r="D162" s="152"/>
      <c r="E162" s="152"/>
      <c r="F162" s="153"/>
      <c r="G162" s="161">
        <v>1567</v>
      </c>
      <c r="H162" s="162"/>
      <c r="I162" s="56"/>
      <c r="J162" s="53"/>
      <c r="K162" s="52"/>
      <c r="L162"/>
      <c r="M162"/>
    </row>
    <row r="163" spans="2:13" ht="18" customHeight="1" thickBot="1">
      <c r="B163" s="171" t="s">
        <v>37</v>
      </c>
      <c r="C163" s="171"/>
      <c r="D163" s="171"/>
      <c r="E163" s="171"/>
      <c r="F163" s="169"/>
      <c r="G163" s="172">
        <v>1429</v>
      </c>
      <c r="H163" s="173"/>
      <c r="I163" s="56"/>
      <c r="J163" s="53"/>
      <c r="K163" s="52"/>
      <c r="L163"/>
      <c r="M163"/>
    </row>
    <row r="164" spans="2:13" ht="17.25">
      <c r="B164" s="43"/>
      <c r="C164" s="43"/>
      <c r="D164" s="43"/>
      <c r="E164" s="43"/>
      <c r="F164" s="43"/>
      <c r="G164" s="44"/>
      <c r="H164" s="44"/>
      <c r="I164" s="55"/>
      <c r="J164" s="55"/>
      <c r="L164"/>
      <c r="M164"/>
    </row>
    <row r="165" spans="2:13" ht="17.25">
      <c r="G165" s="44"/>
      <c r="H165" s="44"/>
      <c r="I165" s="2"/>
      <c r="J165" s="2"/>
    </row>
    <row r="166" spans="2:13" ht="18" thickBot="1">
      <c r="B166" s="40" t="s">
        <v>8</v>
      </c>
      <c r="C166" s="41"/>
      <c r="D166" s="41"/>
      <c r="E166" s="41"/>
      <c r="F166" s="41"/>
      <c r="G166" s="41"/>
      <c r="H166" s="42" t="s">
        <v>14</v>
      </c>
      <c r="I166" s="2"/>
      <c r="J166" s="55"/>
      <c r="K166"/>
    </row>
    <row r="167" spans="2:13" ht="15" customHeight="1" thickBot="1">
      <c r="B167" s="137" t="s">
        <v>20</v>
      </c>
      <c r="C167" s="137"/>
      <c r="D167" s="137"/>
      <c r="E167" s="137"/>
      <c r="F167" s="138"/>
      <c r="G167" s="156" t="s">
        <v>9</v>
      </c>
      <c r="H167" s="156"/>
      <c r="I167" s="2"/>
      <c r="J167" s="2"/>
    </row>
    <row r="168" spans="2:13" ht="17.25" customHeight="1">
      <c r="B168" s="157" t="s">
        <v>48</v>
      </c>
      <c r="C168" s="157"/>
      <c r="D168" s="157"/>
      <c r="E168" s="157"/>
      <c r="F168" s="158"/>
      <c r="G168" s="159">
        <v>876168795062</v>
      </c>
      <c r="H168" s="160"/>
      <c r="I168" s="58"/>
      <c r="J168" s="59"/>
    </row>
    <row r="169" spans="2:13" ht="17.25" customHeight="1">
      <c r="B169" s="152" t="s">
        <v>38</v>
      </c>
      <c r="C169" s="152"/>
      <c r="D169" s="152"/>
      <c r="E169" s="152"/>
      <c r="F169" s="153"/>
      <c r="G169" s="161">
        <v>613944949243</v>
      </c>
      <c r="H169" s="162"/>
      <c r="I169" s="58"/>
      <c r="J169" s="59"/>
    </row>
    <row r="170" spans="2:13" ht="17.25" customHeight="1">
      <c r="B170" s="152" t="s">
        <v>31</v>
      </c>
      <c r="C170" s="152"/>
      <c r="D170" s="152"/>
      <c r="E170" s="152"/>
      <c r="F170" s="153"/>
      <c r="G170" s="161">
        <v>552467763949</v>
      </c>
      <c r="H170" s="162"/>
      <c r="I170" s="58"/>
      <c r="J170" s="59"/>
    </row>
    <row r="171" spans="2:13" ht="17.25" customHeight="1">
      <c r="B171" s="152" t="s">
        <v>37</v>
      </c>
      <c r="C171" s="152"/>
      <c r="D171" s="152"/>
      <c r="E171" s="152"/>
      <c r="F171" s="153"/>
      <c r="G171" s="161">
        <v>514223835921</v>
      </c>
      <c r="H171" s="162"/>
      <c r="I171" s="58"/>
      <c r="J171" s="59"/>
    </row>
    <row r="172" spans="2:13" ht="17.25" customHeight="1">
      <c r="B172" s="152" t="s">
        <v>27</v>
      </c>
      <c r="C172" s="152"/>
      <c r="D172" s="152"/>
      <c r="E172" s="152"/>
      <c r="F172" s="153"/>
      <c r="G172" s="161">
        <v>310099420456</v>
      </c>
      <c r="H172" s="162"/>
      <c r="I172" s="60"/>
      <c r="J172" s="53"/>
    </row>
    <row r="173" spans="2:13" ht="17.25" customHeight="1">
      <c r="B173" s="152" t="s">
        <v>32</v>
      </c>
      <c r="C173" s="152"/>
      <c r="D173" s="152"/>
      <c r="E173" s="152"/>
      <c r="F173" s="153"/>
      <c r="G173" s="161">
        <v>295566594399</v>
      </c>
      <c r="H173" s="162"/>
      <c r="I173" s="58"/>
      <c r="J173" s="59"/>
    </row>
    <row r="174" spans="2:13" ht="17.25" customHeight="1">
      <c r="B174" s="152" t="s">
        <v>29</v>
      </c>
      <c r="C174" s="152"/>
      <c r="D174" s="152"/>
      <c r="E174" s="152"/>
      <c r="F174" s="153"/>
      <c r="G174" s="161">
        <v>220480123841</v>
      </c>
      <c r="H174" s="162"/>
      <c r="I174" s="58"/>
      <c r="J174" s="59"/>
    </row>
    <row r="175" spans="2:13" ht="17.25" customHeight="1">
      <c r="B175" s="152" t="s">
        <v>50</v>
      </c>
      <c r="C175" s="152"/>
      <c r="D175" s="152"/>
      <c r="E175" s="152"/>
      <c r="F175" s="153"/>
      <c r="G175" s="161">
        <v>211689200077</v>
      </c>
      <c r="H175" s="162"/>
      <c r="I175" s="58"/>
      <c r="J175" s="59"/>
    </row>
    <row r="176" spans="2:13" ht="17.25" customHeight="1">
      <c r="B176" s="152" t="s">
        <v>34</v>
      </c>
      <c r="C176" s="152"/>
      <c r="D176" s="152"/>
      <c r="E176" s="152"/>
      <c r="F176" s="153"/>
      <c r="G176" s="161">
        <v>185451325903</v>
      </c>
      <c r="H176" s="162"/>
      <c r="I176" s="58"/>
      <c r="J176" s="59"/>
    </row>
    <row r="177" spans="2:10" ht="18" customHeight="1" thickBot="1">
      <c r="B177" s="171" t="s">
        <v>51</v>
      </c>
      <c r="C177" s="171"/>
      <c r="D177" s="171"/>
      <c r="E177" s="171"/>
      <c r="F177" s="169"/>
      <c r="G177" s="172">
        <v>180663031701</v>
      </c>
      <c r="H177" s="173"/>
      <c r="I177" s="58"/>
      <c r="J177" s="59"/>
    </row>
    <row r="178" spans="2:10" ht="17.25">
      <c r="G178" s="44"/>
      <c r="H178" s="44"/>
      <c r="J178" s="51"/>
    </row>
    <row r="179" spans="2:10">
      <c r="B179" s="66"/>
      <c r="J179" s="51"/>
    </row>
  </sheetData>
  <dataConsolidate link="1"/>
  <mergeCells count="104">
    <mergeCell ref="B2:H2"/>
    <mergeCell ref="B3:H3"/>
    <mergeCell ref="I3:N3"/>
    <mergeCell ref="B11:D11"/>
    <mergeCell ref="B12:D12"/>
    <mergeCell ref="B13:D13"/>
    <mergeCell ref="B24:D24"/>
    <mergeCell ref="B25:D25"/>
    <mergeCell ref="B26:D26"/>
    <mergeCell ref="B27:D27"/>
    <mergeCell ref="B28:D28"/>
    <mergeCell ref="B33:D33"/>
    <mergeCell ref="B14:D14"/>
    <mergeCell ref="B15:D15"/>
    <mergeCell ref="B16:D16"/>
    <mergeCell ref="B17:D17"/>
    <mergeCell ref="B22:D22"/>
    <mergeCell ref="B23:D23"/>
    <mergeCell ref="B49:D49"/>
    <mergeCell ref="B50:D50"/>
    <mergeCell ref="B51:D51"/>
    <mergeCell ref="B52:D52"/>
    <mergeCell ref="B53:D53"/>
    <mergeCell ref="B54:D54"/>
    <mergeCell ref="B34:D34"/>
    <mergeCell ref="B35:D35"/>
    <mergeCell ref="B36:D36"/>
    <mergeCell ref="B37:D37"/>
    <mergeCell ref="B38:D38"/>
    <mergeCell ref="B39:D39"/>
    <mergeCell ref="B131:F131"/>
    <mergeCell ref="G131:H131"/>
    <mergeCell ref="B139:F139"/>
    <mergeCell ref="G139:H139"/>
    <mergeCell ref="B128:F128"/>
    <mergeCell ref="G128:H128"/>
    <mergeCell ref="B129:F129"/>
    <mergeCell ref="G129:H129"/>
    <mergeCell ref="B130:F130"/>
    <mergeCell ref="G130:H130"/>
    <mergeCell ref="B144:F144"/>
    <mergeCell ref="G144:H144"/>
    <mergeCell ref="B145:F145"/>
    <mergeCell ref="G145:H145"/>
    <mergeCell ref="B146:F146"/>
    <mergeCell ref="G146:H146"/>
    <mergeCell ref="B141:F141"/>
    <mergeCell ref="G141:H141"/>
    <mergeCell ref="B142:F142"/>
    <mergeCell ref="G142:H142"/>
    <mergeCell ref="B143:F143"/>
    <mergeCell ref="G143:H143"/>
    <mergeCell ref="B156:F156"/>
    <mergeCell ref="G156:H156"/>
    <mergeCell ref="B157:F157"/>
    <mergeCell ref="G157:H157"/>
    <mergeCell ref="B158:F158"/>
    <mergeCell ref="G158:H158"/>
    <mergeCell ref="B153:F153"/>
    <mergeCell ref="G153:H153"/>
    <mergeCell ref="B147:F147"/>
    <mergeCell ref="G147:H147"/>
    <mergeCell ref="B148:F148"/>
    <mergeCell ref="G148:H148"/>
    <mergeCell ref="B149:F149"/>
    <mergeCell ref="G149:H149"/>
    <mergeCell ref="B170:F170"/>
    <mergeCell ref="G170:H170"/>
    <mergeCell ref="B162:F162"/>
    <mergeCell ref="G162:H162"/>
    <mergeCell ref="B163:F163"/>
    <mergeCell ref="G163:H163"/>
    <mergeCell ref="B167:F167"/>
    <mergeCell ref="G167:H167"/>
    <mergeCell ref="B159:F159"/>
    <mergeCell ref="G159:H159"/>
    <mergeCell ref="B160:F160"/>
    <mergeCell ref="G160:H160"/>
    <mergeCell ref="B161:F161"/>
    <mergeCell ref="G161:H161"/>
    <mergeCell ref="B177:F177"/>
    <mergeCell ref="G177:H177"/>
    <mergeCell ref="G140:H140"/>
    <mergeCell ref="B140:F140"/>
    <mergeCell ref="B154:F154"/>
    <mergeCell ref="B155:F155"/>
    <mergeCell ref="G154:H154"/>
    <mergeCell ref="G155:H155"/>
    <mergeCell ref="B174:F174"/>
    <mergeCell ref="G174:H174"/>
    <mergeCell ref="B175:F175"/>
    <mergeCell ref="G175:H175"/>
    <mergeCell ref="B176:F176"/>
    <mergeCell ref="G176:H176"/>
    <mergeCell ref="B171:F171"/>
    <mergeCell ref="G171:H171"/>
    <mergeCell ref="B172:F172"/>
    <mergeCell ref="G172:H172"/>
    <mergeCell ref="B173:F173"/>
    <mergeCell ref="G173:H173"/>
    <mergeCell ref="B168:F168"/>
    <mergeCell ref="G168:H168"/>
    <mergeCell ref="B169:F169"/>
    <mergeCell ref="G169:H169"/>
  </mergeCells>
  <pageMargins left="0.70866141732283472" right="0.70866141732283472" top="0.15748031496062992" bottom="0.15748031496062992" header="0.31496062992125984" footer="0.11811023622047245"/>
  <pageSetup paperSize="9" scale="56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50" max="16383" man="1"/>
    <brk id="191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18785">
          <objectPr defaultSize="0" autoPict="0" dde="1">
            <anchor moveWithCells="1">
              <from>
                <xdr:col>0</xdr:col>
                <xdr:colOff>123825</xdr:colOff>
                <xdr:row>75</xdr:row>
                <xdr:rowOff>19050</xdr:rowOff>
              </from>
              <to>
                <xdr:col>1</xdr:col>
                <xdr:colOff>266700</xdr:colOff>
                <xdr:row>76</xdr:row>
                <xdr:rowOff>104775</xdr:rowOff>
              </to>
            </anchor>
          </objectPr>
        </oleObject>
      </mc:Choice>
      <mc:Fallback>
        <oleObject link="[1]!'!Январь2012!R1C2:R10C9'" oleUpdate="OLEUPDATE_ALWAYS" shapeId="118785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78">
    <pageSetUpPr fitToPage="1"/>
  </sheetPr>
  <dimension ref="B2:N179"/>
  <sheetViews>
    <sheetView topLeftCell="A55" workbookViewId="0">
      <selection activeCell="H40" sqref="H40"/>
    </sheetView>
  </sheetViews>
  <sheetFormatPr defaultRowHeight="13.5"/>
  <cols>
    <col min="1" max="1" width="3.42578125" style="88" customWidth="1"/>
    <col min="2" max="2" width="46.7109375" style="88" customWidth="1"/>
    <col min="3" max="6" width="18.42578125" style="88" customWidth="1"/>
    <col min="7" max="7" width="23.42578125" style="88" customWidth="1"/>
    <col min="8" max="8" width="18.42578125" style="88" customWidth="1"/>
    <col min="9" max="9" width="10.85546875" style="88" customWidth="1"/>
    <col min="10" max="10" width="10.5703125" style="88" customWidth="1"/>
    <col min="11" max="11" width="14.85546875" style="88" bestFit="1" customWidth="1"/>
    <col min="12" max="12" width="9.140625" style="88"/>
    <col min="13" max="13" width="23.42578125" style="88" customWidth="1"/>
    <col min="14" max="16384" width="9.140625" style="88"/>
  </cols>
  <sheetData>
    <row r="2" spans="2:14" s="1" customFormat="1" ht="20.25">
      <c r="B2" s="123" t="s">
        <v>15</v>
      </c>
      <c r="C2" s="123"/>
      <c r="D2" s="123"/>
      <c r="E2" s="123"/>
      <c r="F2" s="123"/>
      <c r="G2" s="123"/>
      <c r="H2" s="123"/>
    </row>
    <row r="3" spans="2:14" s="1" customFormat="1" ht="21" thickBot="1">
      <c r="B3" s="124">
        <v>41426</v>
      </c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</row>
    <row r="4" spans="2:14" s="1" customFormat="1" ht="18" thickTop="1"/>
    <row r="5" spans="2:14" s="1" customFormat="1" ht="17.25">
      <c r="B5" s="19"/>
      <c r="C5" s="19"/>
      <c r="D5" s="19"/>
      <c r="E5" s="19"/>
      <c r="F5" s="19"/>
      <c r="G5" s="19"/>
      <c r="H5" s="19"/>
    </row>
    <row r="6" spans="2:14" s="1" customFormat="1" ht="17.25">
      <c r="B6" s="20" t="s">
        <v>24</v>
      </c>
      <c r="C6" s="77">
        <f>B3</f>
        <v>41426</v>
      </c>
      <c r="D6" s="19"/>
      <c r="E6" s="19"/>
      <c r="F6" s="19"/>
      <c r="G6" s="19"/>
      <c r="H6" s="19"/>
    </row>
    <row r="7" spans="2:14" s="1" customFormat="1" ht="18" thickBot="1">
      <c r="B7" s="23"/>
      <c r="C7" s="23"/>
      <c r="D7" s="23"/>
      <c r="E7" s="23"/>
      <c r="F7" s="23"/>
      <c r="G7" s="23"/>
      <c r="H7" s="23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5" t="s">
        <v>70</v>
      </c>
      <c r="C10" s="16"/>
      <c r="D10" s="16"/>
      <c r="E10" s="16"/>
      <c r="F10" s="16"/>
      <c r="G10" s="16"/>
      <c r="H10" s="17" t="s">
        <v>13</v>
      </c>
    </row>
    <row r="11" spans="2:14" s="49" customFormat="1" ht="15.75" thickBot="1">
      <c r="B11" s="125" t="s">
        <v>18</v>
      </c>
      <c r="C11" s="125"/>
      <c r="D11" s="126"/>
      <c r="E11" s="85">
        <v>41425</v>
      </c>
      <c r="F11" s="85">
        <f>EDATE(E11,1)</f>
        <v>41455</v>
      </c>
      <c r="G11" s="48" t="s">
        <v>10</v>
      </c>
      <c r="H11" s="48" t="s">
        <v>11</v>
      </c>
      <c r="J11" s="90"/>
    </row>
    <row r="12" spans="2:14" s="89" customFormat="1" ht="17.25">
      <c r="B12" s="127" t="s">
        <v>0</v>
      </c>
      <c r="C12" s="127"/>
      <c r="D12" s="128"/>
      <c r="E12" s="103">
        <v>1043140</v>
      </c>
      <c r="F12" s="103">
        <v>1046639</v>
      </c>
      <c r="G12" s="13">
        <f>F12-E12</f>
        <v>3499</v>
      </c>
      <c r="H12" s="68">
        <f>F12/E12-1</f>
        <v>3.3542956841843274E-3</v>
      </c>
      <c r="I12" s="113"/>
      <c r="J12" s="90"/>
    </row>
    <row r="13" spans="2:14" s="89" customFormat="1" ht="17.25">
      <c r="B13" s="129" t="s">
        <v>1</v>
      </c>
      <c r="C13" s="129"/>
      <c r="D13" s="130"/>
      <c r="E13" s="103">
        <v>35202</v>
      </c>
      <c r="F13" s="103">
        <v>35309</v>
      </c>
      <c r="G13" s="13">
        <f t="shared" ref="G13:G18" si="0">F13-E13</f>
        <v>107</v>
      </c>
      <c r="H13" s="68">
        <f t="shared" ref="H13:H18" si="1">F13/E13-1</f>
        <v>3.0396000227259634E-3</v>
      </c>
      <c r="I13" s="113"/>
      <c r="J13" s="90"/>
    </row>
    <row r="14" spans="2:14" s="89" customFormat="1" ht="17.25">
      <c r="B14" s="129" t="s">
        <v>2</v>
      </c>
      <c r="C14" s="129"/>
      <c r="D14" s="130"/>
      <c r="E14" s="103">
        <v>12720</v>
      </c>
      <c r="F14" s="103">
        <v>12802</v>
      </c>
      <c r="G14" s="13">
        <f t="shared" si="0"/>
        <v>82</v>
      </c>
      <c r="H14" s="68">
        <f t="shared" si="1"/>
        <v>6.4465408805032265E-3</v>
      </c>
      <c r="I14" s="113"/>
    </row>
    <row r="15" spans="2:14" s="89" customFormat="1" ht="17.25">
      <c r="B15" s="131" t="s">
        <v>41</v>
      </c>
      <c r="C15" s="131"/>
      <c r="D15" s="132"/>
      <c r="E15" s="103">
        <v>2365</v>
      </c>
      <c r="F15" s="103">
        <v>2391</v>
      </c>
      <c r="G15" s="13">
        <f t="shared" si="0"/>
        <v>26</v>
      </c>
      <c r="H15" s="68">
        <f t="shared" si="1"/>
        <v>1.0993657505285359E-2</v>
      </c>
      <c r="I15" s="113"/>
    </row>
    <row r="16" spans="2:14" s="89" customFormat="1" ht="17.25">
      <c r="B16" s="133" t="s">
        <v>42</v>
      </c>
      <c r="C16" s="133"/>
      <c r="D16" s="134"/>
      <c r="E16" s="103">
        <v>10355</v>
      </c>
      <c r="F16" s="103">
        <v>10411</v>
      </c>
      <c r="G16" s="13">
        <f t="shared" si="0"/>
        <v>56</v>
      </c>
      <c r="H16" s="68">
        <f t="shared" si="1"/>
        <v>5.4080154514726253E-3</v>
      </c>
      <c r="I16" s="113"/>
    </row>
    <row r="17" spans="2:10" s="89" customFormat="1" ht="18" customHeight="1" thickBot="1">
      <c r="B17" s="135" t="s">
        <v>3</v>
      </c>
      <c r="C17" s="135"/>
      <c r="D17" s="136"/>
      <c r="E17" s="103">
        <v>12373</v>
      </c>
      <c r="F17" s="103">
        <v>12388</v>
      </c>
      <c r="G17" s="13">
        <f t="shared" si="0"/>
        <v>15</v>
      </c>
      <c r="H17" s="68">
        <f t="shared" si="1"/>
        <v>1.2123171421642986E-3</v>
      </c>
      <c r="I17" s="113"/>
      <c r="J17" s="90"/>
    </row>
    <row r="18" spans="2:10" s="79" customFormat="1" ht="18" thickBot="1">
      <c r="B18" s="69" t="s">
        <v>4</v>
      </c>
      <c r="C18" s="69"/>
      <c r="D18" s="70"/>
      <c r="E18" s="82">
        <v>1103435</v>
      </c>
      <c r="F18" s="82">
        <v>1107138</v>
      </c>
      <c r="G18" s="82">
        <f t="shared" si="0"/>
        <v>3703</v>
      </c>
      <c r="H18" s="78">
        <f t="shared" si="1"/>
        <v>3.3558841254808236E-3</v>
      </c>
      <c r="I18" s="113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5" t="s">
        <v>71</v>
      </c>
      <c r="C21" s="16"/>
      <c r="D21" s="16"/>
      <c r="E21" s="16"/>
      <c r="F21" s="16"/>
      <c r="G21" s="16"/>
      <c r="H21" s="17" t="s">
        <v>12</v>
      </c>
    </row>
    <row r="22" spans="2:10" s="89" customFormat="1" ht="15.75" thickBot="1">
      <c r="B22" s="125" t="s">
        <v>18</v>
      </c>
      <c r="C22" s="125"/>
      <c r="D22" s="126"/>
      <c r="E22" s="85">
        <f>E11</f>
        <v>41425</v>
      </c>
      <c r="F22" s="85">
        <f>F11</f>
        <v>41455</v>
      </c>
      <c r="G22" s="48" t="s">
        <v>10</v>
      </c>
      <c r="H22" s="48" t="s">
        <v>11</v>
      </c>
      <c r="J22" s="90"/>
    </row>
    <row r="23" spans="2:10" s="89" customFormat="1" ht="17.25">
      <c r="B23" s="127" t="s">
        <v>0</v>
      </c>
      <c r="C23" s="127"/>
      <c r="D23" s="128"/>
      <c r="E23" s="103">
        <v>877243</v>
      </c>
      <c r="F23" s="103">
        <v>880422</v>
      </c>
      <c r="G23" s="13">
        <f>F23-E23</f>
        <v>3179</v>
      </c>
      <c r="H23" s="68">
        <f>F23/E23-1</f>
        <v>3.6238533678809581E-3</v>
      </c>
      <c r="I23" s="114"/>
    </row>
    <row r="24" spans="2:10" s="89" customFormat="1" ht="17.25">
      <c r="B24" s="129" t="s">
        <v>1</v>
      </c>
      <c r="C24" s="129"/>
      <c r="D24" s="130"/>
      <c r="E24" s="103">
        <v>18978</v>
      </c>
      <c r="F24" s="103">
        <v>19092</v>
      </c>
      <c r="G24" s="13">
        <f t="shared" ref="G24:G29" si="2">F24-E24</f>
        <v>114</v>
      </c>
      <c r="H24" s="68">
        <f t="shared" ref="H24:H29" si="3">F24/E24-1</f>
        <v>6.0069554220676391E-3</v>
      </c>
      <c r="I24" s="114"/>
    </row>
    <row r="25" spans="2:10" s="89" customFormat="1" ht="17.25">
      <c r="B25" s="129" t="s">
        <v>2</v>
      </c>
      <c r="C25" s="129"/>
      <c r="D25" s="130"/>
      <c r="E25" s="103">
        <v>6424</v>
      </c>
      <c r="F25" s="103">
        <v>6588</v>
      </c>
      <c r="G25" s="13">
        <f t="shared" si="2"/>
        <v>164</v>
      </c>
      <c r="H25" s="68">
        <f t="shared" si="3"/>
        <v>2.5529265255292755E-2</v>
      </c>
      <c r="I25" s="114"/>
    </row>
    <row r="26" spans="2:10" s="89" customFormat="1" ht="17.25">
      <c r="B26" s="131" t="s">
        <v>41</v>
      </c>
      <c r="C26" s="131"/>
      <c r="D26" s="132"/>
      <c r="E26" s="103">
        <v>2317</v>
      </c>
      <c r="F26" s="103">
        <v>2334</v>
      </c>
      <c r="G26" s="13">
        <f t="shared" si="2"/>
        <v>17</v>
      </c>
      <c r="H26" s="68">
        <f t="shared" si="3"/>
        <v>7.3370738023306181E-3</v>
      </c>
      <c r="I26" s="114"/>
    </row>
    <row r="27" spans="2:10" s="89" customFormat="1" ht="17.25">
      <c r="B27" s="133" t="s">
        <v>42</v>
      </c>
      <c r="C27" s="133"/>
      <c r="D27" s="134"/>
      <c r="E27" s="103">
        <v>4107</v>
      </c>
      <c r="F27" s="103">
        <v>4254</v>
      </c>
      <c r="G27" s="13">
        <f t="shared" si="2"/>
        <v>147</v>
      </c>
      <c r="H27" s="68">
        <f t="shared" si="3"/>
        <v>3.5792549306062904E-2</v>
      </c>
      <c r="I27" s="114"/>
    </row>
    <row r="28" spans="2:10" s="89" customFormat="1" ht="18" thickBot="1">
      <c r="B28" s="135" t="s">
        <v>3</v>
      </c>
      <c r="C28" s="135"/>
      <c r="D28" s="136"/>
      <c r="E28" s="103">
        <v>5237</v>
      </c>
      <c r="F28" s="103">
        <v>5221</v>
      </c>
      <c r="G28" s="13">
        <f t="shared" si="2"/>
        <v>-16</v>
      </c>
      <c r="H28" s="68">
        <f t="shared" si="3"/>
        <v>-3.0551842658009809E-3</v>
      </c>
      <c r="I28" s="114"/>
    </row>
    <row r="29" spans="2:10" s="79" customFormat="1" ht="18" thickBot="1">
      <c r="B29" s="69" t="s">
        <v>4</v>
      </c>
      <c r="C29" s="69"/>
      <c r="D29" s="70"/>
      <c r="E29" s="82">
        <v>907882</v>
      </c>
      <c r="F29" s="82">
        <v>911323</v>
      </c>
      <c r="G29" s="82">
        <f t="shared" si="2"/>
        <v>3441</v>
      </c>
      <c r="H29" s="78">
        <f t="shared" si="3"/>
        <v>3.7901401283426672E-3</v>
      </c>
      <c r="I29" s="114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5" t="s">
        <v>16</v>
      </c>
      <c r="C32" s="16"/>
      <c r="D32" s="16"/>
      <c r="E32" s="16"/>
      <c r="F32" s="16"/>
      <c r="G32" s="16"/>
      <c r="H32" s="17" t="s">
        <v>14</v>
      </c>
    </row>
    <row r="33" spans="2:9" ht="15.75" thickBot="1">
      <c r="B33" s="137" t="s">
        <v>18</v>
      </c>
      <c r="C33" s="137"/>
      <c r="D33" s="138"/>
      <c r="E33" s="83">
        <f>EDATE(C6,-1)</f>
        <v>41395</v>
      </c>
      <c r="F33" s="83">
        <f>EDATE(E33,1)</f>
        <v>41426</v>
      </c>
      <c r="G33" s="18" t="s">
        <v>10</v>
      </c>
      <c r="H33" s="18" t="s">
        <v>11</v>
      </c>
    </row>
    <row r="34" spans="2:9" ht="17.25">
      <c r="B34" s="139" t="s">
        <v>0</v>
      </c>
      <c r="C34" s="139"/>
      <c r="D34" s="140"/>
      <c r="E34" s="97">
        <v>65030</v>
      </c>
      <c r="F34" s="97">
        <v>56777</v>
      </c>
      <c r="G34" s="13">
        <f t="shared" ref="G34:G40" si="4">F34-E34</f>
        <v>-8253</v>
      </c>
      <c r="H34" s="68">
        <f t="shared" ref="H34:H40" si="5">F34/E34-1</f>
        <v>-0.12691065662002154</v>
      </c>
    </row>
    <row r="35" spans="2:9" ht="17.25">
      <c r="B35" s="152" t="s">
        <v>1</v>
      </c>
      <c r="C35" s="152"/>
      <c r="D35" s="153"/>
      <c r="E35" s="97">
        <v>1347</v>
      </c>
      <c r="F35" s="97">
        <v>1390</v>
      </c>
      <c r="G35" s="13">
        <f t="shared" si="4"/>
        <v>43</v>
      </c>
      <c r="H35" s="68">
        <f t="shared" si="5"/>
        <v>3.1922791388270255E-2</v>
      </c>
    </row>
    <row r="36" spans="2:9" ht="17.25">
      <c r="B36" s="152" t="s">
        <v>2</v>
      </c>
      <c r="C36" s="152"/>
      <c r="D36" s="153"/>
      <c r="E36" s="97">
        <v>582</v>
      </c>
      <c r="F36" s="97">
        <v>590</v>
      </c>
      <c r="G36" s="13">
        <f t="shared" si="4"/>
        <v>8</v>
      </c>
      <c r="H36" s="68">
        <f t="shared" si="5"/>
        <v>1.3745704467353903E-2</v>
      </c>
    </row>
    <row r="37" spans="2:9" ht="17.25">
      <c r="B37" s="131" t="s">
        <v>41</v>
      </c>
      <c r="C37" s="131"/>
      <c r="D37" s="132"/>
      <c r="E37" s="97">
        <v>150</v>
      </c>
      <c r="F37" s="97">
        <v>146</v>
      </c>
      <c r="G37" s="13">
        <f t="shared" si="4"/>
        <v>-4</v>
      </c>
      <c r="H37" s="68">
        <f t="shared" si="5"/>
        <v>-2.6666666666666616E-2</v>
      </c>
    </row>
    <row r="38" spans="2:9" ht="17.25">
      <c r="B38" s="133" t="s">
        <v>42</v>
      </c>
      <c r="C38" s="133"/>
      <c r="D38" s="134"/>
      <c r="E38" s="97">
        <v>432</v>
      </c>
      <c r="F38" s="97">
        <v>444</v>
      </c>
      <c r="G38" s="13">
        <f t="shared" si="4"/>
        <v>12</v>
      </c>
      <c r="H38" s="68">
        <f t="shared" si="5"/>
        <v>2.7777777777777679E-2</v>
      </c>
    </row>
    <row r="39" spans="2:9" ht="18" thickBot="1">
      <c r="B39" s="154" t="s">
        <v>3</v>
      </c>
      <c r="C39" s="154"/>
      <c r="D39" s="155"/>
      <c r="E39" s="97">
        <v>766</v>
      </c>
      <c r="F39" s="97">
        <v>683</v>
      </c>
      <c r="G39" s="13">
        <f t="shared" si="4"/>
        <v>-83</v>
      </c>
      <c r="H39" s="68">
        <f t="shared" si="5"/>
        <v>-0.10835509138381205</v>
      </c>
    </row>
    <row r="40" spans="2:9" s="79" customFormat="1" ht="18" thickBot="1">
      <c r="B40" s="69" t="s">
        <v>4</v>
      </c>
      <c r="C40" s="69"/>
      <c r="D40" s="70"/>
      <c r="E40" s="82">
        <v>67725</v>
      </c>
      <c r="F40" s="82">
        <v>59440</v>
      </c>
      <c r="G40" s="82">
        <f t="shared" si="4"/>
        <v>-8285</v>
      </c>
      <c r="H40" s="78">
        <f t="shared" si="5"/>
        <v>-0.12233296419342932</v>
      </c>
      <c r="I40" s="88"/>
    </row>
    <row r="41" spans="2:9" ht="15">
      <c r="B41" s="6"/>
      <c r="C41" s="6"/>
      <c r="D41" s="6"/>
      <c r="E41" s="45"/>
      <c r="F41" s="45"/>
      <c r="G41" s="46"/>
      <c r="H41" s="47"/>
    </row>
    <row r="42" spans="2:9" ht="15">
      <c r="B42" s="10"/>
      <c r="C42" s="2"/>
      <c r="D42" s="2"/>
      <c r="E42" s="2"/>
      <c r="F42" s="2"/>
      <c r="G42" s="2"/>
    </row>
    <row r="43" spans="2:9" ht="17.25">
      <c r="B43" s="21"/>
      <c r="C43" s="21"/>
      <c r="D43" s="21"/>
      <c r="E43" s="21"/>
      <c r="F43" s="21"/>
      <c r="G43" s="21"/>
      <c r="H43" s="21"/>
    </row>
    <row r="44" spans="2:9" ht="17.25">
      <c r="B44" s="22" t="s">
        <v>17</v>
      </c>
      <c r="C44" s="21"/>
      <c r="D44" s="21"/>
      <c r="E44" s="21"/>
      <c r="F44" s="21"/>
      <c r="G44" s="21"/>
      <c r="H44" s="21"/>
    </row>
    <row r="45" spans="2:9" ht="18" thickBot="1">
      <c r="B45" s="24"/>
      <c r="C45" s="24"/>
      <c r="D45" s="24"/>
      <c r="E45" s="24"/>
      <c r="F45" s="24"/>
      <c r="G45" s="24"/>
      <c r="H45" s="24"/>
    </row>
    <row r="47" spans="2:9">
      <c r="F47" s="5"/>
    </row>
    <row r="48" spans="2:9" ht="18" thickBot="1">
      <c r="B48" s="14" t="s">
        <v>72</v>
      </c>
      <c r="C48" s="25"/>
      <c r="D48" s="25"/>
      <c r="E48" s="25"/>
      <c r="F48" s="25"/>
      <c r="G48" s="25"/>
      <c r="H48" s="26" t="s">
        <v>13</v>
      </c>
    </row>
    <row r="49" spans="2:8" ht="15.75" thickBot="1">
      <c r="B49" s="137" t="s">
        <v>18</v>
      </c>
      <c r="C49" s="137"/>
      <c r="D49" s="138"/>
      <c r="E49" s="85">
        <v>40178</v>
      </c>
      <c r="F49" s="85">
        <v>40543</v>
      </c>
      <c r="G49" s="85">
        <v>40908</v>
      </c>
      <c r="H49" s="85">
        <v>41274</v>
      </c>
    </row>
    <row r="50" spans="2:8" ht="17.25">
      <c r="B50" s="141" t="s">
        <v>0</v>
      </c>
      <c r="C50" s="141"/>
      <c r="D50" s="142"/>
      <c r="E50" s="99">
        <v>671475</v>
      </c>
      <c r="F50" s="99">
        <v>714295</v>
      </c>
      <c r="G50" s="99">
        <v>772175</v>
      </c>
      <c r="H50" s="99">
        <v>805549</v>
      </c>
    </row>
    <row r="51" spans="2:8" ht="17.25">
      <c r="B51" s="143" t="s">
        <v>1</v>
      </c>
      <c r="C51" s="143"/>
      <c r="D51" s="144"/>
      <c r="E51" s="100">
        <v>16364</v>
      </c>
      <c r="F51" s="100">
        <v>17170</v>
      </c>
      <c r="G51" s="100">
        <v>16850</v>
      </c>
      <c r="H51" s="100">
        <v>17821</v>
      </c>
    </row>
    <row r="52" spans="2:8" ht="17.25">
      <c r="B52" s="145" t="s">
        <v>2</v>
      </c>
      <c r="C52" s="145"/>
      <c r="D52" s="146"/>
      <c r="E52" s="102">
        <v>3851</v>
      </c>
      <c r="F52" s="102">
        <v>4295</v>
      </c>
      <c r="G52" s="102">
        <v>5058</v>
      </c>
      <c r="H52" s="102">
        <v>5876</v>
      </c>
    </row>
    <row r="53" spans="2:8" ht="18" thickBot="1">
      <c r="B53" s="147" t="s">
        <v>3</v>
      </c>
      <c r="C53" s="147"/>
      <c r="D53" s="148"/>
      <c r="E53" s="98">
        <v>4717</v>
      </c>
      <c r="F53" s="98">
        <v>5348</v>
      </c>
      <c r="G53" s="98">
        <v>5242</v>
      </c>
      <c r="H53" s="98">
        <v>5261</v>
      </c>
    </row>
    <row r="54" spans="2:8" s="81" customFormat="1" ht="18" thickBot="1">
      <c r="B54" s="149" t="s">
        <v>4</v>
      </c>
      <c r="C54" s="149"/>
      <c r="D54" s="150"/>
      <c r="E54" s="101">
        <v>696407</v>
      </c>
      <c r="F54" s="101">
        <v>741108</v>
      </c>
      <c r="G54" s="101">
        <v>799325</v>
      </c>
      <c r="H54" s="101">
        <v>834507</v>
      </c>
    </row>
    <row r="55" spans="2:8" ht="15">
      <c r="B55" s="6"/>
      <c r="C55" s="7"/>
      <c r="D55" s="8"/>
      <c r="E55" s="8"/>
      <c r="F55" s="8"/>
      <c r="G55" s="8"/>
      <c r="H55" s="8"/>
    </row>
    <row r="56" spans="2:8" ht="15">
      <c r="B56" s="6"/>
      <c r="C56" s="7"/>
      <c r="D56" s="8"/>
      <c r="E56" s="8"/>
      <c r="F56" s="8"/>
      <c r="G56" s="8"/>
      <c r="H56" s="8"/>
    </row>
    <row r="57" spans="2:8" ht="15">
      <c r="B57" s="6"/>
      <c r="C57" s="7"/>
      <c r="D57" s="8"/>
      <c r="E57" s="8"/>
      <c r="F57" s="8"/>
      <c r="G57" s="8"/>
      <c r="H57" s="8"/>
    </row>
    <row r="58" spans="2:8" ht="15">
      <c r="B58" s="6"/>
      <c r="C58" s="7"/>
      <c r="D58" s="8"/>
      <c r="E58" s="8"/>
      <c r="F58" s="8"/>
      <c r="G58" s="8"/>
      <c r="H58" s="8"/>
    </row>
    <row r="59" spans="2:8" ht="15">
      <c r="B59" s="6"/>
      <c r="C59" s="7"/>
      <c r="D59" s="8"/>
      <c r="E59" s="8"/>
      <c r="F59" s="8"/>
      <c r="G59" s="8"/>
      <c r="H59" s="8"/>
    </row>
    <row r="60" spans="2:8" ht="15">
      <c r="B60" s="6"/>
      <c r="C60" s="7"/>
      <c r="D60" s="8"/>
      <c r="E60" s="8"/>
      <c r="F60" s="8"/>
      <c r="G60" s="8"/>
      <c r="H60" s="8"/>
    </row>
    <row r="61" spans="2:8" ht="15">
      <c r="B61" s="6"/>
      <c r="C61" s="7"/>
      <c r="D61" s="8"/>
      <c r="E61" s="8"/>
      <c r="F61" s="8"/>
      <c r="G61" s="8"/>
      <c r="H61" s="8"/>
    </row>
    <row r="62" spans="2:8" ht="15">
      <c r="B62" s="6"/>
      <c r="C62" s="7"/>
      <c r="D62" s="8"/>
      <c r="E62" s="8"/>
      <c r="F62" s="8"/>
      <c r="G62" s="8"/>
      <c r="H62" s="8"/>
    </row>
    <row r="63" spans="2:8" ht="15">
      <c r="B63" s="6"/>
      <c r="C63" s="7"/>
      <c r="D63" s="8"/>
      <c r="E63" s="8"/>
      <c r="F63" s="8"/>
      <c r="G63" s="8"/>
      <c r="H63" s="8"/>
    </row>
    <row r="64" spans="2:8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4" t="s">
        <v>73</v>
      </c>
      <c r="C82" s="25"/>
      <c r="D82" s="25"/>
      <c r="E82" s="25"/>
      <c r="F82" s="25"/>
      <c r="G82" s="25"/>
      <c r="H82" s="26" t="s">
        <v>12</v>
      </c>
      <c r="I82"/>
      <c r="J82"/>
      <c r="K82"/>
    </row>
    <row r="83" spans="2:11" ht="15.75" thickBot="1">
      <c r="B83" s="34" t="s">
        <v>18</v>
      </c>
      <c r="C83" s="85">
        <f>EDATE(D83,-1)</f>
        <v>41302</v>
      </c>
      <c r="D83" s="85">
        <f>EDATE(E83,-1)</f>
        <v>41333</v>
      </c>
      <c r="E83" s="85">
        <f>EDATE(F83,-1)</f>
        <v>41363</v>
      </c>
      <c r="F83" s="85">
        <f>EDATE(G83,-1)</f>
        <v>41394</v>
      </c>
      <c r="G83" s="85">
        <f>EDATE(H83,-1)</f>
        <v>41424</v>
      </c>
      <c r="H83" s="85">
        <f>EDATE(E11,1)</f>
        <v>41455</v>
      </c>
      <c r="I83"/>
      <c r="J83"/>
    </row>
    <row r="84" spans="2:11" ht="16.5" customHeight="1">
      <c r="B84" s="27" t="s">
        <v>0</v>
      </c>
      <c r="C84" s="72">
        <v>833454</v>
      </c>
      <c r="D84" s="72">
        <v>830471</v>
      </c>
      <c r="E84" s="72">
        <v>871195</v>
      </c>
      <c r="F84" s="72">
        <v>875529</v>
      </c>
      <c r="G84" s="72">
        <v>877243</v>
      </c>
      <c r="H84" s="72">
        <v>880422</v>
      </c>
      <c r="I84"/>
    </row>
    <row r="85" spans="2:11" ht="16.5" customHeight="1">
      <c r="B85" s="28" t="s">
        <v>1</v>
      </c>
      <c r="C85" s="73">
        <v>18015</v>
      </c>
      <c r="D85" s="73">
        <v>17820</v>
      </c>
      <c r="E85" s="73">
        <v>18896</v>
      </c>
      <c r="F85" s="73">
        <v>18984</v>
      </c>
      <c r="G85" s="73">
        <v>18978</v>
      </c>
      <c r="H85" s="73">
        <v>19092</v>
      </c>
      <c r="I85"/>
    </row>
    <row r="86" spans="2:11" ht="16.5" customHeight="1">
      <c r="B86" s="29" t="s">
        <v>2</v>
      </c>
      <c r="C86" s="74">
        <v>6049</v>
      </c>
      <c r="D86" s="74">
        <v>6029</v>
      </c>
      <c r="E86" s="74">
        <v>6333</v>
      </c>
      <c r="F86" s="74">
        <v>6397</v>
      </c>
      <c r="G86" s="74">
        <v>6424</v>
      </c>
      <c r="H86" s="74">
        <v>6588</v>
      </c>
      <c r="I86"/>
    </row>
    <row r="87" spans="2:11" ht="16.5" customHeight="1" thickBot="1">
      <c r="B87" s="30" t="s">
        <v>3</v>
      </c>
      <c r="C87" s="75">
        <v>5288</v>
      </c>
      <c r="D87" s="75">
        <v>5099</v>
      </c>
      <c r="E87" s="75">
        <v>5433</v>
      </c>
      <c r="F87" s="75">
        <v>5262</v>
      </c>
      <c r="G87" s="75">
        <v>5237</v>
      </c>
      <c r="H87" s="75">
        <v>5221</v>
      </c>
      <c r="I87"/>
    </row>
    <row r="88" spans="2:11" s="81" customFormat="1" ht="18" thickBot="1">
      <c r="B88" s="111" t="s">
        <v>4</v>
      </c>
      <c r="C88" s="76">
        <v>862806</v>
      </c>
      <c r="D88" s="76">
        <v>859419</v>
      </c>
      <c r="E88" s="76">
        <v>901857</v>
      </c>
      <c r="F88" s="76">
        <v>906172</v>
      </c>
      <c r="G88" s="76">
        <v>907882</v>
      </c>
      <c r="H88" s="76">
        <v>911323</v>
      </c>
      <c r="I88" s="80"/>
    </row>
    <row r="89" spans="2:11">
      <c r="I89"/>
      <c r="J89"/>
    </row>
    <row r="90" spans="2:11">
      <c r="I90"/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31"/>
      <c r="C123" s="31"/>
      <c r="D123" s="31"/>
      <c r="E123" s="31"/>
      <c r="F123" s="31"/>
      <c r="G123" s="31"/>
      <c r="H123" s="31"/>
    </row>
    <row r="124" spans="2:8" ht="17.25">
      <c r="B124" s="32" t="s">
        <v>43</v>
      </c>
      <c r="C124" s="86">
        <v>41455</v>
      </c>
      <c r="D124" s="31"/>
      <c r="E124" s="31"/>
      <c r="F124" s="31"/>
      <c r="G124" s="31"/>
      <c r="H124" s="31"/>
    </row>
    <row r="125" spans="2:8" ht="18" thickBot="1">
      <c r="B125" s="33"/>
      <c r="C125" s="33"/>
      <c r="D125" s="33"/>
      <c r="E125" s="33"/>
      <c r="F125" s="33"/>
      <c r="G125" s="33"/>
      <c r="H125" s="33"/>
    </row>
    <row r="127" spans="2:8" ht="18" thickBot="1">
      <c r="B127" s="71"/>
      <c r="C127" s="87"/>
      <c r="D127" s="38"/>
      <c r="E127" s="38"/>
      <c r="F127" s="38"/>
      <c r="G127" s="38"/>
      <c r="H127" s="39" t="s">
        <v>13</v>
      </c>
    </row>
    <row r="128" spans="2:8" ht="30.75" customHeight="1" thickBot="1">
      <c r="B128" s="138" t="s">
        <v>44</v>
      </c>
      <c r="C128" s="151"/>
      <c r="D128" s="151"/>
      <c r="E128" s="151"/>
      <c r="F128" s="151"/>
      <c r="G128" s="163" t="s">
        <v>5</v>
      </c>
      <c r="H128" s="164"/>
    </row>
    <row r="129" spans="2:10" ht="18" customHeight="1">
      <c r="B129" s="140" t="s">
        <v>19</v>
      </c>
      <c r="C129" s="165"/>
      <c r="D129" s="165"/>
      <c r="E129" s="165"/>
      <c r="F129" s="165"/>
      <c r="G129" s="166">
        <v>725</v>
      </c>
      <c r="H129" s="167"/>
    </row>
    <row r="130" spans="2:10" ht="17.25" customHeight="1">
      <c r="B130" s="153" t="s">
        <v>39</v>
      </c>
      <c r="C130" s="168"/>
      <c r="D130" s="168"/>
      <c r="E130" s="168"/>
      <c r="F130" s="168"/>
      <c r="G130" s="166">
        <v>725</v>
      </c>
      <c r="H130" s="167"/>
    </row>
    <row r="131" spans="2:10" ht="18" customHeight="1" thickBot="1">
      <c r="B131" s="169" t="s">
        <v>40</v>
      </c>
      <c r="C131" s="170"/>
      <c r="D131" s="170"/>
      <c r="E131" s="170"/>
      <c r="F131" s="170"/>
      <c r="G131" s="180">
        <v>412</v>
      </c>
      <c r="H131" s="180"/>
    </row>
    <row r="134" spans="2:10" ht="17.25">
      <c r="B134" s="35"/>
      <c r="C134" s="35"/>
      <c r="D134" s="35"/>
      <c r="E134" s="35"/>
      <c r="F134" s="35"/>
      <c r="G134" s="35"/>
      <c r="H134" s="35"/>
    </row>
    <row r="135" spans="2:10" ht="17.25">
      <c r="B135" s="36" t="s">
        <v>25</v>
      </c>
      <c r="C135" s="35"/>
      <c r="D135" s="35"/>
      <c r="E135" s="36"/>
      <c r="F135" s="84">
        <f>C6</f>
        <v>41426</v>
      </c>
      <c r="G135" s="35"/>
      <c r="H135" s="35"/>
    </row>
    <row r="136" spans="2:10" ht="18" thickBot="1">
      <c r="B136" s="37"/>
      <c r="C136" s="37"/>
      <c r="D136" s="37"/>
      <c r="E136" s="37"/>
      <c r="F136" s="37"/>
      <c r="G136" s="37"/>
      <c r="H136" s="37"/>
    </row>
    <row r="138" spans="2:10" ht="18" thickBot="1">
      <c r="B138" s="40" t="s">
        <v>45</v>
      </c>
      <c r="C138" s="41"/>
      <c r="D138" s="41"/>
      <c r="E138" s="41"/>
      <c r="F138" s="41"/>
      <c r="G138" s="41"/>
      <c r="H138" s="42" t="s">
        <v>13</v>
      </c>
    </row>
    <row r="139" spans="2:10" ht="15.75" thickBot="1">
      <c r="B139" s="137" t="s">
        <v>20</v>
      </c>
      <c r="C139" s="137"/>
      <c r="D139" s="137"/>
      <c r="E139" s="137"/>
      <c r="F139" s="138"/>
      <c r="G139" s="156" t="s">
        <v>6</v>
      </c>
      <c r="H139" s="156"/>
      <c r="I139"/>
    </row>
    <row r="140" spans="2:10" ht="17.25" customHeight="1">
      <c r="B140" s="157" t="s">
        <v>21</v>
      </c>
      <c r="C140" s="157"/>
      <c r="D140" s="157"/>
      <c r="E140" s="157"/>
      <c r="F140" s="158"/>
      <c r="G140" s="159">
        <v>194378</v>
      </c>
      <c r="H140" s="160"/>
      <c r="I140" s="50"/>
      <c r="J140" s="53"/>
    </row>
    <row r="141" spans="2:10" ht="17.25">
      <c r="B141" s="152" t="s">
        <v>52</v>
      </c>
      <c r="C141" s="152"/>
      <c r="D141" s="152"/>
      <c r="E141" s="152"/>
      <c r="F141" s="153"/>
      <c r="G141" s="161">
        <v>193723</v>
      </c>
      <c r="H141" s="162"/>
      <c r="I141" s="50"/>
      <c r="J141" s="53"/>
    </row>
    <row r="142" spans="2:10" ht="17.25" customHeight="1">
      <c r="B142" s="152" t="s">
        <v>27</v>
      </c>
      <c r="C142" s="152"/>
      <c r="D142" s="152"/>
      <c r="E142" s="152"/>
      <c r="F142" s="153"/>
      <c r="G142" s="161">
        <v>120850</v>
      </c>
      <c r="H142" s="162"/>
      <c r="I142" s="50"/>
      <c r="J142" s="53"/>
    </row>
    <row r="143" spans="2:10" ht="17.25" customHeight="1">
      <c r="B143" s="152" t="s">
        <v>38</v>
      </c>
      <c r="C143" s="152"/>
      <c r="D143" s="152"/>
      <c r="E143" s="152"/>
      <c r="F143" s="153"/>
      <c r="G143" s="161">
        <v>107746</v>
      </c>
      <c r="H143" s="162"/>
      <c r="I143" s="50"/>
      <c r="J143" s="53"/>
    </row>
    <row r="144" spans="2:10" ht="17.25" customHeight="1">
      <c r="B144" s="152" t="s">
        <v>28</v>
      </c>
      <c r="C144" s="152"/>
      <c r="D144" s="152"/>
      <c r="E144" s="152"/>
      <c r="F144" s="153"/>
      <c r="G144" s="161">
        <v>60249</v>
      </c>
      <c r="H144" s="162"/>
      <c r="I144" s="50"/>
      <c r="J144" s="53"/>
    </row>
    <row r="145" spans="2:13" ht="13.5" customHeight="1">
      <c r="B145" s="152" t="s">
        <v>29</v>
      </c>
      <c r="C145" s="152"/>
      <c r="D145" s="152"/>
      <c r="E145" s="152"/>
      <c r="F145" s="153"/>
      <c r="G145" s="161">
        <v>43098</v>
      </c>
      <c r="H145" s="162"/>
      <c r="I145" s="54"/>
      <c r="J145" s="53"/>
    </row>
    <row r="146" spans="2:13" ht="17.25" customHeight="1">
      <c r="B146" s="152" t="s">
        <v>48</v>
      </c>
      <c r="C146" s="152"/>
      <c r="D146" s="152"/>
      <c r="E146" s="152"/>
      <c r="F146" s="153"/>
      <c r="G146" s="161">
        <v>37265</v>
      </c>
      <c r="H146" s="162"/>
      <c r="I146" s="50"/>
      <c r="J146" s="53"/>
    </row>
    <row r="147" spans="2:13" ht="17.25" customHeight="1">
      <c r="B147" s="152" t="s">
        <v>22</v>
      </c>
      <c r="C147" s="152"/>
      <c r="D147" s="152"/>
      <c r="E147" s="152"/>
      <c r="F147" s="153"/>
      <c r="G147" s="161">
        <v>29011</v>
      </c>
      <c r="H147" s="162"/>
      <c r="I147" s="50"/>
      <c r="J147" s="53"/>
    </row>
    <row r="148" spans="2:13" ht="17.25" customHeight="1">
      <c r="B148" s="152" t="s">
        <v>23</v>
      </c>
      <c r="C148" s="152"/>
      <c r="D148" s="152"/>
      <c r="E148" s="152"/>
      <c r="F148" s="153"/>
      <c r="G148" s="161">
        <v>19863</v>
      </c>
      <c r="H148" s="162"/>
      <c r="I148" s="50"/>
      <c r="J148" s="53"/>
      <c r="L148"/>
    </row>
    <row r="149" spans="2:13" ht="18" customHeight="1" thickBot="1">
      <c r="B149" s="171" t="s">
        <v>35</v>
      </c>
      <c r="C149" s="171"/>
      <c r="D149" s="171"/>
      <c r="E149" s="171"/>
      <c r="F149" s="169"/>
      <c r="G149" s="172">
        <v>19452</v>
      </c>
      <c r="H149" s="173"/>
      <c r="I149" s="50"/>
      <c r="J149" s="53"/>
      <c r="L149"/>
    </row>
    <row r="150" spans="2:13" ht="17.25">
      <c r="G150" s="44"/>
      <c r="H150" s="44"/>
      <c r="I150" s="55"/>
      <c r="J150" s="55"/>
    </row>
    <row r="151" spans="2:13" ht="17.25">
      <c r="B151" s="43"/>
      <c r="C151" s="43"/>
      <c r="D151" s="43"/>
      <c r="E151" s="43"/>
      <c r="F151" s="43"/>
      <c r="G151" s="44"/>
      <c r="H151" s="44"/>
      <c r="I151" s="55"/>
      <c r="J151" s="55"/>
    </row>
    <row r="152" spans="2:13" ht="18" thickBot="1">
      <c r="B152" s="40" t="s">
        <v>7</v>
      </c>
      <c r="C152" s="41"/>
      <c r="D152" s="41"/>
      <c r="E152" s="41"/>
      <c r="F152" s="41"/>
      <c r="G152" s="41"/>
      <c r="H152" s="42" t="s">
        <v>12</v>
      </c>
      <c r="I152" s="55"/>
      <c r="J152" s="55"/>
    </row>
    <row r="153" spans="2:13" ht="15.75" thickBot="1">
      <c r="B153" s="137" t="s">
        <v>20</v>
      </c>
      <c r="C153" s="137"/>
      <c r="D153" s="137"/>
      <c r="E153" s="137"/>
      <c r="F153" s="138"/>
      <c r="G153" s="156" t="s">
        <v>6</v>
      </c>
      <c r="H153" s="156"/>
      <c r="I153" s="55"/>
      <c r="J153" s="55"/>
      <c r="K153"/>
      <c r="L153"/>
      <c r="M153"/>
    </row>
    <row r="154" spans="2:13" ht="17.25" customHeight="1">
      <c r="B154" s="157" t="s">
        <v>52</v>
      </c>
      <c r="C154" s="157"/>
      <c r="D154" s="157"/>
      <c r="E154" s="157"/>
      <c r="F154" s="158"/>
      <c r="G154" s="159">
        <v>10652</v>
      </c>
      <c r="H154" s="160"/>
      <c r="I154" s="56"/>
      <c r="J154" s="53"/>
      <c r="K154" s="52"/>
      <c r="L154"/>
      <c r="M154"/>
    </row>
    <row r="155" spans="2:13" ht="17.25" customHeight="1">
      <c r="B155" s="152" t="s">
        <v>27</v>
      </c>
      <c r="C155" s="152"/>
      <c r="D155" s="152"/>
      <c r="E155" s="152"/>
      <c r="F155" s="153"/>
      <c r="G155" s="161">
        <v>10195</v>
      </c>
      <c r="H155" s="162"/>
      <c r="I155" s="56"/>
      <c r="J155" s="53"/>
      <c r="K155" s="52"/>
      <c r="L155"/>
      <c r="M155"/>
    </row>
    <row r="156" spans="2:13" ht="17.25" customHeight="1">
      <c r="B156" s="152" t="s">
        <v>38</v>
      </c>
      <c r="C156" s="152"/>
      <c r="D156" s="152"/>
      <c r="E156" s="152"/>
      <c r="F156" s="153"/>
      <c r="G156" s="161">
        <v>9055</v>
      </c>
      <c r="H156" s="162"/>
      <c r="I156" s="56"/>
      <c r="J156" s="53"/>
      <c r="K156" s="52"/>
      <c r="L156"/>
      <c r="M156"/>
    </row>
    <row r="157" spans="2:13" ht="17.25">
      <c r="B157" s="152" t="s">
        <v>21</v>
      </c>
      <c r="C157" s="152"/>
      <c r="D157" s="152"/>
      <c r="E157" s="152"/>
      <c r="F157" s="153"/>
      <c r="G157" s="161">
        <v>6110</v>
      </c>
      <c r="H157" s="162"/>
      <c r="I157" s="56"/>
      <c r="J157" s="53"/>
      <c r="K157" s="52"/>
      <c r="L157"/>
      <c r="M157"/>
    </row>
    <row r="158" spans="2:13" ht="17.25" customHeight="1">
      <c r="B158" s="152" t="s">
        <v>28</v>
      </c>
      <c r="C158" s="152"/>
      <c r="D158" s="152"/>
      <c r="E158" s="152"/>
      <c r="F158" s="153"/>
      <c r="G158" s="161">
        <v>3795</v>
      </c>
      <c r="H158" s="162"/>
      <c r="I158" s="56"/>
      <c r="J158" s="53"/>
      <c r="K158" s="52"/>
      <c r="L158"/>
      <c r="M158"/>
    </row>
    <row r="159" spans="2:13" ht="17.25" customHeight="1">
      <c r="B159" s="152" t="s">
        <v>29</v>
      </c>
      <c r="C159" s="152"/>
      <c r="D159" s="152"/>
      <c r="E159" s="152"/>
      <c r="F159" s="153"/>
      <c r="G159" s="161">
        <v>3050</v>
      </c>
      <c r="H159" s="162"/>
      <c r="I159" s="57"/>
      <c r="J159" s="53"/>
      <c r="K159" s="52"/>
      <c r="L159"/>
      <c r="M159"/>
    </row>
    <row r="160" spans="2:13" ht="17.25" customHeight="1">
      <c r="B160" s="152" t="s">
        <v>48</v>
      </c>
      <c r="C160" s="152"/>
      <c r="D160" s="152"/>
      <c r="E160" s="152"/>
      <c r="F160" s="153"/>
      <c r="G160" s="161">
        <v>3011</v>
      </c>
      <c r="H160" s="162"/>
      <c r="I160" s="56"/>
      <c r="J160" s="53"/>
      <c r="K160" s="52"/>
      <c r="L160"/>
      <c r="M160"/>
    </row>
    <row r="161" spans="2:13" ht="17.25" customHeight="1">
      <c r="B161" s="152" t="s">
        <v>22</v>
      </c>
      <c r="C161" s="152"/>
      <c r="D161" s="152"/>
      <c r="E161" s="152"/>
      <c r="F161" s="153"/>
      <c r="G161" s="161">
        <v>1627</v>
      </c>
      <c r="H161" s="162"/>
      <c r="I161" s="56"/>
      <c r="J161" s="53"/>
      <c r="K161" s="52"/>
      <c r="L161"/>
      <c r="M161"/>
    </row>
    <row r="162" spans="2:13" ht="17.25">
      <c r="B162" s="152" t="s">
        <v>49</v>
      </c>
      <c r="C162" s="152"/>
      <c r="D162" s="152"/>
      <c r="E162" s="152"/>
      <c r="F162" s="153"/>
      <c r="G162" s="161">
        <v>1430</v>
      </c>
      <c r="H162" s="162"/>
      <c r="I162" s="56"/>
      <c r="J162" s="53"/>
      <c r="K162" s="52"/>
      <c r="L162"/>
      <c r="M162"/>
    </row>
    <row r="163" spans="2:13" ht="18" customHeight="1" thickBot="1">
      <c r="B163" s="171" t="s">
        <v>23</v>
      </c>
      <c r="C163" s="171"/>
      <c r="D163" s="171"/>
      <c r="E163" s="171"/>
      <c r="F163" s="169"/>
      <c r="G163" s="172">
        <v>1328</v>
      </c>
      <c r="H163" s="173"/>
      <c r="I163" s="56"/>
      <c r="J163" s="53"/>
      <c r="K163" s="52"/>
      <c r="L163"/>
      <c r="M163"/>
    </row>
    <row r="164" spans="2:13" ht="17.25">
      <c r="B164" s="43"/>
      <c r="C164" s="43"/>
      <c r="D164" s="43"/>
      <c r="E164" s="43"/>
      <c r="F164" s="43"/>
      <c r="G164" s="44"/>
      <c r="H164" s="44"/>
      <c r="I164" s="55"/>
      <c r="J164" s="55"/>
      <c r="L164"/>
      <c r="M164"/>
    </row>
    <row r="165" spans="2:13" ht="17.25">
      <c r="G165" s="44"/>
      <c r="H165" s="44"/>
      <c r="I165" s="2"/>
      <c r="J165" s="2"/>
    </row>
    <row r="166" spans="2:13" ht="18" thickBot="1">
      <c r="B166" s="40" t="s">
        <v>8</v>
      </c>
      <c r="C166" s="41"/>
      <c r="D166" s="41"/>
      <c r="E166" s="41"/>
      <c r="F166" s="41"/>
      <c r="G166" s="41"/>
      <c r="H166" s="42" t="s">
        <v>14</v>
      </c>
      <c r="I166" s="2"/>
      <c r="J166" s="55"/>
      <c r="K166"/>
    </row>
    <row r="167" spans="2:13" ht="15" customHeight="1" thickBot="1">
      <c r="B167" s="137" t="s">
        <v>20</v>
      </c>
      <c r="C167" s="137"/>
      <c r="D167" s="137"/>
      <c r="E167" s="137"/>
      <c r="F167" s="138"/>
      <c r="G167" s="156" t="s">
        <v>9</v>
      </c>
      <c r="H167" s="156"/>
      <c r="I167" s="2"/>
      <c r="J167" s="2"/>
    </row>
    <row r="168" spans="2:13" ht="17.25" customHeight="1">
      <c r="B168" s="157" t="s">
        <v>48</v>
      </c>
      <c r="C168" s="157"/>
      <c r="D168" s="157"/>
      <c r="E168" s="157"/>
      <c r="F168" s="158"/>
      <c r="G168" s="159">
        <v>862483558677</v>
      </c>
      <c r="H168" s="160"/>
      <c r="I168" s="58"/>
      <c r="J168" s="59"/>
    </row>
    <row r="169" spans="2:13" ht="17.25" customHeight="1">
      <c r="B169" s="152" t="s">
        <v>52</v>
      </c>
      <c r="C169" s="152"/>
      <c r="D169" s="152"/>
      <c r="E169" s="152"/>
      <c r="F169" s="153"/>
      <c r="G169" s="161">
        <v>826941700427</v>
      </c>
      <c r="H169" s="162"/>
      <c r="I169" s="58"/>
      <c r="J169" s="59"/>
    </row>
    <row r="170" spans="2:13" ht="17.25" customHeight="1">
      <c r="B170" s="152" t="s">
        <v>31</v>
      </c>
      <c r="C170" s="152"/>
      <c r="D170" s="152"/>
      <c r="E170" s="152"/>
      <c r="F170" s="153"/>
      <c r="G170" s="161">
        <v>733781126907</v>
      </c>
      <c r="H170" s="162"/>
      <c r="I170" s="58"/>
      <c r="J170" s="59"/>
    </row>
    <row r="171" spans="2:13" ht="17.25" customHeight="1">
      <c r="B171" s="152" t="s">
        <v>38</v>
      </c>
      <c r="C171" s="152"/>
      <c r="D171" s="152"/>
      <c r="E171" s="152"/>
      <c r="F171" s="153"/>
      <c r="G171" s="161">
        <v>619837939238</v>
      </c>
      <c r="H171" s="162"/>
      <c r="I171" s="58"/>
      <c r="J171" s="59"/>
    </row>
    <row r="172" spans="2:13" ht="17.25" customHeight="1">
      <c r="B172" s="152" t="s">
        <v>27</v>
      </c>
      <c r="C172" s="152"/>
      <c r="D172" s="152"/>
      <c r="E172" s="152"/>
      <c r="F172" s="153"/>
      <c r="G172" s="161">
        <v>303207894055</v>
      </c>
      <c r="H172" s="162"/>
      <c r="I172" s="60"/>
      <c r="J172" s="53"/>
    </row>
    <row r="173" spans="2:13" ht="17.25" customHeight="1">
      <c r="B173" s="152" t="s">
        <v>32</v>
      </c>
      <c r="C173" s="152"/>
      <c r="D173" s="152"/>
      <c r="E173" s="152"/>
      <c r="F173" s="153"/>
      <c r="G173" s="161">
        <v>270697785194</v>
      </c>
      <c r="H173" s="162"/>
      <c r="I173" s="58"/>
      <c r="J173" s="59"/>
    </row>
    <row r="174" spans="2:13" ht="17.25" customHeight="1">
      <c r="B174" s="152" t="s">
        <v>29</v>
      </c>
      <c r="C174" s="152"/>
      <c r="D174" s="152"/>
      <c r="E174" s="152"/>
      <c r="F174" s="153"/>
      <c r="G174" s="161">
        <v>215545584987</v>
      </c>
      <c r="H174" s="162"/>
      <c r="I174" s="58"/>
      <c r="J174" s="59"/>
    </row>
    <row r="175" spans="2:13" ht="17.25" customHeight="1">
      <c r="B175" s="152" t="s">
        <v>34</v>
      </c>
      <c r="C175" s="152"/>
      <c r="D175" s="152"/>
      <c r="E175" s="152"/>
      <c r="F175" s="153"/>
      <c r="G175" s="161">
        <v>213552853611</v>
      </c>
      <c r="H175" s="162"/>
      <c r="I175" s="58"/>
      <c r="J175" s="59"/>
    </row>
    <row r="176" spans="2:13" ht="17.25" customHeight="1">
      <c r="B176" s="152" t="s">
        <v>53</v>
      </c>
      <c r="C176" s="152"/>
      <c r="D176" s="152"/>
      <c r="E176" s="152"/>
      <c r="F176" s="153"/>
      <c r="G176" s="161">
        <v>198910603629</v>
      </c>
      <c r="H176" s="162"/>
      <c r="I176" s="58"/>
      <c r="J176" s="59"/>
    </row>
    <row r="177" spans="2:10" ht="18" customHeight="1" thickBot="1">
      <c r="B177" s="171" t="s">
        <v>50</v>
      </c>
      <c r="C177" s="171"/>
      <c r="D177" s="171"/>
      <c r="E177" s="171"/>
      <c r="F177" s="169"/>
      <c r="G177" s="172">
        <v>192815149652</v>
      </c>
      <c r="H177" s="173"/>
      <c r="I177" s="58"/>
      <c r="J177" s="59"/>
    </row>
    <row r="178" spans="2:10" ht="17.25">
      <c r="G178" s="44"/>
      <c r="H178" s="44"/>
      <c r="J178" s="51"/>
    </row>
    <row r="179" spans="2:10">
      <c r="B179" s="66"/>
      <c r="J179" s="51"/>
    </row>
  </sheetData>
  <dataConsolidate link="1"/>
  <mergeCells count="104">
    <mergeCell ref="G173:H173"/>
    <mergeCell ref="G174:H174"/>
    <mergeCell ref="G175:H175"/>
    <mergeCell ref="G176:H176"/>
    <mergeCell ref="G177:H177"/>
    <mergeCell ref="G168:H168"/>
    <mergeCell ref="G169:H169"/>
    <mergeCell ref="G170:H170"/>
    <mergeCell ref="G171:H171"/>
    <mergeCell ref="G172:H172"/>
    <mergeCell ref="B173:F173"/>
    <mergeCell ref="B174:F174"/>
    <mergeCell ref="B175:F175"/>
    <mergeCell ref="B176:F176"/>
    <mergeCell ref="B177:F177"/>
    <mergeCell ref="B168:F168"/>
    <mergeCell ref="B169:F169"/>
    <mergeCell ref="B170:F170"/>
    <mergeCell ref="B171:F171"/>
    <mergeCell ref="B172:F172"/>
    <mergeCell ref="G159:H159"/>
    <mergeCell ref="G160:H160"/>
    <mergeCell ref="G161:H161"/>
    <mergeCell ref="G162:H162"/>
    <mergeCell ref="G163:H163"/>
    <mergeCell ref="G154:H154"/>
    <mergeCell ref="G155:H155"/>
    <mergeCell ref="G156:H156"/>
    <mergeCell ref="G157:H157"/>
    <mergeCell ref="G158:H158"/>
    <mergeCell ref="B149:F149"/>
    <mergeCell ref="B159:F159"/>
    <mergeCell ref="B160:F160"/>
    <mergeCell ref="B161:F161"/>
    <mergeCell ref="B162:F162"/>
    <mergeCell ref="B163:F163"/>
    <mergeCell ref="B154:F154"/>
    <mergeCell ref="B155:F155"/>
    <mergeCell ref="B156:F156"/>
    <mergeCell ref="B157:F157"/>
    <mergeCell ref="B158:F158"/>
    <mergeCell ref="B140:F140"/>
    <mergeCell ref="B141:F141"/>
    <mergeCell ref="B142:F142"/>
    <mergeCell ref="B143:F143"/>
    <mergeCell ref="B144:F144"/>
    <mergeCell ref="B145:F145"/>
    <mergeCell ref="B146:F146"/>
    <mergeCell ref="B147:F147"/>
    <mergeCell ref="B148:F148"/>
    <mergeCell ref="B2:H2"/>
    <mergeCell ref="B3:H3"/>
    <mergeCell ref="I3:N3"/>
    <mergeCell ref="B11:D11"/>
    <mergeCell ref="B12:D12"/>
    <mergeCell ref="B13:D13"/>
    <mergeCell ref="B24:D24"/>
    <mergeCell ref="B25:D25"/>
    <mergeCell ref="B26:D26"/>
    <mergeCell ref="B27:D27"/>
    <mergeCell ref="B28:D28"/>
    <mergeCell ref="B33:D33"/>
    <mergeCell ref="B14:D14"/>
    <mergeCell ref="B15:D15"/>
    <mergeCell ref="B16:D16"/>
    <mergeCell ref="B17:D17"/>
    <mergeCell ref="B22:D22"/>
    <mergeCell ref="B23:D23"/>
    <mergeCell ref="B54:D54"/>
    <mergeCell ref="B34:D34"/>
    <mergeCell ref="B35:D35"/>
    <mergeCell ref="B36:D36"/>
    <mergeCell ref="B37:D37"/>
    <mergeCell ref="B38:D38"/>
    <mergeCell ref="B39:D39"/>
    <mergeCell ref="B49:D49"/>
    <mergeCell ref="B50:D50"/>
    <mergeCell ref="B51:D51"/>
    <mergeCell ref="B52:D52"/>
    <mergeCell ref="B53:D53"/>
    <mergeCell ref="B128:F128"/>
    <mergeCell ref="G128:H128"/>
    <mergeCell ref="B129:F129"/>
    <mergeCell ref="G129:H129"/>
    <mergeCell ref="B130:F130"/>
    <mergeCell ref="G130:H130"/>
    <mergeCell ref="B153:F153"/>
    <mergeCell ref="G153:H153"/>
    <mergeCell ref="B167:F167"/>
    <mergeCell ref="G167:H167"/>
    <mergeCell ref="B131:F131"/>
    <mergeCell ref="G131:H131"/>
    <mergeCell ref="B139:F139"/>
    <mergeCell ref="G139:H139"/>
    <mergeCell ref="G140:H140"/>
    <mergeCell ref="G141:H141"/>
    <mergeCell ref="G142:H142"/>
    <mergeCell ref="G143:H143"/>
    <mergeCell ref="G144:H144"/>
    <mergeCell ref="G145:H145"/>
    <mergeCell ref="G146:H146"/>
    <mergeCell ref="G147:H147"/>
    <mergeCell ref="G148:H148"/>
    <mergeCell ref="G149:H149"/>
  </mergeCells>
  <pageMargins left="0.70866141732283472" right="0.70866141732283472" top="0.15748031496062992" bottom="0.15748031496062992" header="0.31496062992125984" footer="0.11811023622047245"/>
  <pageSetup paperSize="9" scale="56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50" max="16383" man="1"/>
    <brk id="191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19809">
          <objectPr defaultSize="0" autoPict="0" dde="1">
            <anchor moveWithCells="1">
              <from>
                <xdr:col>0</xdr:col>
                <xdr:colOff>123825</xdr:colOff>
                <xdr:row>75</xdr:row>
                <xdr:rowOff>19050</xdr:rowOff>
              </from>
              <to>
                <xdr:col>1</xdr:col>
                <xdr:colOff>266700</xdr:colOff>
                <xdr:row>76</xdr:row>
                <xdr:rowOff>104775</xdr:rowOff>
              </to>
            </anchor>
          </objectPr>
        </oleObject>
      </mc:Choice>
      <mc:Fallback>
        <oleObject link="[1]!'!Январь2012!R1C2:R10C9'" oleUpdate="OLEUPDATE_ALWAYS" shapeId="119809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79">
    <pageSetUpPr fitToPage="1"/>
  </sheetPr>
  <dimension ref="B2:N179"/>
  <sheetViews>
    <sheetView topLeftCell="A94" workbookViewId="0">
      <selection activeCell="H40" sqref="H40"/>
    </sheetView>
  </sheetViews>
  <sheetFormatPr defaultRowHeight="13.5"/>
  <cols>
    <col min="1" max="1" width="3.42578125" style="88" customWidth="1"/>
    <col min="2" max="2" width="46.7109375" style="88" customWidth="1"/>
    <col min="3" max="6" width="18.42578125" style="88" customWidth="1"/>
    <col min="7" max="7" width="23.85546875" style="88" customWidth="1"/>
    <col min="8" max="8" width="18.42578125" style="88" customWidth="1"/>
    <col min="9" max="9" width="10.85546875" style="88" customWidth="1"/>
    <col min="10" max="10" width="10.5703125" style="88" customWidth="1"/>
    <col min="11" max="11" width="14.85546875" style="88" bestFit="1" customWidth="1"/>
    <col min="12" max="12" width="9.140625" style="88"/>
    <col min="13" max="13" width="23.42578125" style="88" customWidth="1"/>
    <col min="14" max="16384" width="9.140625" style="88"/>
  </cols>
  <sheetData>
    <row r="2" spans="2:14" s="1" customFormat="1" ht="20.25">
      <c r="B2" s="123" t="s">
        <v>15</v>
      </c>
      <c r="C2" s="123"/>
      <c r="D2" s="123"/>
      <c r="E2" s="123"/>
      <c r="F2" s="123"/>
      <c r="G2" s="123"/>
      <c r="H2" s="123"/>
    </row>
    <row r="3" spans="2:14" s="1" customFormat="1" ht="21" thickBot="1">
      <c r="B3" s="124">
        <v>41456</v>
      </c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</row>
    <row r="4" spans="2:14" s="1" customFormat="1" ht="18" thickTop="1"/>
    <row r="5" spans="2:14" s="1" customFormat="1" ht="17.25">
      <c r="B5" s="19"/>
      <c r="C5" s="19"/>
      <c r="D5" s="19"/>
      <c r="E5" s="19"/>
      <c r="F5" s="19"/>
      <c r="G5" s="19"/>
      <c r="H5" s="19"/>
    </row>
    <row r="6" spans="2:14" s="1" customFormat="1" ht="17.25">
      <c r="B6" s="20" t="s">
        <v>24</v>
      </c>
      <c r="C6" s="77">
        <f>B3</f>
        <v>41456</v>
      </c>
      <c r="D6" s="19"/>
      <c r="E6" s="19"/>
      <c r="F6" s="19"/>
      <c r="G6" s="19"/>
      <c r="H6" s="19"/>
    </row>
    <row r="7" spans="2:14" s="1" customFormat="1" ht="18" thickBot="1">
      <c r="B7" s="23"/>
      <c r="C7" s="23"/>
      <c r="D7" s="23"/>
      <c r="E7" s="23"/>
      <c r="F7" s="23"/>
      <c r="G7" s="23"/>
      <c r="H7" s="23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5" t="s">
        <v>70</v>
      </c>
      <c r="C10" s="16"/>
      <c r="D10" s="16"/>
      <c r="E10" s="16"/>
      <c r="F10" s="16"/>
      <c r="G10" s="16"/>
      <c r="H10" s="17" t="s">
        <v>13</v>
      </c>
    </row>
    <row r="11" spans="2:14" s="49" customFormat="1" ht="15.75" thickBot="1">
      <c r="B11" s="125" t="s">
        <v>18</v>
      </c>
      <c r="C11" s="125"/>
      <c r="D11" s="126"/>
      <c r="E11" s="85">
        <v>41455</v>
      </c>
      <c r="F11" s="85">
        <f>EDATE(E11,1)</f>
        <v>41485</v>
      </c>
      <c r="G11" s="48" t="s">
        <v>10</v>
      </c>
      <c r="H11" s="48" t="s">
        <v>11</v>
      </c>
      <c r="J11" s="90"/>
    </row>
    <row r="12" spans="2:14" s="89" customFormat="1" ht="17.25">
      <c r="B12" s="127" t="s">
        <v>0</v>
      </c>
      <c r="C12" s="127"/>
      <c r="D12" s="128"/>
      <c r="E12" s="103">
        <v>1046639</v>
      </c>
      <c r="F12" s="103">
        <v>1044498</v>
      </c>
      <c r="G12" s="13">
        <f>F12-E12</f>
        <v>-2141</v>
      </c>
      <c r="H12" s="68">
        <f>F12/E12-1</f>
        <v>-2.0455954727465198E-3</v>
      </c>
      <c r="I12" s="113"/>
      <c r="J12" s="114"/>
    </row>
    <row r="13" spans="2:14" s="89" customFormat="1" ht="17.25">
      <c r="B13" s="129" t="s">
        <v>1</v>
      </c>
      <c r="C13" s="129"/>
      <c r="D13" s="130"/>
      <c r="E13" s="103">
        <v>35309</v>
      </c>
      <c r="F13" s="103">
        <v>35308</v>
      </c>
      <c r="G13" s="13">
        <f t="shared" ref="G13:G18" si="0">F13-E13</f>
        <v>-1</v>
      </c>
      <c r="H13" s="68">
        <f t="shared" ref="H13:H18" si="1">F13/E13-1</f>
        <v>-2.832139114672394E-5</v>
      </c>
      <c r="I13" s="113"/>
      <c r="J13" s="114"/>
    </row>
    <row r="14" spans="2:14" s="89" customFormat="1" ht="17.25">
      <c r="B14" s="129" t="s">
        <v>2</v>
      </c>
      <c r="C14" s="129"/>
      <c r="D14" s="130"/>
      <c r="E14" s="103">
        <v>12802</v>
      </c>
      <c r="F14" s="103">
        <v>12989</v>
      </c>
      <c r="G14" s="13">
        <f t="shared" si="0"/>
        <v>187</v>
      </c>
      <c r="H14" s="68">
        <f t="shared" si="1"/>
        <v>1.4607092641774733E-2</v>
      </c>
      <c r="I14" s="113"/>
      <c r="J14" s="114"/>
    </row>
    <row r="15" spans="2:14" s="89" customFormat="1" ht="17.25">
      <c r="B15" s="131" t="s">
        <v>41</v>
      </c>
      <c r="C15" s="131"/>
      <c r="D15" s="132"/>
      <c r="E15" s="103">
        <v>2391</v>
      </c>
      <c r="F15" s="103">
        <v>2403</v>
      </c>
      <c r="G15" s="13">
        <f t="shared" si="0"/>
        <v>12</v>
      </c>
      <c r="H15" s="68">
        <f t="shared" si="1"/>
        <v>5.0188205771644068E-3</v>
      </c>
      <c r="I15" s="113"/>
      <c r="J15" s="114"/>
    </row>
    <row r="16" spans="2:14" s="89" customFormat="1" ht="17.25">
      <c r="B16" s="133" t="s">
        <v>42</v>
      </c>
      <c r="C16" s="133"/>
      <c r="D16" s="134"/>
      <c r="E16" s="103">
        <v>10411</v>
      </c>
      <c r="F16" s="103">
        <v>10586</v>
      </c>
      <c r="G16" s="13">
        <f t="shared" si="0"/>
        <v>175</v>
      </c>
      <c r="H16" s="68">
        <f t="shared" si="1"/>
        <v>1.6809144174430912E-2</v>
      </c>
      <c r="I16" s="113"/>
      <c r="J16" s="114"/>
    </row>
    <row r="17" spans="2:10" s="89" customFormat="1" ht="18" customHeight="1" thickBot="1">
      <c r="B17" s="135" t="s">
        <v>3</v>
      </c>
      <c r="C17" s="135"/>
      <c r="D17" s="136"/>
      <c r="E17" s="103">
        <v>12388</v>
      </c>
      <c r="F17" s="103">
        <v>12413</v>
      </c>
      <c r="G17" s="13">
        <f t="shared" si="0"/>
        <v>25</v>
      </c>
      <c r="H17" s="68">
        <f t="shared" si="1"/>
        <v>2.0180820148529843E-3</v>
      </c>
      <c r="I17" s="113"/>
      <c r="J17" s="114"/>
    </row>
    <row r="18" spans="2:10" s="79" customFormat="1" ht="18" thickBot="1">
      <c r="B18" s="69" t="s">
        <v>4</v>
      </c>
      <c r="C18" s="69"/>
      <c r="D18" s="70"/>
      <c r="E18" s="82">
        <v>1107138</v>
      </c>
      <c r="F18" s="82">
        <v>1105208</v>
      </c>
      <c r="G18" s="82">
        <f t="shared" si="0"/>
        <v>-1930</v>
      </c>
      <c r="H18" s="78">
        <f t="shared" si="1"/>
        <v>-1.7432334541854777E-3</v>
      </c>
      <c r="I18" s="113"/>
      <c r="J18" s="114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5" t="s">
        <v>71</v>
      </c>
      <c r="C21" s="16"/>
      <c r="D21" s="16"/>
      <c r="E21" s="16"/>
      <c r="F21" s="16"/>
      <c r="G21" s="16"/>
      <c r="H21" s="17" t="s">
        <v>12</v>
      </c>
    </row>
    <row r="22" spans="2:10" s="89" customFormat="1" ht="15.75" thickBot="1">
      <c r="B22" s="125" t="s">
        <v>18</v>
      </c>
      <c r="C22" s="125"/>
      <c r="D22" s="126"/>
      <c r="E22" s="85">
        <f>E11</f>
        <v>41455</v>
      </c>
      <c r="F22" s="85">
        <f>F11</f>
        <v>41485</v>
      </c>
      <c r="G22" s="48" t="s">
        <v>10</v>
      </c>
      <c r="H22" s="48" t="s">
        <v>11</v>
      </c>
      <c r="J22" s="90"/>
    </row>
    <row r="23" spans="2:10" s="89" customFormat="1" ht="17.25">
      <c r="B23" s="127" t="s">
        <v>0</v>
      </c>
      <c r="C23" s="127"/>
      <c r="D23" s="128"/>
      <c r="E23" s="103">
        <v>880422</v>
      </c>
      <c r="F23" s="103">
        <v>884194</v>
      </c>
      <c r="G23" s="13">
        <f>F23-E23</f>
        <v>3772</v>
      </c>
      <c r="H23" s="68">
        <f>F23/E23-1</f>
        <v>4.2843091154014523E-3</v>
      </c>
      <c r="I23" s="114"/>
    </row>
    <row r="24" spans="2:10" s="89" customFormat="1" ht="17.25">
      <c r="B24" s="129" t="s">
        <v>1</v>
      </c>
      <c r="C24" s="129"/>
      <c r="D24" s="130"/>
      <c r="E24" s="103">
        <v>19092</v>
      </c>
      <c r="F24" s="103">
        <v>19208</v>
      </c>
      <c r="G24" s="13">
        <f t="shared" ref="G24:G29" si="2">F24-E24</f>
        <v>116</v>
      </c>
      <c r="H24" s="68">
        <f t="shared" ref="H24:H29" si="3">F24/E24-1</f>
        <v>6.0758432851455435E-3</v>
      </c>
      <c r="I24" s="114"/>
    </row>
    <row r="25" spans="2:10" s="89" customFormat="1" ht="17.25">
      <c r="B25" s="129" t="s">
        <v>2</v>
      </c>
      <c r="C25" s="129"/>
      <c r="D25" s="130"/>
      <c r="E25" s="103">
        <v>6588</v>
      </c>
      <c r="F25" s="103">
        <v>6682</v>
      </c>
      <c r="G25" s="13">
        <f t="shared" si="2"/>
        <v>94</v>
      </c>
      <c r="H25" s="68">
        <f t="shared" si="3"/>
        <v>1.4268366727383075E-2</v>
      </c>
      <c r="I25" s="114"/>
    </row>
    <row r="26" spans="2:10" s="89" customFormat="1" ht="17.25">
      <c r="B26" s="131" t="s">
        <v>41</v>
      </c>
      <c r="C26" s="131"/>
      <c r="D26" s="132"/>
      <c r="E26" s="103">
        <v>2334</v>
      </c>
      <c r="F26" s="103">
        <v>2401</v>
      </c>
      <c r="G26" s="13">
        <f t="shared" si="2"/>
        <v>67</v>
      </c>
      <c r="H26" s="68">
        <f t="shared" si="3"/>
        <v>2.8706083976006935E-2</v>
      </c>
      <c r="I26" s="114"/>
    </row>
    <row r="27" spans="2:10" s="89" customFormat="1" ht="17.25">
      <c r="B27" s="133" t="s">
        <v>42</v>
      </c>
      <c r="C27" s="133"/>
      <c r="D27" s="134"/>
      <c r="E27" s="103">
        <v>4254</v>
      </c>
      <c r="F27" s="103">
        <v>4281</v>
      </c>
      <c r="G27" s="13">
        <f t="shared" si="2"/>
        <v>27</v>
      </c>
      <c r="H27" s="68">
        <f t="shared" si="3"/>
        <v>6.3469675599436837E-3</v>
      </c>
      <c r="I27" s="114"/>
    </row>
    <row r="28" spans="2:10" s="89" customFormat="1" ht="18" thickBot="1">
      <c r="B28" s="135" t="s">
        <v>3</v>
      </c>
      <c r="C28" s="135"/>
      <c r="D28" s="136"/>
      <c r="E28" s="103">
        <v>5221</v>
      </c>
      <c r="F28" s="103">
        <v>5233</v>
      </c>
      <c r="G28" s="13">
        <f t="shared" si="2"/>
        <v>12</v>
      </c>
      <c r="H28" s="68">
        <f t="shared" si="3"/>
        <v>2.2984102662324535E-3</v>
      </c>
      <c r="I28" s="114"/>
    </row>
    <row r="29" spans="2:10" s="79" customFormat="1" ht="18" thickBot="1">
      <c r="B29" s="69" t="s">
        <v>4</v>
      </c>
      <c r="C29" s="69"/>
      <c r="D29" s="70"/>
      <c r="E29" s="82">
        <v>911323</v>
      </c>
      <c r="F29" s="82">
        <v>915317</v>
      </c>
      <c r="G29" s="82">
        <f t="shared" si="2"/>
        <v>3994</v>
      </c>
      <c r="H29" s="78">
        <f t="shared" si="3"/>
        <v>4.3826393057126989E-3</v>
      </c>
      <c r="I29" s="114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5" t="s">
        <v>16</v>
      </c>
      <c r="C32" s="16"/>
      <c r="D32" s="16"/>
      <c r="E32" s="16"/>
      <c r="F32" s="16"/>
      <c r="G32" s="16"/>
      <c r="H32" s="17" t="s">
        <v>14</v>
      </c>
    </row>
    <row r="33" spans="2:9" ht="15.75" thickBot="1">
      <c r="B33" s="137" t="s">
        <v>18</v>
      </c>
      <c r="C33" s="137"/>
      <c r="D33" s="138"/>
      <c r="E33" s="83">
        <f>EDATE(C6,-1)</f>
        <v>41426</v>
      </c>
      <c r="F33" s="83">
        <f>EDATE(E33,1)</f>
        <v>41456</v>
      </c>
      <c r="G33" s="18" t="s">
        <v>10</v>
      </c>
      <c r="H33" s="18" t="s">
        <v>11</v>
      </c>
    </row>
    <row r="34" spans="2:9" ht="17.25">
      <c r="B34" s="139" t="s">
        <v>0</v>
      </c>
      <c r="C34" s="139"/>
      <c r="D34" s="140"/>
      <c r="E34" s="97">
        <v>56777</v>
      </c>
      <c r="F34" s="97">
        <v>59087</v>
      </c>
      <c r="G34" s="13">
        <f t="shared" ref="G34:G40" si="4">F34-E34</f>
        <v>2310</v>
      </c>
      <c r="H34" s="68">
        <f t="shared" ref="H34:H40" si="5">F34/E34-1</f>
        <v>4.0685488842312933E-2</v>
      </c>
    </row>
    <row r="35" spans="2:9" ht="17.25">
      <c r="B35" s="152" t="s">
        <v>1</v>
      </c>
      <c r="C35" s="152"/>
      <c r="D35" s="153"/>
      <c r="E35" s="97">
        <v>1390</v>
      </c>
      <c r="F35" s="97">
        <v>1454</v>
      </c>
      <c r="G35" s="13">
        <f t="shared" si="4"/>
        <v>64</v>
      </c>
      <c r="H35" s="68">
        <f t="shared" si="5"/>
        <v>4.6043165467625879E-2</v>
      </c>
    </row>
    <row r="36" spans="2:9" ht="17.25">
      <c r="B36" s="152" t="s">
        <v>2</v>
      </c>
      <c r="C36" s="152"/>
      <c r="D36" s="153"/>
      <c r="E36" s="97">
        <v>590</v>
      </c>
      <c r="F36" s="97">
        <v>628</v>
      </c>
      <c r="G36" s="13">
        <f t="shared" si="4"/>
        <v>38</v>
      </c>
      <c r="H36" s="68">
        <f t="shared" si="5"/>
        <v>6.4406779661017044E-2</v>
      </c>
    </row>
    <row r="37" spans="2:9" ht="17.25">
      <c r="B37" s="131" t="s">
        <v>41</v>
      </c>
      <c r="C37" s="131"/>
      <c r="D37" s="132"/>
      <c r="E37" s="97">
        <v>146</v>
      </c>
      <c r="F37" s="97">
        <v>161</v>
      </c>
      <c r="G37" s="13">
        <f t="shared" si="4"/>
        <v>15</v>
      </c>
      <c r="H37" s="68">
        <f t="shared" si="5"/>
        <v>0.10273972602739723</v>
      </c>
    </row>
    <row r="38" spans="2:9" ht="17.25">
      <c r="B38" s="133" t="s">
        <v>42</v>
      </c>
      <c r="C38" s="133"/>
      <c r="D38" s="134"/>
      <c r="E38" s="97">
        <v>444</v>
      </c>
      <c r="F38" s="97">
        <v>467</v>
      </c>
      <c r="G38" s="13">
        <f t="shared" si="4"/>
        <v>23</v>
      </c>
      <c r="H38" s="68">
        <f t="shared" si="5"/>
        <v>5.1801801801801828E-2</v>
      </c>
    </row>
    <row r="39" spans="2:9" ht="18" thickBot="1">
      <c r="B39" s="154" t="s">
        <v>3</v>
      </c>
      <c r="C39" s="154"/>
      <c r="D39" s="155"/>
      <c r="E39" s="97">
        <v>683</v>
      </c>
      <c r="F39" s="97">
        <v>825</v>
      </c>
      <c r="G39" s="13">
        <f t="shared" si="4"/>
        <v>142</v>
      </c>
      <c r="H39" s="68">
        <f t="shared" si="5"/>
        <v>0.2079062957540263</v>
      </c>
    </row>
    <row r="40" spans="2:9" s="79" customFormat="1" ht="18" thickBot="1">
      <c r="B40" s="69" t="s">
        <v>4</v>
      </c>
      <c r="C40" s="69"/>
      <c r="D40" s="70"/>
      <c r="E40" s="82">
        <v>59440</v>
      </c>
      <c r="F40" s="82">
        <v>61994</v>
      </c>
      <c r="G40" s="82">
        <f t="shared" si="4"/>
        <v>2554</v>
      </c>
      <c r="H40" s="78">
        <f t="shared" si="5"/>
        <v>4.296769851951554E-2</v>
      </c>
      <c r="I40" s="88"/>
    </row>
    <row r="41" spans="2:9" ht="15">
      <c r="B41" s="6"/>
      <c r="C41" s="6"/>
      <c r="D41" s="6"/>
      <c r="E41" s="45"/>
      <c r="F41" s="45"/>
      <c r="G41" s="46"/>
      <c r="H41" s="47"/>
    </row>
    <row r="42" spans="2:9" ht="15">
      <c r="B42" s="10"/>
      <c r="C42" s="2"/>
      <c r="D42" s="2"/>
      <c r="E42" s="2"/>
      <c r="F42" s="2"/>
      <c r="G42" s="2"/>
    </row>
    <row r="43" spans="2:9" ht="17.25">
      <c r="B43" s="21"/>
      <c r="C43" s="21"/>
      <c r="D43" s="21"/>
      <c r="E43" s="21"/>
      <c r="F43" s="21"/>
      <c r="G43" s="21"/>
      <c r="H43" s="21"/>
    </row>
    <row r="44" spans="2:9" ht="17.25">
      <c r="B44" s="22" t="s">
        <v>17</v>
      </c>
      <c r="C44" s="21"/>
      <c r="D44" s="21"/>
      <c r="E44" s="21"/>
      <c r="F44" s="21"/>
      <c r="G44" s="21"/>
      <c r="H44" s="21"/>
    </row>
    <row r="45" spans="2:9" ht="18" thickBot="1">
      <c r="B45" s="24"/>
      <c r="C45" s="24"/>
      <c r="D45" s="24"/>
      <c r="E45" s="24"/>
      <c r="F45" s="24"/>
      <c r="G45" s="24"/>
      <c r="H45" s="24"/>
    </row>
    <row r="47" spans="2:9">
      <c r="F47" s="5"/>
    </row>
    <row r="48" spans="2:9" ht="18" thickBot="1">
      <c r="B48" s="14" t="s">
        <v>72</v>
      </c>
      <c r="C48" s="25"/>
      <c r="D48" s="25"/>
      <c r="E48" s="25"/>
      <c r="F48" s="25"/>
      <c r="G48" s="25"/>
      <c r="H48" s="26" t="s">
        <v>13</v>
      </c>
    </row>
    <row r="49" spans="2:8" ht="15.75" thickBot="1">
      <c r="B49" s="137" t="s">
        <v>18</v>
      </c>
      <c r="C49" s="137"/>
      <c r="D49" s="138"/>
      <c r="E49" s="85">
        <v>40178</v>
      </c>
      <c r="F49" s="85">
        <v>40543</v>
      </c>
      <c r="G49" s="85">
        <v>40908</v>
      </c>
      <c r="H49" s="85">
        <v>41274</v>
      </c>
    </row>
    <row r="50" spans="2:8" ht="17.25">
      <c r="B50" s="141" t="s">
        <v>0</v>
      </c>
      <c r="C50" s="141"/>
      <c r="D50" s="142"/>
      <c r="E50" s="99">
        <v>671475</v>
      </c>
      <c r="F50" s="99">
        <v>714295</v>
      </c>
      <c r="G50" s="99">
        <v>772175</v>
      </c>
      <c r="H50" s="99">
        <v>805549</v>
      </c>
    </row>
    <row r="51" spans="2:8" ht="17.25">
      <c r="B51" s="143" t="s">
        <v>1</v>
      </c>
      <c r="C51" s="143"/>
      <c r="D51" s="144"/>
      <c r="E51" s="100">
        <v>16364</v>
      </c>
      <c r="F51" s="100">
        <v>17170</v>
      </c>
      <c r="G51" s="100">
        <v>16850</v>
      </c>
      <c r="H51" s="100">
        <v>17821</v>
      </c>
    </row>
    <row r="52" spans="2:8" ht="17.25">
      <c r="B52" s="145" t="s">
        <v>2</v>
      </c>
      <c r="C52" s="145"/>
      <c r="D52" s="146"/>
      <c r="E52" s="102">
        <v>3851</v>
      </c>
      <c r="F52" s="102">
        <v>4295</v>
      </c>
      <c r="G52" s="102">
        <v>5058</v>
      </c>
      <c r="H52" s="102">
        <v>5876</v>
      </c>
    </row>
    <row r="53" spans="2:8" ht="18" thickBot="1">
      <c r="B53" s="147" t="s">
        <v>3</v>
      </c>
      <c r="C53" s="147"/>
      <c r="D53" s="148"/>
      <c r="E53" s="98">
        <v>4717</v>
      </c>
      <c r="F53" s="98">
        <v>5348</v>
      </c>
      <c r="G53" s="98">
        <v>5242</v>
      </c>
      <c r="H53" s="98">
        <v>5261</v>
      </c>
    </row>
    <row r="54" spans="2:8" s="81" customFormat="1" ht="18" thickBot="1">
      <c r="B54" s="149" t="s">
        <v>4</v>
      </c>
      <c r="C54" s="149"/>
      <c r="D54" s="150"/>
      <c r="E54" s="101">
        <v>696407</v>
      </c>
      <c r="F54" s="101">
        <v>741108</v>
      </c>
      <c r="G54" s="101">
        <v>799325</v>
      </c>
      <c r="H54" s="101">
        <v>834507</v>
      </c>
    </row>
    <row r="55" spans="2:8" ht="15">
      <c r="B55" s="6"/>
      <c r="C55" s="7"/>
      <c r="D55" s="8"/>
      <c r="E55" s="8"/>
      <c r="F55" s="8"/>
      <c r="G55" s="8"/>
      <c r="H55" s="8"/>
    </row>
    <row r="56" spans="2:8" ht="15">
      <c r="B56" s="6"/>
      <c r="C56" s="7"/>
      <c r="D56" s="8"/>
      <c r="E56" s="8"/>
      <c r="F56" s="8"/>
      <c r="G56" s="8"/>
      <c r="H56" s="8"/>
    </row>
    <row r="57" spans="2:8" ht="15">
      <c r="B57" s="6"/>
      <c r="C57" s="7"/>
      <c r="D57" s="8"/>
      <c r="E57" s="8"/>
      <c r="F57" s="8"/>
      <c r="G57" s="8"/>
      <c r="H57" s="8"/>
    </row>
    <row r="58" spans="2:8" ht="15">
      <c r="B58" s="6"/>
      <c r="C58" s="7"/>
      <c r="D58" s="8"/>
      <c r="E58" s="8"/>
      <c r="F58" s="8"/>
      <c r="G58" s="8"/>
      <c r="H58" s="8"/>
    </row>
    <row r="59" spans="2:8" ht="15">
      <c r="B59" s="6"/>
      <c r="C59" s="7"/>
      <c r="D59" s="8"/>
      <c r="E59" s="8"/>
      <c r="F59" s="8"/>
      <c r="G59" s="8"/>
      <c r="H59" s="8"/>
    </row>
    <row r="60" spans="2:8" ht="15">
      <c r="B60" s="6"/>
      <c r="C60" s="7"/>
      <c r="D60" s="8"/>
      <c r="E60" s="8"/>
      <c r="F60" s="8"/>
      <c r="G60" s="8"/>
      <c r="H60" s="8"/>
    </row>
    <row r="61" spans="2:8" ht="15">
      <c r="B61" s="6"/>
      <c r="C61" s="7"/>
      <c r="D61" s="8"/>
      <c r="E61" s="8"/>
      <c r="F61" s="8"/>
      <c r="G61" s="8"/>
      <c r="H61" s="8"/>
    </row>
    <row r="62" spans="2:8" ht="15">
      <c r="B62" s="6"/>
      <c r="C62" s="7"/>
      <c r="D62" s="8"/>
      <c r="E62" s="8"/>
      <c r="F62" s="8"/>
      <c r="G62" s="8"/>
      <c r="H62" s="8"/>
    </row>
    <row r="63" spans="2:8" ht="15">
      <c r="B63" s="6"/>
      <c r="C63" s="7"/>
      <c r="D63" s="8"/>
      <c r="E63" s="8"/>
      <c r="F63" s="8"/>
      <c r="G63" s="8"/>
      <c r="H63" s="8"/>
    </row>
    <row r="64" spans="2:8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4" t="s">
        <v>73</v>
      </c>
      <c r="C82" s="25"/>
      <c r="D82" s="25"/>
      <c r="E82" s="25"/>
      <c r="F82" s="25"/>
      <c r="G82" s="25"/>
      <c r="H82" s="26" t="s">
        <v>12</v>
      </c>
      <c r="I82"/>
      <c r="J82"/>
      <c r="K82"/>
    </row>
    <row r="83" spans="2:11" ht="15.75" thickBot="1">
      <c r="B83" s="34" t="s">
        <v>18</v>
      </c>
      <c r="C83" s="85">
        <f>EDATE(D83,-1)</f>
        <v>41333</v>
      </c>
      <c r="D83" s="85">
        <f>EDATE(E83,-1)</f>
        <v>41363</v>
      </c>
      <c r="E83" s="85">
        <f>EDATE(F83,-1)</f>
        <v>41394</v>
      </c>
      <c r="F83" s="85">
        <f>EDATE(G83,-1)</f>
        <v>41424</v>
      </c>
      <c r="G83" s="85">
        <f>EDATE(H83,-1)</f>
        <v>41455</v>
      </c>
      <c r="H83" s="85">
        <f>EDATE(E11,1)</f>
        <v>41485</v>
      </c>
      <c r="I83"/>
      <c r="J83"/>
    </row>
    <row r="84" spans="2:11" ht="16.5" customHeight="1">
      <c r="B84" s="27" t="s">
        <v>0</v>
      </c>
      <c r="C84" s="72">
        <v>830471</v>
      </c>
      <c r="D84" s="72">
        <v>871195</v>
      </c>
      <c r="E84" s="72">
        <v>875529</v>
      </c>
      <c r="F84" s="72">
        <v>877243</v>
      </c>
      <c r="G84" s="72">
        <v>880422</v>
      </c>
      <c r="H84" s="72">
        <v>884194</v>
      </c>
      <c r="I84"/>
    </row>
    <row r="85" spans="2:11" ht="16.5" customHeight="1">
      <c r="B85" s="28" t="s">
        <v>1</v>
      </c>
      <c r="C85" s="73">
        <v>17820</v>
      </c>
      <c r="D85" s="73">
        <v>18896</v>
      </c>
      <c r="E85" s="73">
        <v>18984</v>
      </c>
      <c r="F85" s="73">
        <v>18978</v>
      </c>
      <c r="G85" s="73">
        <v>19092</v>
      </c>
      <c r="H85" s="73">
        <v>19208</v>
      </c>
      <c r="I85"/>
    </row>
    <row r="86" spans="2:11" ht="16.5" customHeight="1">
      <c r="B86" s="29" t="s">
        <v>2</v>
      </c>
      <c r="C86" s="74">
        <v>6029</v>
      </c>
      <c r="D86" s="74">
        <v>6333</v>
      </c>
      <c r="E86" s="74">
        <v>6397</v>
      </c>
      <c r="F86" s="74">
        <v>6424</v>
      </c>
      <c r="G86" s="74">
        <v>6588</v>
      </c>
      <c r="H86" s="74">
        <v>6682</v>
      </c>
      <c r="I86"/>
    </row>
    <row r="87" spans="2:11" ht="16.5" customHeight="1" thickBot="1">
      <c r="B87" s="30" t="s">
        <v>3</v>
      </c>
      <c r="C87" s="75">
        <v>5099</v>
      </c>
      <c r="D87" s="75">
        <v>5433</v>
      </c>
      <c r="E87" s="75">
        <v>5262</v>
      </c>
      <c r="F87" s="75">
        <v>5237</v>
      </c>
      <c r="G87" s="75">
        <v>5221</v>
      </c>
      <c r="H87" s="75">
        <v>5233</v>
      </c>
      <c r="I87"/>
    </row>
    <row r="88" spans="2:11" s="81" customFormat="1" ht="18" thickBot="1">
      <c r="B88" s="115" t="s">
        <v>4</v>
      </c>
      <c r="C88" s="76">
        <v>859419</v>
      </c>
      <c r="D88" s="76">
        <v>901857</v>
      </c>
      <c r="E88" s="76">
        <v>906172</v>
      </c>
      <c r="F88" s="76">
        <v>907882</v>
      </c>
      <c r="G88" s="76">
        <v>911323</v>
      </c>
      <c r="H88" s="76">
        <v>915317</v>
      </c>
      <c r="I88" s="80"/>
    </row>
    <row r="89" spans="2:11">
      <c r="I89"/>
      <c r="J89"/>
    </row>
    <row r="90" spans="2:11">
      <c r="I90"/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31"/>
      <c r="C123" s="31"/>
      <c r="D123" s="31"/>
      <c r="E123" s="31"/>
      <c r="F123" s="31"/>
      <c r="G123" s="31"/>
      <c r="H123" s="31"/>
    </row>
    <row r="124" spans="2:8" ht="17.25">
      <c r="B124" s="32" t="s">
        <v>43</v>
      </c>
      <c r="C124" s="86">
        <v>41485</v>
      </c>
      <c r="D124" s="31"/>
      <c r="E124" s="31"/>
      <c r="F124" s="31"/>
      <c r="G124" s="31"/>
      <c r="H124" s="31"/>
    </row>
    <row r="125" spans="2:8" ht="18" thickBot="1">
      <c r="B125" s="33"/>
      <c r="C125" s="33"/>
      <c r="D125" s="33"/>
      <c r="E125" s="33"/>
      <c r="F125" s="33"/>
      <c r="G125" s="33"/>
      <c r="H125" s="33"/>
    </row>
    <row r="127" spans="2:8" ht="18" thickBot="1">
      <c r="B127" s="71"/>
      <c r="C127" s="87"/>
      <c r="D127" s="38"/>
      <c r="E127" s="38"/>
      <c r="F127" s="38"/>
      <c r="G127" s="38"/>
      <c r="H127" s="39" t="s">
        <v>13</v>
      </c>
    </row>
    <row r="128" spans="2:8" ht="30.75" customHeight="1" thickBot="1">
      <c r="B128" s="138" t="s">
        <v>44</v>
      </c>
      <c r="C128" s="151"/>
      <c r="D128" s="151"/>
      <c r="E128" s="151"/>
      <c r="F128" s="151"/>
      <c r="G128" s="163" t="s">
        <v>5</v>
      </c>
      <c r="H128" s="164"/>
    </row>
    <row r="129" spans="2:10" ht="18" customHeight="1">
      <c r="B129" s="140" t="s">
        <v>19</v>
      </c>
      <c r="C129" s="165"/>
      <c r="D129" s="165"/>
      <c r="E129" s="165"/>
      <c r="F129" s="165"/>
      <c r="G129" s="181">
        <v>759</v>
      </c>
      <c r="H129" s="182"/>
    </row>
    <row r="130" spans="2:10" ht="17.25" customHeight="1">
      <c r="B130" s="153" t="s">
        <v>39</v>
      </c>
      <c r="C130" s="168"/>
      <c r="D130" s="168"/>
      <c r="E130" s="168"/>
      <c r="F130" s="168"/>
      <c r="G130" s="183">
        <v>759</v>
      </c>
      <c r="H130" s="184"/>
    </row>
    <row r="131" spans="2:10" ht="18" customHeight="1" thickBot="1">
      <c r="B131" s="169" t="s">
        <v>40</v>
      </c>
      <c r="C131" s="170"/>
      <c r="D131" s="170"/>
      <c r="E131" s="170"/>
      <c r="F131" s="170"/>
      <c r="G131" s="185">
        <v>462</v>
      </c>
      <c r="H131" s="186"/>
    </row>
    <row r="134" spans="2:10" ht="17.25">
      <c r="B134" s="35"/>
      <c r="C134" s="35"/>
      <c r="D134" s="35"/>
      <c r="E134" s="35"/>
      <c r="F134" s="35"/>
      <c r="G134" s="35"/>
      <c r="H134" s="35"/>
    </row>
    <row r="135" spans="2:10" ht="17.25">
      <c r="B135" s="36" t="s">
        <v>25</v>
      </c>
      <c r="C135" s="35"/>
      <c r="D135" s="35"/>
      <c r="E135" s="36"/>
      <c r="F135" s="84">
        <f>C6</f>
        <v>41456</v>
      </c>
      <c r="G135" s="35"/>
      <c r="H135" s="35"/>
    </row>
    <row r="136" spans="2:10" ht="18" thickBot="1">
      <c r="B136" s="37"/>
      <c r="C136" s="37"/>
      <c r="D136" s="37"/>
      <c r="E136" s="37"/>
      <c r="F136" s="37"/>
      <c r="G136" s="37"/>
      <c r="H136" s="37"/>
    </row>
    <row r="138" spans="2:10" ht="18" thickBot="1">
      <c r="B138" s="40" t="s">
        <v>45</v>
      </c>
      <c r="C138" s="41"/>
      <c r="D138" s="41"/>
      <c r="E138" s="41"/>
      <c r="F138" s="41"/>
      <c r="G138" s="41"/>
      <c r="H138" s="42" t="s">
        <v>13</v>
      </c>
    </row>
    <row r="139" spans="2:10" ht="15.75" thickBot="1">
      <c r="B139" s="137" t="s">
        <v>20</v>
      </c>
      <c r="C139" s="137"/>
      <c r="D139" s="137"/>
      <c r="E139" s="137"/>
      <c r="F139" s="138"/>
      <c r="G139" s="156" t="s">
        <v>6</v>
      </c>
      <c r="H139" s="156"/>
      <c r="I139"/>
    </row>
    <row r="140" spans="2:10" ht="17.25" customHeight="1">
      <c r="B140" s="157" t="s">
        <v>21</v>
      </c>
      <c r="C140" s="157"/>
      <c r="D140" s="157"/>
      <c r="E140" s="157"/>
      <c r="F140" s="158"/>
      <c r="G140" s="159">
        <v>195356</v>
      </c>
      <c r="H140" s="160"/>
      <c r="I140" s="50"/>
      <c r="J140" s="53"/>
    </row>
    <row r="141" spans="2:10" ht="17.25">
      <c r="B141" s="152" t="s">
        <v>52</v>
      </c>
      <c r="C141" s="152"/>
      <c r="D141" s="152"/>
      <c r="E141" s="152"/>
      <c r="F141" s="153"/>
      <c r="G141" s="161">
        <v>194529</v>
      </c>
      <c r="H141" s="162"/>
      <c r="I141" s="50"/>
      <c r="J141" s="53"/>
    </row>
    <row r="142" spans="2:10" ht="17.25" customHeight="1">
      <c r="B142" s="152" t="s">
        <v>27</v>
      </c>
      <c r="C142" s="152"/>
      <c r="D142" s="152"/>
      <c r="E142" s="152"/>
      <c r="F142" s="153"/>
      <c r="G142" s="161">
        <v>116229</v>
      </c>
      <c r="H142" s="162"/>
      <c r="I142" s="50"/>
      <c r="J142" s="53"/>
    </row>
    <row r="143" spans="2:10" ht="17.25" customHeight="1">
      <c r="B143" s="152" t="s">
        <v>38</v>
      </c>
      <c r="C143" s="152"/>
      <c r="D143" s="152"/>
      <c r="E143" s="152"/>
      <c r="F143" s="153"/>
      <c r="G143" s="161">
        <v>108272</v>
      </c>
      <c r="H143" s="162"/>
      <c r="I143" s="50"/>
      <c r="J143" s="53"/>
    </row>
    <row r="144" spans="2:10" ht="17.25" customHeight="1">
      <c r="B144" s="152" t="s">
        <v>28</v>
      </c>
      <c r="C144" s="152"/>
      <c r="D144" s="152"/>
      <c r="E144" s="152"/>
      <c r="F144" s="153"/>
      <c r="G144" s="161">
        <v>60323</v>
      </c>
      <c r="H144" s="162"/>
      <c r="I144" s="50"/>
      <c r="J144" s="53"/>
    </row>
    <row r="145" spans="2:13" ht="13.5" customHeight="1">
      <c r="B145" s="152" t="s">
        <v>29</v>
      </c>
      <c r="C145" s="152"/>
      <c r="D145" s="152"/>
      <c r="E145" s="152"/>
      <c r="F145" s="153"/>
      <c r="G145" s="161">
        <v>43233</v>
      </c>
      <c r="H145" s="162"/>
      <c r="I145" s="54"/>
      <c r="J145" s="53"/>
    </row>
    <row r="146" spans="2:13" ht="17.25" customHeight="1">
      <c r="B146" s="152" t="s">
        <v>48</v>
      </c>
      <c r="C146" s="152"/>
      <c r="D146" s="152"/>
      <c r="E146" s="152"/>
      <c r="F146" s="153"/>
      <c r="G146" s="161">
        <v>37820</v>
      </c>
      <c r="H146" s="162"/>
      <c r="I146" s="50"/>
      <c r="J146" s="53"/>
    </row>
    <row r="147" spans="2:13" ht="17.25" customHeight="1">
      <c r="B147" s="152" t="s">
        <v>22</v>
      </c>
      <c r="C147" s="152"/>
      <c r="D147" s="152"/>
      <c r="E147" s="152"/>
      <c r="F147" s="153"/>
      <c r="G147" s="161">
        <v>29081</v>
      </c>
      <c r="H147" s="162"/>
      <c r="I147" s="50"/>
      <c r="J147" s="53"/>
    </row>
    <row r="148" spans="2:13" ht="17.25" customHeight="1">
      <c r="B148" s="187" t="s">
        <v>23</v>
      </c>
      <c r="C148" s="187"/>
      <c r="D148" s="187"/>
      <c r="E148" s="187"/>
      <c r="F148" s="188"/>
      <c r="G148" s="161">
        <v>19892</v>
      </c>
      <c r="H148" s="162"/>
      <c r="I148" s="50"/>
      <c r="J148" s="53"/>
      <c r="L148"/>
    </row>
    <row r="149" spans="2:13" ht="18" customHeight="1" thickBot="1">
      <c r="B149" s="171" t="s">
        <v>35</v>
      </c>
      <c r="C149" s="171"/>
      <c r="D149" s="171"/>
      <c r="E149" s="171"/>
      <c r="F149" s="169"/>
      <c r="G149" s="172">
        <v>19462</v>
      </c>
      <c r="H149" s="173"/>
      <c r="I149" s="50"/>
      <c r="J149" s="53"/>
      <c r="L149"/>
    </row>
    <row r="150" spans="2:13" ht="17.25">
      <c r="G150" s="44"/>
      <c r="H150" s="44"/>
      <c r="I150" s="55"/>
      <c r="J150" s="55"/>
    </row>
    <row r="151" spans="2:13" ht="17.25">
      <c r="B151" s="43"/>
      <c r="C151" s="43"/>
      <c r="D151" s="43"/>
      <c r="E151" s="43"/>
      <c r="F151" s="43"/>
      <c r="G151" s="44"/>
      <c r="H151" s="44"/>
      <c r="I151" s="55"/>
      <c r="J151" s="55"/>
    </row>
    <row r="152" spans="2:13" ht="18" thickBot="1">
      <c r="B152" s="40" t="s">
        <v>7</v>
      </c>
      <c r="C152" s="41"/>
      <c r="D152" s="41"/>
      <c r="E152" s="41"/>
      <c r="F152" s="41"/>
      <c r="G152" s="41"/>
      <c r="H152" s="42" t="s">
        <v>12</v>
      </c>
      <c r="I152" s="55"/>
      <c r="J152" s="55"/>
    </row>
    <row r="153" spans="2:13" ht="15.75" thickBot="1">
      <c r="B153" s="137" t="s">
        <v>20</v>
      </c>
      <c r="C153" s="137"/>
      <c r="D153" s="137"/>
      <c r="E153" s="137"/>
      <c r="F153" s="138"/>
      <c r="G153" s="156" t="s">
        <v>6</v>
      </c>
      <c r="H153" s="156"/>
      <c r="I153" s="55"/>
      <c r="J153" s="55"/>
      <c r="K153"/>
      <c r="L153"/>
      <c r="M153"/>
    </row>
    <row r="154" spans="2:13" ht="17.25" customHeight="1">
      <c r="B154" s="157" t="s">
        <v>52</v>
      </c>
      <c r="C154" s="157"/>
      <c r="D154" s="157"/>
      <c r="E154" s="157"/>
      <c r="F154" s="158"/>
      <c r="G154" s="159">
        <v>10509</v>
      </c>
      <c r="H154" s="160"/>
      <c r="I154" s="56"/>
      <c r="J154" s="53"/>
      <c r="K154" s="52"/>
      <c r="L154"/>
      <c r="M154"/>
    </row>
    <row r="155" spans="2:13" ht="17.25" customHeight="1">
      <c r="B155" s="152" t="s">
        <v>27</v>
      </c>
      <c r="C155" s="152"/>
      <c r="D155" s="152"/>
      <c r="E155" s="152"/>
      <c r="F155" s="153"/>
      <c r="G155" s="161">
        <v>10429</v>
      </c>
      <c r="H155" s="162"/>
      <c r="I155" s="56"/>
      <c r="J155" s="53"/>
      <c r="K155" s="52"/>
      <c r="L155"/>
      <c r="M155"/>
    </row>
    <row r="156" spans="2:13" ht="17.25" customHeight="1">
      <c r="B156" s="152" t="s">
        <v>38</v>
      </c>
      <c r="C156" s="152"/>
      <c r="D156" s="152"/>
      <c r="E156" s="152"/>
      <c r="F156" s="153"/>
      <c r="G156" s="161">
        <v>9331</v>
      </c>
      <c r="H156" s="162"/>
      <c r="I156" s="56"/>
      <c r="J156" s="53"/>
      <c r="K156" s="52"/>
      <c r="L156"/>
      <c r="M156"/>
    </row>
    <row r="157" spans="2:13" ht="17.25">
      <c r="B157" s="152" t="s">
        <v>21</v>
      </c>
      <c r="C157" s="152"/>
      <c r="D157" s="152"/>
      <c r="E157" s="152"/>
      <c r="F157" s="153"/>
      <c r="G157" s="161">
        <v>6349</v>
      </c>
      <c r="H157" s="162"/>
      <c r="I157" s="56"/>
      <c r="J157" s="53"/>
      <c r="K157" s="52"/>
      <c r="L157"/>
      <c r="M157"/>
    </row>
    <row r="158" spans="2:13" ht="17.25" customHeight="1">
      <c r="B158" s="152" t="s">
        <v>28</v>
      </c>
      <c r="C158" s="152"/>
      <c r="D158" s="152"/>
      <c r="E158" s="152"/>
      <c r="F158" s="153"/>
      <c r="G158" s="161">
        <v>3861</v>
      </c>
      <c r="H158" s="162"/>
      <c r="I158" s="56"/>
      <c r="J158" s="53"/>
      <c r="K158" s="52"/>
      <c r="L158"/>
      <c r="M158"/>
    </row>
    <row r="159" spans="2:13" ht="17.25" customHeight="1">
      <c r="B159" s="152" t="s">
        <v>48</v>
      </c>
      <c r="C159" s="152"/>
      <c r="D159" s="152"/>
      <c r="E159" s="152"/>
      <c r="F159" s="153"/>
      <c r="G159" s="161">
        <v>3246</v>
      </c>
      <c r="H159" s="162"/>
      <c r="I159" s="57"/>
      <c r="J159" s="53"/>
      <c r="K159" s="52"/>
      <c r="L159"/>
      <c r="M159"/>
    </row>
    <row r="160" spans="2:13" ht="17.25" customHeight="1">
      <c r="B160" s="152" t="s">
        <v>29</v>
      </c>
      <c r="C160" s="152"/>
      <c r="D160" s="152"/>
      <c r="E160" s="152"/>
      <c r="F160" s="153"/>
      <c r="G160" s="161">
        <v>3118</v>
      </c>
      <c r="H160" s="162"/>
      <c r="I160" s="56"/>
      <c r="J160" s="53"/>
      <c r="K160" s="52"/>
      <c r="L160"/>
      <c r="M160"/>
    </row>
    <row r="161" spans="2:13" ht="17.25" customHeight="1">
      <c r="B161" s="152" t="s">
        <v>36</v>
      </c>
      <c r="C161" s="152"/>
      <c r="D161" s="152"/>
      <c r="E161" s="152"/>
      <c r="F161" s="153"/>
      <c r="G161" s="161">
        <v>2020</v>
      </c>
      <c r="H161" s="162"/>
      <c r="I161" s="56"/>
      <c r="J161" s="53"/>
      <c r="K161" s="52"/>
      <c r="L161"/>
      <c r="M161"/>
    </row>
    <row r="162" spans="2:13" ht="17.25">
      <c r="B162" s="152" t="s">
        <v>22</v>
      </c>
      <c r="C162" s="152"/>
      <c r="D162" s="152"/>
      <c r="E162" s="152"/>
      <c r="F162" s="153"/>
      <c r="G162" s="161">
        <v>1629</v>
      </c>
      <c r="H162" s="162"/>
      <c r="I162" s="56"/>
      <c r="J162" s="53"/>
      <c r="K162" s="52"/>
      <c r="L162"/>
      <c r="M162"/>
    </row>
    <row r="163" spans="2:13" ht="18" customHeight="1" thickBot="1">
      <c r="B163" s="171" t="s">
        <v>49</v>
      </c>
      <c r="C163" s="171"/>
      <c r="D163" s="171"/>
      <c r="E163" s="171"/>
      <c r="F163" s="169"/>
      <c r="G163" s="172">
        <v>1582</v>
      </c>
      <c r="H163" s="173"/>
      <c r="I163" s="56"/>
      <c r="J163" s="53"/>
      <c r="K163" s="52"/>
      <c r="L163"/>
      <c r="M163"/>
    </row>
    <row r="164" spans="2:13" ht="17.25">
      <c r="B164" s="43"/>
      <c r="C164" s="43"/>
      <c r="D164" s="43"/>
      <c r="E164" s="43"/>
      <c r="F164" s="43"/>
      <c r="G164" s="44"/>
      <c r="H164" s="44"/>
      <c r="I164" s="55"/>
      <c r="J164" s="55"/>
      <c r="L164"/>
      <c r="M164"/>
    </row>
    <row r="165" spans="2:13" ht="17.25">
      <c r="G165" s="44"/>
      <c r="H165" s="44"/>
      <c r="I165" s="2"/>
      <c r="J165" s="2"/>
    </row>
    <row r="166" spans="2:13" ht="18" thickBot="1">
      <c r="B166" s="40" t="s">
        <v>8</v>
      </c>
      <c r="C166" s="41"/>
      <c r="D166" s="41"/>
      <c r="E166" s="41"/>
      <c r="F166" s="41"/>
      <c r="G166" s="41"/>
      <c r="H166" s="42" t="s">
        <v>14</v>
      </c>
      <c r="I166" s="2"/>
      <c r="J166" s="55"/>
      <c r="K166"/>
    </row>
    <row r="167" spans="2:13" ht="15" customHeight="1" thickBot="1">
      <c r="B167" s="137" t="s">
        <v>20</v>
      </c>
      <c r="C167" s="137"/>
      <c r="D167" s="137"/>
      <c r="E167" s="137"/>
      <c r="F167" s="138"/>
      <c r="G167" s="156" t="s">
        <v>9</v>
      </c>
      <c r="H167" s="156"/>
      <c r="I167" s="2"/>
      <c r="J167" s="2"/>
    </row>
    <row r="168" spans="2:13" ht="17.25" customHeight="1">
      <c r="B168" s="157" t="s">
        <v>52</v>
      </c>
      <c r="C168" s="157"/>
      <c r="D168" s="157"/>
      <c r="E168" s="157"/>
      <c r="F168" s="158"/>
      <c r="G168" s="159">
        <v>943341957790</v>
      </c>
      <c r="H168" s="160"/>
      <c r="I168" s="58"/>
      <c r="J168" s="59"/>
    </row>
    <row r="169" spans="2:13" ht="17.25" customHeight="1">
      <c r="B169" s="152" t="s">
        <v>31</v>
      </c>
      <c r="C169" s="152"/>
      <c r="D169" s="152"/>
      <c r="E169" s="152"/>
      <c r="F169" s="153"/>
      <c r="G169" s="161">
        <v>899210671011</v>
      </c>
      <c r="H169" s="162"/>
      <c r="I169" s="58"/>
      <c r="J169" s="59"/>
    </row>
    <row r="170" spans="2:13" ht="17.25" customHeight="1">
      <c r="B170" s="152" t="s">
        <v>48</v>
      </c>
      <c r="C170" s="152"/>
      <c r="D170" s="152"/>
      <c r="E170" s="152"/>
      <c r="F170" s="153"/>
      <c r="G170" s="161">
        <v>776577619676</v>
      </c>
      <c r="H170" s="162"/>
      <c r="I170" s="58"/>
      <c r="J170" s="59"/>
    </row>
    <row r="171" spans="2:13" ht="17.25" customHeight="1">
      <c r="B171" s="152" t="s">
        <v>38</v>
      </c>
      <c r="C171" s="152"/>
      <c r="D171" s="152"/>
      <c r="E171" s="152"/>
      <c r="F171" s="153"/>
      <c r="G171" s="161">
        <v>631694962069</v>
      </c>
      <c r="H171" s="162"/>
      <c r="I171" s="58"/>
      <c r="J171" s="59"/>
    </row>
    <row r="172" spans="2:13" ht="17.25" customHeight="1">
      <c r="B172" s="152" t="s">
        <v>53</v>
      </c>
      <c r="C172" s="152"/>
      <c r="D172" s="152"/>
      <c r="E172" s="152"/>
      <c r="F172" s="153"/>
      <c r="G172" s="161">
        <v>434558604650</v>
      </c>
      <c r="H172" s="162"/>
      <c r="I172" s="60"/>
      <c r="J172" s="53"/>
    </row>
    <row r="173" spans="2:13" ht="17.25" customHeight="1">
      <c r="B173" s="152" t="s">
        <v>32</v>
      </c>
      <c r="C173" s="152"/>
      <c r="D173" s="152"/>
      <c r="E173" s="152"/>
      <c r="F173" s="153"/>
      <c r="G173" s="161">
        <v>333939935134</v>
      </c>
      <c r="H173" s="162"/>
      <c r="I173" s="58"/>
      <c r="J173" s="59"/>
    </row>
    <row r="174" spans="2:13" ht="17.25" customHeight="1">
      <c r="B174" s="152" t="s">
        <v>27</v>
      </c>
      <c r="C174" s="152"/>
      <c r="D174" s="152"/>
      <c r="E174" s="152"/>
      <c r="F174" s="153"/>
      <c r="G174" s="161">
        <v>327174035784</v>
      </c>
      <c r="H174" s="162"/>
      <c r="I174" s="58"/>
      <c r="J174" s="59"/>
    </row>
    <row r="175" spans="2:13" ht="17.25" customHeight="1">
      <c r="B175" s="152" t="s">
        <v>46</v>
      </c>
      <c r="C175" s="152"/>
      <c r="D175" s="152"/>
      <c r="E175" s="152"/>
      <c r="F175" s="153"/>
      <c r="G175" s="161">
        <v>268289454770</v>
      </c>
      <c r="H175" s="162"/>
      <c r="I175" s="58"/>
      <c r="J175" s="59"/>
    </row>
    <row r="176" spans="2:13" ht="17.25" customHeight="1">
      <c r="B176" s="152" t="s">
        <v>29</v>
      </c>
      <c r="C176" s="152"/>
      <c r="D176" s="152"/>
      <c r="E176" s="152"/>
      <c r="F176" s="153"/>
      <c r="G176" s="161">
        <v>261611462126</v>
      </c>
      <c r="H176" s="162"/>
      <c r="I176" s="58"/>
      <c r="J176" s="59"/>
    </row>
    <row r="177" spans="2:10" ht="18" customHeight="1" thickBot="1">
      <c r="B177" s="171" t="s">
        <v>49</v>
      </c>
      <c r="C177" s="171"/>
      <c r="D177" s="171"/>
      <c r="E177" s="171"/>
      <c r="F177" s="169"/>
      <c r="G177" s="172">
        <v>202923007815</v>
      </c>
      <c r="H177" s="173"/>
      <c r="I177" s="58"/>
      <c r="J177" s="59"/>
    </row>
    <row r="178" spans="2:10" ht="17.25">
      <c r="G178" s="44"/>
      <c r="H178" s="44"/>
      <c r="J178" s="51"/>
    </row>
    <row r="179" spans="2:10">
      <c r="B179" s="66"/>
      <c r="J179" s="51"/>
    </row>
  </sheetData>
  <dataConsolidate link="1"/>
  <mergeCells count="104">
    <mergeCell ref="B53:D53"/>
    <mergeCell ref="B128:F128"/>
    <mergeCell ref="G128:H128"/>
    <mergeCell ref="B129:F129"/>
    <mergeCell ref="G129:H129"/>
    <mergeCell ref="B130:F130"/>
    <mergeCell ref="G130:H130"/>
    <mergeCell ref="B167:F167"/>
    <mergeCell ref="G167:H167"/>
    <mergeCell ref="B153:F153"/>
    <mergeCell ref="G153:H153"/>
    <mergeCell ref="B131:F131"/>
    <mergeCell ref="G131:H131"/>
    <mergeCell ref="B139:F139"/>
    <mergeCell ref="G139:H139"/>
    <mergeCell ref="B144:F144"/>
    <mergeCell ref="B145:F145"/>
    <mergeCell ref="B146:F146"/>
    <mergeCell ref="B147:F147"/>
    <mergeCell ref="B148:F148"/>
    <mergeCell ref="B149:F149"/>
    <mergeCell ref="G140:H140"/>
    <mergeCell ref="G141:H141"/>
    <mergeCell ref="G147:H147"/>
    <mergeCell ref="B35:D35"/>
    <mergeCell ref="B36:D36"/>
    <mergeCell ref="B37:D37"/>
    <mergeCell ref="B38:D38"/>
    <mergeCell ref="B39:D39"/>
    <mergeCell ref="B49:D49"/>
    <mergeCell ref="B50:D50"/>
    <mergeCell ref="B51:D51"/>
    <mergeCell ref="B52:D52"/>
    <mergeCell ref="B13:D13"/>
    <mergeCell ref="B140:F140"/>
    <mergeCell ref="B141:F141"/>
    <mergeCell ref="B142:F142"/>
    <mergeCell ref="B143:F143"/>
    <mergeCell ref="B2:H2"/>
    <mergeCell ref="B3:H3"/>
    <mergeCell ref="I3:N3"/>
    <mergeCell ref="B11:D11"/>
    <mergeCell ref="B12:D12"/>
    <mergeCell ref="B33:D33"/>
    <mergeCell ref="B14:D14"/>
    <mergeCell ref="B15:D15"/>
    <mergeCell ref="B16:D16"/>
    <mergeCell ref="B17:D17"/>
    <mergeCell ref="B22:D22"/>
    <mergeCell ref="B23:D23"/>
    <mergeCell ref="B24:D24"/>
    <mergeCell ref="B25:D25"/>
    <mergeCell ref="B26:D26"/>
    <mergeCell ref="B27:D27"/>
    <mergeCell ref="B28:D28"/>
    <mergeCell ref="B54:D54"/>
    <mergeCell ref="B34:D34"/>
    <mergeCell ref="G148:H148"/>
    <mergeCell ref="G149:H149"/>
    <mergeCell ref="B154:F154"/>
    <mergeCell ref="B155:F155"/>
    <mergeCell ref="G142:H142"/>
    <mergeCell ref="G143:H143"/>
    <mergeCell ref="G144:H144"/>
    <mergeCell ref="G145:H145"/>
    <mergeCell ref="G146:H146"/>
    <mergeCell ref="B161:F161"/>
    <mergeCell ref="B162:F162"/>
    <mergeCell ref="B163:F163"/>
    <mergeCell ref="G154:H154"/>
    <mergeCell ref="G155:H155"/>
    <mergeCell ref="G156:H156"/>
    <mergeCell ref="G157:H157"/>
    <mergeCell ref="G158:H158"/>
    <mergeCell ref="G159:H159"/>
    <mergeCell ref="G160:H160"/>
    <mergeCell ref="G161:H161"/>
    <mergeCell ref="G162:H162"/>
    <mergeCell ref="G163:H163"/>
    <mergeCell ref="B156:F156"/>
    <mergeCell ref="B157:F157"/>
    <mergeCell ref="B158:F158"/>
    <mergeCell ref="B159:F159"/>
    <mergeCell ref="B160:F160"/>
    <mergeCell ref="B173:F173"/>
    <mergeCell ref="B174:F174"/>
    <mergeCell ref="B175:F175"/>
    <mergeCell ref="B176:F176"/>
    <mergeCell ref="B177:F177"/>
    <mergeCell ref="B168:F168"/>
    <mergeCell ref="B169:F169"/>
    <mergeCell ref="B170:F170"/>
    <mergeCell ref="B171:F171"/>
    <mergeCell ref="B172:F172"/>
    <mergeCell ref="G173:H173"/>
    <mergeCell ref="G174:H174"/>
    <mergeCell ref="G175:H175"/>
    <mergeCell ref="G176:H176"/>
    <mergeCell ref="G177:H177"/>
    <mergeCell ref="G168:H168"/>
    <mergeCell ref="G169:H169"/>
    <mergeCell ref="G170:H170"/>
    <mergeCell ref="G171:H171"/>
    <mergeCell ref="G172:H172"/>
  </mergeCells>
  <pageMargins left="0.70866141732283472" right="0.70866141732283472" top="0.15748031496062992" bottom="0.15748031496062992" header="0.31496062992125984" footer="0.11811023622047245"/>
  <pageSetup paperSize="9" scale="56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50" max="16383" man="1"/>
    <brk id="191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20833">
          <objectPr defaultSize="0" autoPict="0" dde="1">
            <anchor moveWithCells="1">
              <from>
                <xdr:col>0</xdr:col>
                <xdr:colOff>123825</xdr:colOff>
                <xdr:row>75</xdr:row>
                <xdr:rowOff>19050</xdr:rowOff>
              </from>
              <to>
                <xdr:col>1</xdr:col>
                <xdr:colOff>266700</xdr:colOff>
                <xdr:row>76</xdr:row>
                <xdr:rowOff>104775</xdr:rowOff>
              </to>
            </anchor>
          </objectPr>
        </oleObject>
      </mc:Choice>
      <mc:Fallback>
        <oleObject link="[1]!'!Январь2012!R1C2:R10C9'" oleUpdate="OLEUPDATE_ALWAYS" shapeId="120833"/>
      </mc:Fallback>
    </mc:AlternateContent>
  </oleObjec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80">
    <pageSetUpPr fitToPage="1"/>
  </sheetPr>
  <dimension ref="B2:N179"/>
  <sheetViews>
    <sheetView topLeftCell="A124" workbookViewId="0">
      <selection activeCell="H40" sqref="H40"/>
    </sheetView>
  </sheetViews>
  <sheetFormatPr defaultRowHeight="13.5"/>
  <cols>
    <col min="1" max="1" width="3.42578125" style="88" customWidth="1"/>
    <col min="2" max="2" width="46.7109375" style="88" customWidth="1"/>
    <col min="3" max="6" width="18.42578125" style="88" customWidth="1"/>
    <col min="7" max="7" width="24" style="88" customWidth="1"/>
    <col min="8" max="8" width="18.42578125" style="88" customWidth="1"/>
    <col min="9" max="9" width="10.85546875" style="88" customWidth="1"/>
    <col min="10" max="10" width="10.5703125" style="88" customWidth="1"/>
    <col min="11" max="11" width="14.85546875" style="88" bestFit="1" customWidth="1"/>
    <col min="12" max="12" width="9.140625" style="88"/>
    <col min="13" max="13" width="23.42578125" style="88" customWidth="1"/>
    <col min="14" max="16384" width="9.140625" style="88"/>
  </cols>
  <sheetData>
    <row r="2" spans="2:14" s="1" customFormat="1" ht="20.25">
      <c r="B2" s="123" t="s">
        <v>15</v>
      </c>
      <c r="C2" s="123"/>
      <c r="D2" s="123"/>
      <c r="E2" s="123"/>
      <c r="F2" s="123"/>
      <c r="G2" s="123"/>
      <c r="H2" s="123"/>
    </row>
    <row r="3" spans="2:14" s="1" customFormat="1" ht="21" thickBot="1">
      <c r="B3" s="124">
        <v>41487</v>
      </c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</row>
    <row r="4" spans="2:14" s="1" customFormat="1" ht="18" thickTop="1"/>
    <row r="5" spans="2:14" s="1" customFormat="1" ht="17.25">
      <c r="B5" s="19"/>
      <c r="C5" s="19"/>
      <c r="D5" s="19"/>
      <c r="E5" s="19"/>
      <c r="F5" s="19"/>
      <c r="G5" s="19"/>
      <c r="H5" s="19"/>
    </row>
    <row r="6" spans="2:14" s="1" customFormat="1" ht="17.25">
      <c r="B6" s="20" t="s">
        <v>24</v>
      </c>
      <c r="C6" s="77">
        <f>B3</f>
        <v>41487</v>
      </c>
      <c r="D6" s="19"/>
      <c r="E6" s="19"/>
      <c r="F6" s="19"/>
      <c r="G6" s="19"/>
      <c r="H6" s="19"/>
    </row>
    <row r="7" spans="2:14" s="1" customFormat="1" ht="18" thickBot="1">
      <c r="B7" s="23"/>
      <c r="C7" s="23"/>
      <c r="D7" s="23"/>
      <c r="E7" s="23"/>
      <c r="F7" s="23"/>
      <c r="G7" s="23"/>
      <c r="H7" s="23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5" t="s">
        <v>70</v>
      </c>
      <c r="C10" s="16"/>
      <c r="D10" s="16"/>
      <c r="E10" s="16"/>
      <c r="F10" s="16"/>
      <c r="G10" s="16"/>
      <c r="H10" s="17" t="s">
        <v>13</v>
      </c>
    </row>
    <row r="11" spans="2:14" s="49" customFormat="1" ht="15.75" thickBot="1">
      <c r="B11" s="125" t="s">
        <v>18</v>
      </c>
      <c r="C11" s="125"/>
      <c r="D11" s="126"/>
      <c r="E11" s="85">
        <v>41486</v>
      </c>
      <c r="F11" s="85">
        <f>EDATE(E11,1)</f>
        <v>41517</v>
      </c>
      <c r="G11" s="48" t="s">
        <v>10</v>
      </c>
      <c r="H11" s="48" t="s">
        <v>11</v>
      </c>
      <c r="J11" s="90"/>
    </row>
    <row r="12" spans="2:14" s="89" customFormat="1" ht="17.25">
      <c r="B12" s="127" t="s">
        <v>0</v>
      </c>
      <c r="C12" s="127"/>
      <c r="D12" s="128"/>
      <c r="E12" s="103">
        <v>1044498</v>
      </c>
      <c r="F12" s="103">
        <v>1032506</v>
      </c>
      <c r="G12" s="13">
        <f>F12-E12</f>
        <v>-11992</v>
      </c>
      <c r="H12" s="68">
        <f>F12/E12-1</f>
        <v>-1.1481113415248267E-2</v>
      </c>
      <c r="I12" s="113"/>
      <c r="J12" s="114"/>
    </row>
    <row r="13" spans="2:14" s="89" customFormat="1" ht="17.25">
      <c r="B13" s="129" t="s">
        <v>1</v>
      </c>
      <c r="C13" s="129"/>
      <c r="D13" s="130"/>
      <c r="E13" s="103">
        <v>35308</v>
      </c>
      <c r="F13" s="103">
        <v>35463</v>
      </c>
      <c r="G13" s="13">
        <f t="shared" ref="G13:G18" si="0">F13-E13</f>
        <v>155</v>
      </c>
      <c r="H13" s="68">
        <f t="shared" ref="H13:H18" si="1">F13/E13-1</f>
        <v>4.3899399569502506E-3</v>
      </c>
      <c r="I13" s="113"/>
      <c r="J13" s="114"/>
    </row>
    <row r="14" spans="2:14" s="89" customFormat="1" ht="17.25">
      <c r="B14" s="129" t="s">
        <v>2</v>
      </c>
      <c r="C14" s="129"/>
      <c r="D14" s="130"/>
      <c r="E14" s="103">
        <v>12989</v>
      </c>
      <c r="F14" s="103">
        <v>13206</v>
      </c>
      <c r="G14" s="13">
        <f t="shared" si="0"/>
        <v>217</v>
      </c>
      <c r="H14" s="68">
        <f t="shared" si="1"/>
        <v>1.6706443914081159E-2</v>
      </c>
      <c r="I14" s="113"/>
      <c r="J14" s="114"/>
    </row>
    <row r="15" spans="2:14" s="89" customFormat="1" ht="17.25">
      <c r="B15" s="131" t="s">
        <v>41</v>
      </c>
      <c r="C15" s="131"/>
      <c r="D15" s="132"/>
      <c r="E15" s="103">
        <v>2403</v>
      </c>
      <c r="F15" s="103">
        <v>2475</v>
      </c>
      <c r="G15" s="13">
        <f t="shared" si="0"/>
        <v>72</v>
      </c>
      <c r="H15" s="68">
        <f t="shared" si="1"/>
        <v>2.9962546816479474E-2</v>
      </c>
      <c r="I15" s="113"/>
      <c r="J15" s="114"/>
    </row>
    <row r="16" spans="2:14" s="89" customFormat="1" ht="17.25">
      <c r="B16" s="133" t="s">
        <v>42</v>
      </c>
      <c r="C16" s="133"/>
      <c r="D16" s="134"/>
      <c r="E16" s="103">
        <v>10586</v>
      </c>
      <c r="F16" s="103">
        <v>10731</v>
      </c>
      <c r="G16" s="13">
        <f t="shared" si="0"/>
        <v>145</v>
      </c>
      <c r="H16" s="68">
        <f t="shared" si="1"/>
        <v>1.3697336104288693E-2</v>
      </c>
      <c r="I16" s="113"/>
      <c r="J16" s="114"/>
    </row>
    <row r="17" spans="2:10" s="89" customFormat="1" ht="18" customHeight="1" thickBot="1">
      <c r="B17" s="135" t="s">
        <v>3</v>
      </c>
      <c r="C17" s="135"/>
      <c r="D17" s="136"/>
      <c r="E17" s="103">
        <v>12413</v>
      </c>
      <c r="F17" s="103">
        <v>12482</v>
      </c>
      <c r="G17" s="13">
        <f t="shared" si="0"/>
        <v>69</v>
      </c>
      <c r="H17" s="68">
        <f t="shared" si="1"/>
        <v>5.558688471763551E-3</v>
      </c>
      <c r="I17" s="113"/>
      <c r="J17" s="114"/>
    </row>
    <row r="18" spans="2:10" s="79" customFormat="1" ht="18" thickBot="1">
      <c r="B18" s="69" t="s">
        <v>4</v>
      </c>
      <c r="C18" s="69"/>
      <c r="D18" s="70"/>
      <c r="E18" s="82">
        <v>1105208</v>
      </c>
      <c r="F18" s="82">
        <v>1093657</v>
      </c>
      <c r="G18" s="82">
        <f t="shared" si="0"/>
        <v>-11551</v>
      </c>
      <c r="H18" s="78">
        <f t="shared" si="1"/>
        <v>-1.045142633784768E-2</v>
      </c>
      <c r="I18" s="113"/>
      <c r="J18" s="114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5" t="s">
        <v>71</v>
      </c>
      <c r="C21" s="16"/>
      <c r="D21" s="16"/>
      <c r="E21" s="16"/>
      <c r="F21" s="16"/>
      <c r="G21" s="16"/>
      <c r="H21" s="17" t="s">
        <v>12</v>
      </c>
    </row>
    <row r="22" spans="2:10" s="89" customFormat="1" ht="15.75" thickBot="1">
      <c r="B22" s="125" t="s">
        <v>18</v>
      </c>
      <c r="C22" s="125"/>
      <c r="D22" s="126"/>
      <c r="E22" s="85">
        <f>E11</f>
        <v>41486</v>
      </c>
      <c r="F22" s="85">
        <f>F11</f>
        <v>41517</v>
      </c>
      <c r="G22" s="48" t="s">
        <v>10</v>
      </c>
      <c r="H22" s="48" t="s">
        <v>11</v>
      </c>
      <c r="J22" s="90"/>
    </row>
    <row r="23" spans="2:10" s="89" customFormat="1" ht="17.25">
      <c r="B23" s="127" t="s">
        <v>0</v>
      </c>
      <c r="C23" s="127"/>
      <c r="D23" s="128"/>
      <c r="E23" s="103">
        <v>884194</v>
      </c>
      <c r="F23" s="103">
        <v>882528</v>
      </c>
      <c r="G23" s="13">
        <f>F23-E23</f>
        <v>-1666</v>
      </c>
      <c r="H23" s="68">
        <f>F23/E23-1</f>
        <v>-1.8842018832970764E-3</v>
      </c>
      <c r="I23" s="114"/>
    </row>
    <row r="24" spans="2:10" s="89" customFormat="1" ht="17.25">
      <c r="B24" s="129" t="s">
        <v>1</v>
      </c>
      <c r="C24" s="129"/>
      <c r="D24" s="130"/>
      <c r="E24" s="103">
        <v>19208</v>
      </c>
      <c r="F24" s="103">
        <v>19235</v>
      </c>
      <c r="G24" s="13">
        <f t="shared" ref="G24:G29" si="2">F24-E24</f>
        <v>27</v>
      </c>
      <c r="H24" s="68">
        <f t="shared" ref="H24:H29" si="3">F24/E24-1</f>
        <v>1.4056643065389895E-3</v>
      </c>
      <c r="I24" s="114"/>
    </row>
    <row r="25" spans="2:10" s="89" customFormat="1" ht="17.25">
      <c r="B25" s="129" t="s">
        <v>2</v>
      </c>
      <c r="C25" s="129"/>
      <c r="D25" s="130"/>
      <c r="E25" s="103">
        <v>6682</v>
      </c>
      <c r="F25" s="103">
        <v>6722</v>
      </c>
      <c r="G25" s="13">
        <f t="shared" si="2"/>
        <v>40</v>
      </c>
      <c r="H25" s="68">
        <f t="shared" si="3"/>
        <v>5.986231667165498E-3</v>
      </c>
      <c r="I25" s="114"/>
    </row>
    <row r="26" spans="2:10" s="89" customFormat="1" ht="17.25">
      <c r="B26" s="131" t="s">
        <v>41</v>
      </c>
      <c r="C26" s="131"/>
      <c r="D26" s="132"/>
      <c r="E26" s="103">
        <v>2401</v>
      </c>
      <c r="F26" s="103">
        <v>2416</v>
      </c>
      <c r="G26" s="13">
        <f t="shared" si="2"/>
        <v>15</v>
      </c>
      <c r="H26" s="68">
        <f t="shared" si="3"/>
        <v>6.2473969179508426E-3</v>
      </c>
      <c r="I26" s="114"/>
    </row>
    <row r="27" spans="2:10" s="89" customFormat="1" ht="17.25">
      <c r="B27" s="133" t="s">
        <v>42</v>
      </c>
      <c r="C27" s="133"/>
      <c r="D27" s="134"/>
      <c r="E27" s="103">
        <v>4281</v>
      </c>
      <c r="F27" s="103">
        <v>4306</v>
      </c>
      <c r="G27" s="13">
        <f t="shared" si="2"/>
        <v>25</v>
      </c>
      <c r="H27" s="68">
        <f t="shared" si="3"/>
        <v>5.839757066105955E-3</v>
      </c>
      <c r="I27" s="114"/>
    </row>
    <row r="28" spans="2:10" s="89" customFormat="1" ht="18" thickBot="1">
      <c r="B28" s="135" t="s">
        <v>3</v>
      </c>
      <c r="C28" s="135"/>
      <c r="D28" s="136"/>
      <c r="E28" s="103">
        <v>5233</v>
      </c>
      <c r="F28" s="103">
        <v>5237</v>
      </c>
      <c r="G28" s="13">
        <f t="shared" si="2"/>
        <v>4</v>
      </c>
      <c r="H28" s="68">
        <f t="shared" si="3"/>
        <v>7.6437989680866458E-4</v>
      </c>
      <c r="I28" s="114"/>
    </row>
    <row r="29" spans="2:10" s="79" customFormat="1" ht="18" thickBot="1">
      <c r="B29" s="69" t="s">
        <v>4</v>
      </c>
      <c r="C29" s="69"/>
      <c r="D29" s="70"/>
      <c r="E29" s="82">
        <v>915317</v>
      </c>
      <c r="F29" s="82">
        <f>SUM(F23,F24,F25,F28)</f>
        <v>913722</v>
      </c>
      <c r="G29" s="82">
        <f t="shared" si="2"/>
        <v>-1595</v>
      </c>
      <c r="H29" s="78">
        <f t="shared" si="3"/>
        <v>-1.7425656903564679E-3</v>
      </c>
      <c r="I29" s="114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5" t="s">
        <v>16</v>
      </c>
      <c r="C32" s="16"/>
      <c r="D32" s="16"/>
      <c r="E32" s="16"/>
      <c r="F32" s="16"/>
      <c r="G32" s="16"/>
      <c r="H32" s="17" t="s">
        <v>14</v>
      </c>
    </row>
    <row r="33" spans="2:9" ht="15.75" thickBot="1">
      <c r="B33" s="137" t="s">
        <v>18</v>
      </c>
      <c r="C33" s="137"/>
      <c r="D33" s="138"/>
      <c r="E33" s="83">
        <f>EDATE(C6,-1)</f>
        <v>41456</v>
      </c>
      <c r="F33" s="83">
        <f>EDATE(E33,1)</f>
        <v>41487</v>
      </c>
      <c r="G33" s="18" t="s">
        <v>10</v>
      </c>
      <c r="H33" s="18" t="s">
        <v>11</v>
      </c>
    </row>
    <row r="34" spans="2:9" ht="17.25">
      <c r="B34" s="139" t="s">
        <v>0</v>
      </c>
      <c r="C34" s="139"/>
      <c r="D34" s="140"/>
      <c r="E34" s="97">
        <v>59087</v>
      </c>
      <c r="F34" s="97">
        <v>55892</v>
      </c>
      <c r="G34" s="13">
        <f t="shared" ref="G34:G40" si="4">F34-E34</f>
        <v>-3195</v>
      </c>
      <c r="H34" s="68">
        <f t="shared" ref="H34:H40" si="5">F34/E34-1</f>
        <v>-5.4072807893445263E-2</v>
      </c>
    </row>
    <row r="35" spans="2:9" ht="17.25">
      <c r="B35" s="152" t="s">
        <v>1</v>
      </c>
      <c r="C35" s="152"/>
      <c r="D35" s="153"/>
      <c r="E35" s="97">
        <v>1454</v>
      </c>
      <c r="F35" s="97">
        <v>1362</v>
      </c>
      <c r="G35" s="13">
        <f t="shared" si="4"/>
        <v>-92</v>
      </c>
      <c r="H35" s="68">
        <f t="shared" si="5"/>
        <v>-6.3273727647867983E-2</v>
      </c>
    </row>
    <row r="36" spans="2:9" ht="17.25">
      <c r="B36" s="152" t="s">
        <v>2</v>
      </c>
      <c r="C36" s="152"/>
      <c r="D36" s="153"/>
      <c r="E36" s="97">
        <v>628</v>
      </c>
      <c r="F36" s="97">
        <v>609</v>
      </c>
      <c r="G36" s="13">
        <f t="shared" si="4"/>
        <v>-19</v>
      </c>
      <c r="H36" s="68">
        <f t="shared" si="5"/>
        <v>-3.0254777070063743E-2</v>
      </c>
    </row>
    <row r="37" spans="2:9" ht="17.25">
      <c r="B37" s="131" t="s">
        <v>41</v>
      </c>
      <c r="C37" s="131"/>
      <c r="D37" s="132"/>
      <c r="E37" s="97">
        <v>161</v>
      </c>
      <c r="F37" s="97">
        <v>150</v>
      </c>
      <c r="G37" s="13">
        <f t="shared" si="4"/>
        <v>-11</v>
      </c>
      <c r="H37" s="68">
        <f t="shared" si="5"/>
        <v>-6.8322981366459645E-2</v>
      </c>
    </row>
    <row r="38" spans="2:9" ht="17.25">
      <c r="B38" s="133" t="s">
        <v>42</v>
      </c>
      <c r="C38" s="133"/>
      <c r="D38" s="134"/>
      <c r="E38" s="97">
        <v>467</v>
      </c>
      <c r="F38" s="97">
        <v>459</v>
      </c>
      <c r="G38" s="13">
        <f t="shared" si="4"/>
        <v>-8</v>
      </c>
      <c r="H38" s="68">
        <f t="shared" si="5"/>
        <v>-1.7130620985010725E-2</v>
      </c>
    </row>
    <row r="39" spans="2:9" ht="18" thickBot="1">
      <c r="B39" s="154" t="s">
        <v>3</v>
      </c>
      <c r="C39" s="154"/>
      <c r="D39" s="155"/>
      <c r="E39" s="97">
        <v>825</v>
      </c>
      <c r="F39" s="97">
        <v>651</v>
      </c>
      <c r="G39" s="13">
        <f t="shared" si="4"/>
        <v>-174</v>
      </c>
      <c r="H39" s="68">
        <f t="shared" si="5"/>
        <v>-0.21090909090909093</v>
      </c>
    </row>
    <row r="40" spans="2:9" s="79" customFormat="1" ht="18" thickBot="1">
      <c r="B40" s="69" t="s">
        <v>4</v>
      </c>
      <c r="C40" s="69"/>
      <c r="D40" s="70"/>
      <c r="E40" s="82">
        <v>61994</v>
      </c>
      <c r="F40" s="82">
        <v>58514</v>
      </c>
      <c r="G40" s="82">
        <f t="shared" si="4"/>
        <v>-3480</v>
      </c>
      <c r="H40" s="78">
        <f t="shared" si="5"/>
        <v>-5.6134464625608893E-2</v>
      </c>
      <c r="I40" s="88"/>
    </row>
    <row r="41" spans="2:9" ht="15">
      <c r="B41" s="6"/>
      <c r="C41" s="6"/>
      <c r="D41" s="6"/>
      <c r="E41" s="45"/>
      <c r="F41" s="45"/>
      <c r="G41" s="46"/>
      <c r="H41" s="47"/>
    </row>
    <row r="42" spans="2:9" ht="15">
      <c r="B42" s="10"/>
      <c r="C42" s="2"/>
      <c r="D42" s="2"/>
      <c r="E42" s="2"/>
      <c r="F42" s="2"/>
      <c r="G42" s="2"/>
    </row>
    <row r="43" spans="2:9" ht="17.25">
      <c r="B43" s="21"/>
      <c r="C43" s="21"/>
      <c r="D43" s="21"/>
      <c r="E43" s="21"/>
      <c r="F43" s="21"/>
      <c r="G43" s="21"/>
      <c r="H43" s="21"/>
    </row>
    <row r="44" spans="2:9" ht="17.25">
      <c r="B44" s="22" t="s">
        <v>17</v>
      </c>
      <c r="C44" s="21"/>
      <c r="D44" s="21"/>
      <c r="E44" s="21"/>
      <c r="F44" s="21"/>
      <c r="G44" s="21"/>
      <c r="H44" s="21"/>
    </row>
    <row r="45" spans="2:9" ht="18" thickBot="1">
      <c r="B45" s="24"/>
      <c r="C45" s="24"/>
      <c r="D45" s="24"/>
      <c r="E45" s="24"/>
      <c r="F45" s="24"/>
      <c r="G45" s="24"/>
      <c r="H45" s="24"/>
    </row>
    <row r="47" spans="2:9">
      <c r="F47" s="5"/>
    </row>
    <row r="48" spans="2:9" ht="18" thickBot="1">
      <c r="B48" s="14" t="s">
        <v>72</v>
      </c>
      <c r="C48" s="25"/>
      <c r="D48" s="25"/>
      <c r="E48" s="25"/>
      <c r="F48" s="25"/>
      <c r="G48" s="25"/>
      <c r="H48" s="26" t="s">
        <v>13</v>
      </c>
    </row>
    <row r="49" spans="2:8" ht="15.75" thickBot="1">
      <c r="B49" s="137" t="s">
        <v>18</v>
      </c>
      <c r="C49" s="137"/>
      <c r="D49" s="138"/>
      <c r="E49" s="85">
        <v>40178</v>
      </c>
      <c r="F49" s="85">
        <v>40543</v>
      </c>
      <c r="G49" s="85">
        <v>40908</v>
      </c>
      <c r="H49" s="85">
        <v>41274</v>
      </c>
    </row>
    <row r="50" spans="2:8" ht="17.25">
      <c r="B50" s="141" t="s">
        <v>0</v>
      </c>
      <c r="C50" s="141"/>
      <c r="D50" s="142"/>
      <c r="E50" s="99">
        <v>671475</v>
      </c>
      <c r="F50" s="99">
        <v>714295</v>
      </c>
      <c r="G50" s="99">
        <v>772175</v>
      </c>
      <c r="H50" s="99">
        <v>805549</v>
      </c>
    </row>
    <row r="51" spans="2:8" ht="17.25">
      <c r="B51" s="143" t="s">
        <v>1</v>
      </c>
      <c r="C51" s="143"/>
      <c r="D51" s="144"/>
      <c r="E51" s="100">
        <v>16364</v>
      </c>
      <c r="F51" s="100">
        <v>17170</v>
      </c>
      <c r="G51" s="100">
        <v>16850</v>
      </c>
      <c r="H51" s="100">
        <v>17821</v>
      </c>
    </row>
    <row r="52" spans="2:8" ht="17.25">
      <c r="B52" s="145" t="s">
        <v>2</v>
      </c>
      <c r="C52" s="145"/>
      <c r="D52" s="146"/>
      <c r="E52" s="102">
        <v>3851</v>
      </c>
      <c r="F52" s="102">
        <v>4295</v>
      </c>
      <c r="G52" s="102">
        <v>5058</v>
      </c>
      <c r="H52" s="102">
        <v>5876</v>
      </c>
    </row>
    <row r="53" spans="2:8" ht="18" thickBot="1">
      <c r="B53" s="147" t="s">
        <v>3</v>
      </c>
      <c r="C53" s="147"/>
      <c r="D53" s="148"/>
      <c r="E53" s="98">
        <v>4717</v>
      </c>
      <c r="F53" s="98">
        <v>5348</v>
      </c>
      <c r="G53" s="98">
        <v>5242</v>
      </c>
      <c r="H53" s="98">
        <v>5261</v>
      </c>
    </row>
    <row r="54" spans="2:8" s="81" customFormat="1" ht="18" thickBot="1">
      <c r="B54" s="149" t="s">
        <v>4</v>
      </c>
      <c r="C54" s="149"/>
      <c r="D54" s="150"/>
      <c r="E54" s="101">
        <v>696407</v>
      </c>
      <c r="F54" s="101">
        <v>741108</v>
      </c>
      <c r="G54" s="101">
        <v>799325</v>
      </c>
      <c r="H54" s="101">
        <v>834507</v>
      </c>
    </row>
    <row r="55" spans="2:8" ht="15">
      <c r="B55" s="6"/>
      <c r="C55" s="7"/>
      <c r="D55" s="8"/>
      <c r="E55" s="8"/>
      <c r="F55" s="8"/>
      <c r="G55" s="8"/>
      <c r="H55" s="8"/>
    </row>
    <row r="56" spans="2:8" ht="15">
      <c r="B56" s="6"/>
      <c r="C56" s="7"/>
      <c r="D56" s="8"/>
      <c r="E56" s="8"/>
      <c r="F56" s="8"/>
      <c r="G56" s="8"/>
      <c r="H56" s="8"/>
    </row>
    <row r="57" spans="2:8" ht="15">
      <c r="B57" s="6"/>
      <c r="C57" s="7"/>
      <c r="D57" s="8"/>
      <c r="E57" s="8"/>
      <c r="F57" s="8"/>
      <c r="G57" s="8"/>
      <c r="H57" s="8"/>
    </row>
    <row r="58" spans="2:8" ht="15">
      <c r="B58" s="6"/>
      <c r="C58" s="7"/>
      <c r="D58" s="8"/>
      <c r="E58" s="8"/>
      <c r="F58" s="8"/>
      <c r="G58" s="8"/>
      <c r="H58" s="8"/>
    </row>
    <row r="59" spans="2:8" ht="15">
      <c r="B59" s="6"/>
      <c r="C59" s="7"/>
      <c r="D59" s="8"/>
      <c r="E59" s="8"/>
      <c r="F59" s="8"/>
      <c r="G59" s="8"/>
      <c r="H59" s="8"/>
    </row>
    <row r="60" spans="2:8" ht="15">
      <c r="B60" s="6"/>
      <c r="C60" s="7"/>
      <c r="D60" s="8"/>
      <c r="E60" s="8"/>
      <c r="F60" s="8"/>
      <c r="G60" s="8"/>
      <c r="H60" s="8"/>
    </row>
    <row r="61" spans="2:8" ht="15">
      <c r="B61" s="6"/>
      <c r="C61" s="7"/>
      <c r="D61" s="8"/>
      <c r="E61" s="8"/>
      <c r="F61" s="8"/>
      <c r="G61" s="8"/>
      <c r="H61" s="8"/>
    </row>
    <row r="62" spans="2:8" ht="15">
      <c r="B62" s="6"/>
      <c r="C62" s="7"/>
      <c r="D62" s="8"/>
      <c r="E62" s="8"/>
      <c r="F62" s="8"/>
      <c r="G62" s="8"/>
      <c r="H62" s="8"/>
    </row>
    <row r="63" spans="2:8" ht="15">
      <c r="B63" s="6"/>
      <c r="C63" s="7"/>
      <c r="D63" s="8"/>
      <c r="E63" s="8"/>
      <c r="F63" s="8"/>
      <c r="G63" s="8"/>
      <c r="H63" s="8"/>
    </row>
    <row r="64" spans="2:8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4" t="s">
        <v>73</v>
      </c>
      <c r="C82" s="25"/>
      <c r="D82" s="25"/>
      <c r="E82" s="25"/>
      <c r="F82" s="25"/>
      <c r="G82" s="25"/>
      <c r="H82" s="26" t="s">
        <v>12</v>
      </c>
      <c r="I82"/>
      <c r="J82"/>
      <c r="K82"/>
    </row>
    <row r="83" spans="2:11" ht="15.75" thickBot="1">
      <c r="B83" s="34" t="s">
        <v>18</v>
      </c>
      <c r="C83" s="85">
        <f>EDATE(D83,-1)</f>
        <v>41363</v>
      </c>
      <c r="D83" s="85">
        <f>EDATE(E83,-1)</f>
        <v>41394</v>
      </c>
      <c r="E83" s="85">
        <f>EDATE(F83,-1)</f>
        <v>41424</v>
      </c>
      <c r="F83" s="85">
        <f>EDATE(G83,-1)</f>
        <v>41455</v>
      </c>
      <c r="G83" s="85">
        <f>EDATE(H83,-1)</f>
        <v>41486</v>
      </c>
      <c r="H83" s="85">
        <f>EDATE(E11,1)</f>
        <v>41517</v>
      </c>
      <c r="I83"/>
      <c r="J83"/>
    </row>
    <row r="84" spans="2:11" ht="16.5" customHeight="1">
      <c r="B84" s="27" t="s">
        <v>0</v>
      </c>
      <c r="C84" s="72">
        <v>871195</v>
      </c>
      <c r="D84" s="72">
        <v>875529</v>
      </c>
      <c r="E84" s="72">
        <v>877243</v>
      </c>
      <c r="F84" s="72">
        <v>880422</v>
      </c>
      <c r="G84" s="72">
        <v>884194</v>
      </c>
      <c r="H84" s="72">
        <v>882528</v>
      </c>
    </row>
    <row r="85" spans="2:11" ht="16.5" customHeight="1">
      <c r="B85" s="28" t="s">
        <v>1</v>
      </c>
      <c r="C85" s="73">
        <v>18896</v>
      </c>
      <c r="D85" s="73">
        <v>18984</v>
      </c>
      <c r="E85" s="73">
        <v>18978</v>
      </c>
      <c r="F85" s="73">
        <v>19092</v>
      </c>
      <c r="G85" s="73">
        <v>19208</v>
      </c>
      <c r="H85" s="73">
        <v>19235</v>
      </c>
    </row>
    <row r="86" spans="2:11" ht="16.5" customHeight="1">
      <c r="B86" s="29" t="s">
        <v>2</v>
      </c>
      <c r="C86" s="74">
        <v>6333</v>
      </c>
      <c r="D86" s="74">
        <v>6397</v>
      </c>
      <c r="E86" s="74">
        <v>6424</v>
      </c>
      <c r="F86" s="74">
        <v>6588</v>
      </c>
      <c r="G86" s="74">
        <v>6682</v>
      </c>
      <c r="H86" s="74">
        <v>6722</v>
      </c>
    </row>
    <row r="87" spans="2:11" ht="16.5" customHeight="1" thickBot="1">
      <c r="B87" s="30" t="s">
        <v>3</v>
      </c>
      <c r="C87" s="75">
        <v>5433</v>
      </c>
      <c r="D87" s="75">
        <v>5262</v>
      </c>
      <c r="E87" s="75">
        <v>5237</v>
      </c>
      <c r="F87" s="75">
        <v>5221</v>
      </c>
      <c r="G87" s="75">
        <v>5233</v>
      </c>
      <c r="H87" s="75">
        <v>5237</v>
      </c>
    </row>
    <row r="88" spans="2:11" s="81" customFormat="1" ht="18" thickBot="1">
      <c r="B88" s="116" t="s">
        <v>4</v>
      </c>
      <c r="C88" s="76">
        <v>901857</v>
      </c>
      <c r="D88" s="76">
        <v>906172</v>
      </c>
      <c r="E88" s="76">
        <v>907882</v>
      </c>
      <c r="F88" s="76">
        <v>911323</v>
      </c>
      <c r="G88" s="76">
        <v>915317</v>
      </c>
      <c r="H88" s="76">
        <v>913722</v>
      </c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31"/>
      <c r="C123" s="31"/>
      <c r="D123" s="31"/>
      <c r="E123" s="31"/>
      <c r="F123" s="31"/>
      <c r="G123" s="31"/>
      <c r="H123" s="31"/>
    </row>
    <row r="124" spans="2:8" ht="17.25">
      <c r="B124" s="32" t="s">
        <v>43</v>
      </c>
      <c r="C124" s="86">
        <v>41517</v>
      </c>
      <c r="D124" s="31"/>
      <c r="E124" s="31"/>
      <c r="F124" s="31"/>
      <c r="G124" s="31"/>
      <c r="H124" s="31"/>
    </row>
    <row r="125" spans="2:8" ht="18" thickBot="1">
      <c r="B125" s="33"/>
      <c r="C125" s="33"/>
      <c r="D125" s="33"/>
      <c r="E125" s="33"/>
      <c r="F125" s="33"/>
      <c r="G125" s="33"/>
      <c r="H125" s="33"/>
    </row>
    <row r="127" spans="2:8" ht="18" thickBot="1">
      <c r="B127" s="71"/>
      <c r="C127" s="87"/>
      <c r="D127" s="38"/>
      <c r="E127" s="38"/>
      <c r="F127" s="38"/>
      <c r="G127" s="38"/>
      <c r="H127" s="39" t="s">
        <v>13</v>
      </c>
    </row>
    <row r="128" spans="2:8" ht="30.75" customHeight="1" thickBot="1">
      <c r="B128" s="138" t="s">
        <v>44</v>
      </c>
      <c r="C128" s="151"/>
      <c r="D128" s="151"/>
      <c r="E128" s="151"/>
      <c r="F128" s="151"/>
      <c r="G128" s="163" t="s">
        <v>5</v>
      </c>
      <c r="H128" s="164"/>
    </row>
    <row r="129" spans="2:10" ht="18" customHeight="1">
      <c r="B129" s="140" t="s">
        <v>19</v>
      </c>
      <c r="C129" s="165"/>
      <c r="D129" s="165"/>
      <c r="E129" s="165"/>
      <c r="F129" s="165"/>
      <c r="G129" s="181">
        <v>761</v>
      </c>
      <c r="H129" s="182"/>
    </row>
    <row r="130" spans="2:10" ht="17.25" customHeight="1">
      <c r="B130" s="153" t="s">
        <v>39</v>
      </c>
      <c r="C130" s="168"/>
      <c r="D130" s="168"/>
      <c r="E130" s="168"/>
      <c r="F130" s="168"/>
      <c r="G130" s="183">
        <v>761</v>
      </c>
      <c r="H130" s="184"/>
    </row>
    <row r="131" spans="2:10" ht="18" customHeight="1" thickBot="1">
      <c r="B131" s="169" t="s">
        <v>40</v>
      </c>
      <c r="C131" s="170"/>
      <c r="D131" s="170"/>
      <c r="E131" s="170"/>
      <c r="F131" s="170"/>
      <c r="G131" s="185">
        <v>469</v>
      </c>
      <c r="H131" s="186"/>
    </row>
    <row r="134" spans="2:10" ht="17.25">
      <c r="B134" s="35"/>
      <c r="C134" s="35"/>
      <c r="D134" s="35"/>
      <c r="E134" s="35"/>
      <c r="F134" s="35"/>
      <c r="G134" s="35"/>
      <c r="H134" s="35"/>
    </row>
    <row r="135" spans="2:10" ht="17.25">
      <c r="B135" s="36" t="s">
        <v>25</v>
      </c>
      <c r="C135" s="35"/>
      <c r="D135" s="35"/>
      <c r="E135" s="36"/>
      <c r="F135" s="84">
        <f>C6</f>
        <v>41487</v>
      </c>
      <c r="G135" s="35"/>
      <c r="H135" s="35"/>
    </row>
    <row r="136" spans="2:10" ht="18" thickBot="1">
      <c r="B136" s="37"/>
      <c r="C136" s="37"/>
      <c r="D136" s="37"/>
      <c r="E136" s="37"/>
      <c r="F136" s="37"/>
      <c r="G136" s="37"/>
      <c r="H136" s="37"/>
    </row>
    <row r="138" spans="2:10" ht="18" thickBot="1">
      <c r="B138" s="40" t="s">
        <v>45</v>
      </c>
      <c r="C138" s="41"/>
      <c r="D138" s="41"/>
      <c r="E138" s="41"/>
      <c r="F138" s="41"/>
      <c r="G138" s="41"/>
      <c r="H138" s="42" t="s">
        <v>13</v>
      </c>
    </row>
    <row r="139" spans="2:10" ht="15.75" thickBot="1">
      <c r="B139" s="137" t="s">
        <v>20</v>
      </c>
      <c r="C139" s="137"/>
      <c r="D139" s="137"/>
      <c r="E139" s="137"/>
      <c r="F139" s="138"/>
      <c r="G139" s="156" t="s">
        <v>6</v>
      </c>
      <c r="H139" s="156"/>
      <c r="I139"/>
    </row>
    <row r="140" spans="2:10" ht="17.25" customHeight="1">
      <c r="B140" s="157" t="s">
        <v>21</v>
      </c>
      <c r="C140" s="157"/>
      <c r="D140" s="157"/>
      <c r="E140" s="157"/>
      <c r="F140" s="158"/>
      <c r="G140" s="159">
        <v>196488</v>
      </c>
      <c r="H140" s="160"/>
      <c r="I140" s="50"/>
      <c r="J140" s="53"/>
    </row>
    <row r="141" spans="2:10" ht="17.25">
      <c r="B141" s="152" t="s">
        <v>52</v>
      </c>
      <c r="C141" s="152"/>
      <c r="D141" s="152"/>
      <c r="E141" s="152"/>
      <c r="F141" s="153"/>
      <c r="G141" s="161">
        <v>180785</v>
      </c>
      <c r="H141" s="162"/>
      <c r="I141" s="50"/>
      <c r="J141" s="53"/>
    </row>
    <row r="142" spans="2:10" ht="17.25" customHeight="1">
      <c r="B142" s="152" t="s">
        <v>27</v>
      </c>
      <c r="C142" s="152"/>
      <c r="D142" s="152"/>
      <c r="E142" s="152"/>
      <c r="F142" s="153"/>
      <c r="G142" s="161">
        <v>114312</v>
      </c>
      <c r="H142" s="162"/>
      <c r="I142" s="50"/>
      <c r="J142" s="53"/>
    </row>
    <row r="143" spans="2:10" ht="17.25" customHeight="1">
      <c r="B143" s="152" t="s">
        <v>38</v>
      </c>
      <c r="C143" s="152"/>
      <c r="D143" s="152"/>
      <c r="E143" s="152"/>
      <c r="F143" s="153"/>
      <c r="G143" s="161">
        <v>108713</v>
      </c>
      <c r="H143" s="162"/>
      <c r="I143" s="50"/>
      <c r="J143" s="53"/>
    </row>
    <row r="144" spans="2:10" ht="17.25" customHeight="1">
      <c r="B144" s="152" t="s">
        <v>28</v>
      </c>
      <c r="C144" s="152"/>
      <c r="D144" s="152"/>
      <c r="E144" s="152"/>
      <c r="F144" s="153"/>
      <c r="G144" s="161">
        <v>60419</v>
      </c>
      <c r="H144" s="162"/>
      <c r="I144" s="50"/>
      <c r="J144" s="53"/>
    </row>
    <row r="145" spans="2:13" ht="13.5" customHeight="1">
      <c r="B145" s="152" t="s">
        <v>29</v>
      </c>
      <c r="C145" s="152"/>
      <c r="D145" s="152"/>
      <c r="E145" s="152"/>
      <c r="F145" s="153"/>
      <c r="G145" s="161">
        <v>43366</v>
      </c>
      <c r="H145" s="162"/>
      <c r="I145" s="54"/>
      <c r="J145" s="53"/>
    </row>
    <row r="146" spans="2:13" ht="17.25" customHeight="1">
      <c r="B146" s="152" t="s">
        <v>47</v>
      </c>
      <c r="C146" s="152"/>
      <c r="D146" s="152"/>
      <c r="E146" s="152"/>
      <c r="F146" s="153"/>
      <c r="G146" s="161">
        <v>38322</v>
      </c>
      <c r="H146" s="162"/>
      <c r="I146" s="50"/>
      <c r="J146" s="53"/>
    </row>
    <row r="147" spans="2:13" ht="17.25" customHeight="1">
      <c r="B147" s="152" t="s">
        <v>22</v>
      </c>
      <c r="C147" s="152"/>
      <c r="D147" s="152"/>
      <c r="E147" s="152"/>
      <c r="F147" s="153"/>
      <c r="G147" s="161">
        <v>29143</v>
      </c>
      <c r="H147" s="162"/>
      <c r="I147" s="50"/>
      <c r="J147" s="53"/>
    </row>
    <row r="148" spans="2:13" ht="17.25" customHeight="1">
      <c r="B148" s="187" t="s">
        <v>23</v>
      </c>
      <c r="C148" s="187"/>
      <c r="D148" s="187"/>
      <c r="E148" s="187"/>
      <c r="F148" s="188"/>
      <c r="G148" s="161">
        <v>19969</v>
      </c>
      <c r="H148" s="162"/>
      <c r="I148" s="50"/>
      <c r="J148" s="53"/>
      <c r="L148"/>
    </row>
    <row r="149" spans="2:13" ht="18" customHeight="1" thickBot="1">
      <c r="B149" s="171" t="s">
        <v>35</v>
      </c>
      <c r="C149" s="171"/>
      <c r="D149" s="171"/>
      <c r="E149" s="171"/>
      <c r="F149" s="169"/>
      <c r="G149" s="172">
        <v>19462</v>
      </c>
      <c r="H149" s="173"/>
      <c r="I149" s="50"/>
      <c r="J149" s="53"/>
      <c r="L149"/>
    </row>
    <row r="150" spans="2:13" ht="17.25">
      <c r="G150" s="44"/>
      <c r="H150" s="44"/>
      <c r="I150" s="55"/>
      <c r="J150" s="55"/>
    </row>
    <row r="151" spans="2:13" ht="17.25">
      <c r="B151" s="43"/>
      <c r="C151" s="43"/>
      <c r="D151" s="43"/>
      <c r="E151" s="43"/>
      <c r="F151" s="43"/>
      <c r="G151" s="44"/>
      <c r="H151" s="44"/>
      <c r="I151" s="55"/>
      <c r="J151" s="55"/>
    </row>
    <row r="152" spans="2:13" ht="18" thickBot="1">
      <c r="B152" s="40" t="s">
        <v>7</v>
      </c>
      <c r="C152" s="41"/>
      <c r="D152" s="41"/>
      <c r="E152" s="41"/>
      <c r="F152" s="41"/>
      <c r="G152" s="41"/>
      <c r="H152" s="42" t="s">
        <v>12</v>
      </c>
      <c r="I152" s="55"/>
      <c r="J152" s="55"/>
    </row>
    <row r="153" spans="2:13" ht="15.75" thickBot="1">
      <c r="B153" s="137" t="s">
        <v>20</v>
      </c>
      <c r="C153" s="137"/>
      <c r="D153" s="137"/>
      <c r="E153" s="137"/>
      <c r="F153" s="138"/>
      <c r="G153" s="156" t="s">
        <v>6</v>
      </c>
      <c r="H153" s="156"/>
      <c r="I153" s="55"/>
      <c r="J153" s="55"/>
      <c r="K153"/>
      <c r="L153"/>
      <c r="M153"/>
    </row>
    <row r="154" spans="2:13" ht="17.25" customHeight="1">
      <c r="B154" s="157" t="s">
        <v>52</v>
      </c>
      <c r="C154" s="157"/>
      <c r="D154" s="157"/>
      <c r="E154" s="157"/>
      <c r="F154" s="158"/>
      <c r="G154" s="159">
        <v>10148</v>
      </c>
      <c r="H154" s="160"/>
      <c r="I154" s="56"/>
      <c r="J154" s="53"/>
      <c r="K154" s="52"/>
      <c r="L154"/>
      <c r="M154"/>
    </row>
    <row r="155" spans="2:13" ht="17.25" customHeight="1">
      <c r="B155" s="152" t="s">
        <v>27</v>
      </c>
      <c r="C155" s="152"/>
      <c r="D155" s="152"/>
      <c r="E155" s="152"/>
      <c r="F155" s="153"/>
      <c r="G155" s="161">
        <v>9673</v>
      </c>
      <c r="H155" s="162"/>
      <c r="I155" s="56"/>
      <c r="J155" s="53"/>
      <c r="K155" s="52"/>
      <c r="L155"/>
      <c r="M155"/>
    </row>
    <row r="156" spans="2:13" ht="17.25" customHeight="1">
      <c r="B156" s="152" t="s">
        <v>38</v>
      </c>
      <c r="C156" s="152"/>
      <c r="D156" s="152"/>
      <c r="E156" s="152"/>
      <c r="F156" s="153"/>
      <c r="G156" s="161">
        <v>8757</v>
      </c>
      <c r="H156" s="162"/>
      <c r="I156" s="56"/>
      <c r="J156" s="53"/>
      <c r="K156" s="52"/>
      <c r="L156"/>
      <c r="M156"/>
    </row>
    <row r="157" spans="2:13" ht="17.25">
      <c r="B157" s="152" t="s">
        <v>21</v>
      </c>
      <c r="C157" s="152"/>
      <c r="D157" s="152"/>
      <c r="E157" s="152"/>
      <c r="F157" s="153"/>
      <c r="G157" s="161">
        <v>6109</v>
      </c>
      <c r="H157" s="162"/>
      <c r="I157" s="56"/>
      <c r="J157" s="53"/>
      <c r="K157" s="52"/>
      <c r="L157"/>
      <c r="M157"/>
    </row>
    <row r="158" spans="2:13" ht="17.25" customHeight="1">
      <c r="B158" s="152" t="s">
        <v>28</v>
      </c>
      <c r="C158" s="152"/>
      <c r="D158" s="152"/>
      <c r="E158" s="152"/>
      <c r="F158" s="153"/>
      <c r="G158" s="161">
        <v>3788</v>
      </c>
      <c r="H158" s="162"/>
      <c r="I158" s="56"/>
      <c r="J158" s="53"/>
      <c r="K158" s="52"/>
      <c r="L158"/>
      <c r="M158"/>
    </row>
    <row r="159" spans="2:13" ht="17.25" customHeight="1">
      <c r="B159" s="152" t="s">
        <v>47</v>
      </c>
      <c r="C159" s="152"/>
      <c r="D159" s="152"/>
      <c r="E159" s="152"/>
      <c r="F159" s="153"/>
      <c r="G159" s="161">
        <v>3133</v>
      </c>
      <c r="H159" s="162"/>
      <c r="I159" s="57"/>
      <c r="J159" s="53"/>
      <c r="K159" s="52"/>
      <c r="L159"/>
      <c r="M159"/>
    </row>
    <row r="160" spans="2:13" ht="17.25" customHeight="1">
      <c r="B160" s="152" t="s">
        <v>29</v>
      </c>
      <c r="C160" s="152"/>
      <c r="D160" s="152"/>
      <c r="E160" s="152"/>
      <c r="F160" s="153"/>
      <c r="G160" s="161">
        <v>3124</v>
      </c>
      <c r="H160" s="162"/>
      <c r="I160" s="56"/>
      <c r="J160" s="53"/>
      <c r="K160" s="52"/>
      <c r="L160"/>
      <c r="M160"/>
    </row>
    <row r="161" spans="2:13" ht="17.25" customHeight="1">
      <c r="B161" s="152" t="s">
        <v>22</v>
      </c>
      <c r="C161" s="152"/>
      <c r="D161" s="152"/>
      <c r="E161" s="152"/>
      <c r="F161" s="153"/>
      <c r="G161" s="161">
        <v>1528</v>
      </c>
      <c r="H161" s="162"/>
      <c r="I161" s="56"/>
      <c r="J161" s="53"/>
      <c r="K161" s="52"/>
      <c r="L161"/>
      <c r="M161"/>
    </row>
    <row r="162" spans="2:13" ht="17.25">
      <c r="B162" s="152" t="s">
        <v>49</v>
      </c>
      <c r="C162" s="152"/>
      <c r="D162" s="152"/>
      <c r="E162" s="152"/>
      <c r="F162" s="153"/>
      <c r="G162" s="161">
        <v>1499</v>
      </c>
      <c r="H162" s="162"/>
      <c r="I162" s="56"/>
      <c r="J162" s="53"/>
      <c r="K162" s="52"/>
      <c r="L162"/>
      <c r="M162"/>
    </row>
    <row r="163" spans="2:13" ht="18" customHeight="1" thickBot="1">
      <c r="B163" s="171" t="s">
        <v>23</v>
      </c>
      <c r="C163" s="171"/>
      <c r="D163" s="171"/>
      <c r="E163" s="171"/>
      <c r="F163" s="169"/>
      <c r="G163" s="172">
        <v>1336</v>
      </c>
      <c r="H163" s="173"/>
      <c r="I163" s="56"/>
      <c r="J163" s="53"/>
      <c r="K163" s="52"/>
      <c r="L163"/>
      <c r="M163"/>
    </row>
    <row r="164" spans="2:13" ht="17.25">
      <c r="B164" s="43"/>
      <c r="C164" s="43"/>
      <c r="D164" s="43"/>
      <c r="E164" s="43"/>
      <c r="F164" s="43"/>
      <c r="G164" s="44"/>
      <c r="H164" s="44"/>
      <c r="I164" s="55"/>
      <c r="J164" s="55"/>
      <c r="L164"/>
      <c r="M164"/>
    </row>
    <row r="165" spans="2:13" ht="17.25">
      <c r="G165" s="44"/>
      <c r="H165" s="44"/>
      <c r="I165" s="2"/>
      <c r="J165" s="2"/>
    </row>
    <row r="166" spans="2:13" ht="18" thickBot="1">
      <c r="B166" s="40" t="s">
        <v>8</v>
      </c>
      <c r="C166" s="41"/>
      <c r="D166" s="41"/>
      <c r="E166" s="41"/>
      <c r="F166" s="41"/>
      <c r="G166" s="41"/>
      <c r="H166" s="42" t="s">
        <v>14</v>
      </c>
      <c r="I166" s="2"/>
      <c r="J166" s="55"/>
      <c r="K166"/>
    </row>
    <row r="167" spans="2:13" ht="15" customHeight="1" thickBot="1">
      <c r="B167" s="137" t="s">
        <v>20</v>
      </c>
      <c r="C167" s="137"/>
      <c r="D167" s="137"/>
      <c r="E167" s="137"/>
      <c r="F167" s="138"/>
      <c r="G167" s="156" t="s">
        <v>9</v>
      </c>
      <c r="H167" s="156"/>
      <c r="I167" s="2"/>
      <c r="J167" s="2"/>
    </row>
    <row r="168" spans="2:13" ht="17.25" customHeight="1">
      <c r="B168" s="157" t="s">
        <v>52</v>
      </c>
      <c r="C168" s="157"/>
      <c r="D168" s="157"/>
      <c r="E168" s="157"/>
      <c r="F168" s="158"/>
      <c r="G168" s="159">
        <v>849446137539</v>
      </c>
      <c r="H168" s="160"/>
      <c r="I168" s="58"/>
      <c r="J168" s="59"/>
    </row>
    <row r="169" spans="2:13" ht="17.25" customHeight="1">
      <c r="B169" s="152" t="s">
        <v>47</v>
      </c>
      <c r="C169" s="152"/>
      <c r="D169" s="152"/>
      <c r="E169" s="152"/>
      <c r="F169" s="153"/>
      <c r="G169" s="161">
        <v>718227515999</v>
      </c>
      <c r="H169" s="162"/>
      <c r="I169" s="58"/>
      <c r="J169" s="59"/>
    </row>
    <row r="170" spans="2:13" ht="17.25" customHeight="1">
      <c r="B170" s="152" t="s">
        <v>31</v>
      </c>
      <c r="C170" s="152"/>
      <c r="D170" s="152"/>
      <c r="E170" s="152"/>
      <c r="F170" s="153"/>
      <c r="G170" s="161">
        <v>647808752436</v>
      </c>
      <c r="H170" s="162"/>
      <c r="I170" s="58"/>
      <c r="J170" s="59"/>
    </row>
    <row r="171" spans="2:13" ht="17.25" customHeight="1">
      <c r="B171" s="152" t="s">
        <v>38</v>
      </c>
      <c r="C171" s="152"/>
      <c r="D171" s="152"/>
      <c r="E171" s="152"/>
      <c r="F171" s="153"/>
      <c r="G171" s="161">
        <v>645340101700</v>
      </c>
      <c r="H171" s="162"/>
      <c r="I171" s="58"/>
      <c r="J171" s="59"/>
    </row>
    <row r="172" spans="2:13" ht="17.25" customHeight="1">
      <c r="B172" s="152" t="s">
        <v>53</v>
      </c>
      <c r="C172" s="152"/>
      <c r="D172" s="152"/>
      <c r="E172" s="152"/>
      <c r="F172" s="153"/>
      <c r="G172" s="161">
        <v>410723165470</v>
      </c>
      <c r="H172" s="162"/>
      <c r="I172" s="60"/>
      <c r="J172" s="53"/>
    </row>
    <row r="173" spans="2:13" ht="17.25" customHeight="1">
      <c r="B173" s="152" t="s">
        <v>32</v>
      </c>
      <c r="C173" s="152"/>
      <c r="D173" s="152"/>
      <c r="E173" s="152"/>
      <c r="F173" s="153"/>
      <c r="G173" s="161">
        <v>311525517378</v>
      </c>
      <c r="H173" s="162"/>
      <c r="I173" s="58"/>
      <c r="J173" s="59"/>
    </row>
    <row r="174" spans="2:13" ht="17.25" customHeight="1">
      <c r="B174" s="152" t="s">
        <v>27</v>
      </c>
      <c r="C174" s="152"/>
      <c r="D174" s="152"/>
      <c r="E174" s="152"/>
      <c r="F174" s="153"/>
      <c r="G174" s="161">
        <v>296562985483</v>
      </c>
      <c r="H174" s="162"/>
      <c r="I174" s="58"/>
      <c r="J174" s="59"/>
    </row>
    <row r="175" spans="2:13" ht="17.25" customHeight="1">
      <c r="B175" s="152" t="s">
        <v>34</v>
      </c>
      <c r="C175" s="152"/>
      <c r="D175" s="152"/>
      <c r="E175" s="152"/>
      <c r="F175" s="153"/>
      <c r="G175" s="161">
        <v>251725666817</v>
      </c>
      <c r="H175" s="162"/>
      <c r="I175" s="58"/>
      <c r="J175" s="59"/>
    </row>
    <row r="176" spans="2:13" ht="17.25" customHeight="1">
      <c r="B176" s="152" t="s">
        <v>29</v>
      </c>
      <c r="C176" s="152"/>
      <c r="D176" s="152"/>
      <c r="E176" s="152"/>
      <c r="F176" s="153"/>
      <c r="G176" s="161">
        <v>239286823140</v>
      </c>
      <c r="H176" s="162"/>
      <c r="I176" s="58"/>
      <c r="J176" s="59"/>
    </row>
    <row r="177" spans="2:10" ht="18" customHeight="1" thickBot="1">
      <c r="B177" s="171" t="s">
        <v>46</v>
      </c>
      <c r="C177" s="171"/>
      <c r="D177" s="171"/>
      <c r="E177" s="171"/>
      <c r="F177" s="169"/>
      <c r="G177" s="172">
        <v>218025840330</v>
      </c>
      <c r="H177" s="173"/>
      <c r="I177" s="58"/>
      <c r="J177" s="59"/>
    </row>
    <row r="178" spans="2:10" ht="17.25">
      <c r="G178" s="44"/>
      <c r="H178" s="44"/>
      <c r="J178" s="51"/>
    </row>
    <row r="179" spans="2:10">
      <c r="B179" s="66"/>
      <c r="J179" s="51"/>
    </row>
  </sheetData>
  <dataConsolidate link="1"/>
  <mergeCells count="104">
    <mergeCell ref="B177:F177"/>
    <mergeCell ref="G177:H177"/>
    <mergeCell ref="B174:F174"/>
    <mergeCell ref="G174:H174"/>
    <mergeCell ref="B175:F175"/>
    <mergeCell ref="G175:H175"/>
    <mergeCell ref="B176:F176"/>
    <mergeCell ref="G176:H176"/>
    <mergeCell ref="B171:F171"/>
    <mergeCell ref="G171:H171"/>
    <mergeCell ref="B172:F172"/>
    <mergeCell ref="G172:H172"/>
    <mergeCell ref="B173:F173"/>
    <mergeCell ref="G173:H173"/>
    <mergeCell ref="B168:F168"/>
    <mergeCell ref="G168:H168"/>
    <mergeCell ref="B169:F169"/>
    <mergeCell ref="G169:H169"/>
    <mergeCell ref="B170:F170"/>
    <mergeCell ref="G170:H170"/>
    <mergeCell ref="B162:F162"/>
    <mergeCell ref="G162:H162"/>
    <mergeCell ref="B163:F163"/>
    <mergeCell ref="G163:H163"/>
    <mergeCell ref="B167:F167"/>
    <mergeCell ref="G167:H167"/>
    <mergeCell ref="B159:F159"/>
    <mergeCell ref="G159:H159"/>
    <mergeCell ref="B160:F160"/>
    <mergeCell ref="G160:H160"/>
    <mergeCell ref="B161:F161"/>
    <mergeCell ref="G161:H161"/>
    <mergeCell ref="B156:F156"/>
    <mergeCell ref="G156:H156"/>
    <mergeCell ref="B157:F157"/>
    <mergeCell ref="G157:H157"/>
    <mergeCell ref="B158:F158"/>
    <mergeCell ref="G158:H158"/>
    <mergeCell ref="B153:F153"/>
    <mergeCell ref="G153:H153"/>
    <mergeCell ref="B154:F154"/>
    <mergeCell ref="G154:H154"/>
    <mergeCell ref="B155:F155"/>
    <mergeCell ref="G155:H155"/>
    <mergeCell ref="B147:F147"/>
    <mergeCell ref="G147:H147"/>
    <mergeCell ref="B148:F148"/>
    <mergeCell ref="G148:H148"/>
    <mergeCell ref="B149:F149"/>
    <mergeCell ref="G149:H149"/>
    <mergeCell ref="B144:F144"/>
    <mergeCell ref="G144:H144"/>
    <mergeCell ref="B145:F145"/>
    <mergeCell ref="G145:H145"/>
    <mergeCell ref="B146:F146"/>
    <mergeCell ref="G146:H146"/>
    <mergeCell ref="B141:F141"/>
    <mergeCell ref="G141:H141"/>
    <mergeCell ref="B142:F142"/>
    <mergeCell ref="G142:H142"/>
    <mergeCell ref="B143:F143"/>
    <mergeCell ref="G143:H143"/>
    <mergeCell ref="B131:F131"/>
    <mergeCell ref="G131:H131"/>
    <mergeCell ref="B139:F139"/>
    <mergeCell ref="G139:H139"/>
    <mergeCell ref="B140:F140"/>
    <mergeCell ref="G140:H140"/>
    <mergeCell ref="B128:F128"/>
    <mergeCell ref="G128:H128"/>
    <mergeCell ref="B129:F129"/>
    <mergeCell ref="G129:H129"/>
    <mergeCell ref="B130:F130"/>
    <mergeCell ref="G130:H130"/>
    <mergeCell ref="B49:D49"/>
    <mergeCell ref="B50:D50"/>
    <mergeCell ref="B51:D51"/>
    <mergeCell ref="B52:D52"/>
    <mergeCell ref="B53:D53"/>
    <mergeCell ref="B54:D54"/>
    <mergeCell ref="B34:D34"/>
    <mergeCell ref="B35:D35"/>
    <mergeCell ref="B36:D36"/>
    <mergeCell ref="B37:D37"/>
    <mergeCell ref="B38:D38"/>
    <mergeCell ref="B39:D39"/>
    <mergeCell ref="B27:D27"/>
    <mergeCell ref="B28:D28"/>
    <mergeCell ref="B33:D33"/>
    <mergeCell ref="B14:D14"/>
    <mergeCell ref="B15:D15"/>
    <mergeCell ref="B16:D16"/>
    <mergeCell ref="B17:D17"/>
    <mergeCell ref="B22:D22"/>
    <mergeCell ref="B23:D23"/>
    <mergeCell ref="B2:H2"/>
    <mergeCell ref="B3:H3"/>
    <mergeCell ref="I3:N3"/>
    <mergeCell ref="B11:D11"/>
    <mergeCell ref="B12:D12"/>
    <mergeCell ref="B13:D13"/>
    <mergeCell ref="B24:D24"/>
    <mergeCell ref="B25:D25"/>
    <mergeCell ref="B26:D26"/>
  </mergeCells>
  <pageMargins left="0.70866141732283472" right="0.70866141732283472" top="0.15748031496062992" bottom="0.15748031496062992" header="0.31496062992125984" footer="0.11811023622047245"/>
  <pageSetup paperSize="9" scale="56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50" max="16383" man="1"/>
    <brk id="191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21857">
          <objectPr defaultSize="0" autoPict="0" dde="1">
            <anchor moveWithCells="1">
              <from>
                <xdr:col>0</xdr:col>
                <xdr:colOff>123825</xdr:colOff>
                <xdr:row>75</xdr:row>
                <xdr:rowOff>19050</xdr:rowOff>
              </from>
              <to>
                <xdr:col>1</xdr:col>
                <xdr:colOff>266700</xdr:colOff>
                <xdr:row>76</xdr:row>
                <xdr:rowOff>104775</xdr:rowOff>
              </to>
            </anchor>
          </objectPr>
        </oleObject>
      </mc:Choice>
      <mc:Fallback>
        <oleObject link="[1]!'!Январь2012!R1C2:R10C9'" oleUpdate="OLEUPDATE_ALWAYS" shapeId="121857"/>
      </mc:Fallback>
    </mc:AlternateContent>
  </oleObjec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81">
    <pageSetUpPr fitToPage="1"/>
  </sheetPr>
  <dimension ref="B2:N179"/>
  <sheetViews>
    <sheetView topLeftCell="A79" workbookViewId="0">
      <selection activeCell="H40" sqref="H40"/>
    </sheetView>
  </sheetViews>
  <sheetFormatPr defaultRowHeight="13.5"/>
  <cols>
    <col min="1" max="1" width="3.42578125" style="88" customWidth="1"/>
    <col min="2" max="2" width="46.7109375" style="88" customWidth="1"/>
    <col min="3" max="6" width="18.42578125" style="88" customWidth="1"/>
    <col min="7" max="7" width="22.7109375" style="88" customWidth="1"/>
    <col min="8" max="8" width="18.42578125" style="88" customWidth="1"/>
    <col min="9" max="9" width="10.85546875" style="88" customWidth="1"/>
    <col min="10" max="10" width="10.5703125" style="88" customWidth="1"/>
    <col min="11" max="11" width="14.85546875" style="88" bestFit="1" customWidth="1"/>
    <col min="12" max="12" width="9.140625" style="88"/>
    <col min="13" max="13" width="23.42578125" style="88" customWidth="1"/>
    <col min="14" max="16384" width="9.140625" style="88"/>
  </cols>
  <sheetData>
    <row r="2" spans="2:14" s="1" customFormat="1" ht="20.25">
      <c r="B2" s="123" t="s">
        <v>15</v>
      </c>
      <c r="C2" s="123"/>
      <c r="D2" s="123"/>
      <c r="E2" s="123"/>
      <c r="F2" s="123"/>
      <c r="G2" s="123"/>
      <c r="H2" s="123"/>
    </row>
    <row r="3" spans="2:14" s="1" customFormat="1" ht="21" thickBot="1">
      <c r="B3" s="124">
        <v>41518</v>
      </c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</row>
    <row r="4" spans="2:14" s="1" customFormat="1" ht="18" thickTop="1"/>
    <row r="5" spans="2:14" s="1" customFormat="1" ht="17.25">
      <c r="B5" s="19"/>
      <c r="C5" s="19"/>
      <c r="D5" s="19"/>
      <c r="E5" s="19"/>
      <c r="F5" s="19"/>
      <c r="G5" s="19"/>
      <c r="H5" s="19"/>
    </row>
    <row r="6" spans="2:14" s="1" customFormat="1" ht="17.25">
      <c r="B6" s="20" t="s">
        <v>24</v>
      </c>
      <c r="C6" s="77">
        <f>B3</f>
        <v>41518</v>
      </c>
      <c r="D6" s="19"/>
      <c r="E6" s="19"/>
      <c r="F6" s="19"/>
      <c r="G6" s="19"/>
      <c r="H6" s="19"/>
    </row>
    <row r="7" spans="2:14" s="1" customFormat="1" ht="18" thickBot="1">
      <c r="B7" s="23"/>
      <c r="C7" s="23"/>
      <c r="D7" s="23"/>
      <c r="E7" s="23"/>
      <c r="F7" s="23"/>
      <c r="G7" s="23"/>
      <c r="H7" s="23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5" t="s">
        <v>70</v>
      </c>
      <c r="C10" s="16"/>
      <c r="D10" s="16"/>
      <c r="E10" s="16"/>
      <c r="F10" s="16"/>
      <c r="G10" s="16"/>
      <c r="H10" s="17" t="s">
        <v>13</v>
      </c>
    </row>
    <row r="11" spans="2:14" s="49" customFormat="1" ht="15.75" thickBot="1">
      <c r="B11" s="125" t="s">
        <v>18</v>
      </c>
      <c r="C11" s="125"/>
      <c r="D11" s="126"/>
      <c r="E11" s="85">
        <v>41517</v>
      </c>
      <c r="F11" s="85">
        <f>EDATE(E11,1)</f>
        <v>41547</v>
      </c>
      <c r="G11" s="48" t="s">
        <v>10</v>
      </c>
      <c r="H11" s="48" t="s">
        <v>11</v>
      </c>
      <c r="J11" s="90"/>
    </row>
    <row r="12" spans="2:14" s="89" customFormat="1" ht="17.25">
      <c r="B12" s="127" t="s">
        <v>0</v>
      </c>
      <c r="C12" s="127"/>
      <c r="D12" s="128"/>
      <c r="E12" s="103">
        <v>1032506</v>
      </c>
      <c r="F12" s="103">
        <v>1035902</v>
      </c>
      <c r="G12" s="13">
        <f>F12-E12</f>
        <v>3396</v>
      </c>
      <c r="H12" s="68">
        <f>F12/E12-1</f>
        <v>3.2890850028959306E-3</v>
      </c>
      <c r="I12" s="113"/>
      <c r="J12" s="114"/>
    </row>
    <row r="13" spans="2:14" s="89" customFormat="1" ht="17.25">
      <c r="B13" s="129" t="s">
        <v>1</v>
      </c>
      <c r="C13" s="129"/>
      <c r="D13" s="130"/>
      <c r="E13" s="103">
        <v>35463</v>
      </c>
      <c r="F13" s="103">
        <v>35495</v>
      </c>
      <c r="G13" s="13">
        <f t="shared" ref="G13:G18" si="0">F13-E13</f>
        <v>32</v>
      </c>
      <c r="H13" s="68">
        <f t="shared" ref="H13:H18" si="1">F13/E13-1</f>
        <v>9.0234892705076675E-4</v>
      </c>
      <c r="I13" s="113"/>
      <c r="J13" s="114"/>
    </row>
    <row r="14" spans="2:14" s="89" customFormat="1" ht="17.25">
      <c r="B14" s="129" t="s">
        <v>2</v>
      </c>
      <c r="C14" s="129"/>
      <c r="D14" s="130"/>
      <c r="E14" s="103">
        <v>13206</v>
      </c>
      <c r="F14" s="103">
        <v>13350</v>
      </c>
      <c r="G14" s="13">
        <f t="shared" si="0"/>
        <v>144</v>
      </c>
      <c r="H14" s="68">
        <f t="shared" si="1"/>
        <v>1.0904134484325256E-2</v>
      </c>
      <c r="I14" s="113"/>
      <c r="J14" s="114"/>
    </row>
    <row r="15" spans="2:14" s="89" customFormat="1" ht="17.25">
      <c r="B15" s="131" t="s">
        <v>41</v>
      </c>
      <c r="C15" s="131"/>
      <c r="D15" s="132"/>
      <c r="E15" s="103">
        <v>2475</v>
      </c>
      <c r="F15" s="103">
        <v>2507</v>
      </c>
      <c r="G15" s="13">
        <f t="shared" si="0"/>
        <v>32</v>
      </c>
      <c r="H15" s="68">
        <f t="shared" si="1"/>
        <v>1.2929292929293013E-2</v>
      </c>
      <c r="I15" s="113"/>
      <c r="J15" s="114"/>
    </row>
    <row r="16" spans="2:14" s="89" customFormat="1" ht="17.25">
      <c r="B16" s="133" t="s">
        <v>42</v>
      </c>
      <c r="C16" s="133"/>
      <c r="D16" s="134"/>
      <c r="E16" s="103">
        <v>10731</v>
      </c>
      <c r="F16" s="103">
        <v>10843</v>
      </c>
      <c r="G16" s="13">
        <f t="shared" si="0"/>
        <v>112</v>
      </c>
      <c r="H16" s="68">
        <f t="shared" si="1"/>
        <v>1.0437051532941943E-2</v>
      </c>
      <c r="I16" s="113"/>
      <c r="J16" s="114"/>
    </row>
    <row r="17" spans="2:10" s="89" customFormat="1" ht="18" customHeight="1" thickBot="1">
      <c r="B17" s="135" t="s">
        <v>3</v>
      </c>
      <c r="C17" s="135"/>
      <c r="D17" s="136"/>
      <c r="E17" s="103">
        <v>12482</v>
      </c>
      <c r="F17" s="103">
        <v>12448</v>
      </c>
      <c r="G17" s="13">
        <f t="shared" si="0"/>
        <v>-34</v>
      </c>
      <c r="H17" s="68">
        <f t="shared" si="1"/>
        <v>-2.7239224483256441E-3</v>
      </c>
      <c r="I17" s="113"/>
      <c r="J17" s="114"/>
    </row>
    <row r="18" spans="2:10" s="79" customFormat="1" ht="18" thickBot="1">
      <c r="B18" s="69" t="s">
        <v>4</v>
      </c>
      <c r="C18" s="69"/>
      <c r="D18" s="70"/>
      <c r="E18" s="82">
        <v>1093657</v>
      </c>
      <c r="F18" s="82">
        <v>1097195</v>
      </c>
      <c r="G18" s="82">
        <f t="shared" si="0"/>
        <v>3538</v>
      </c>
      <c r="H18" s="78">
        <f t="shared" si="1"/>
        <v>3.2350179260955958E-3</v>
      </c>
      <c r="I18" s="113"/>
      <c r="J18" s="114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5" t="s">
        <v>71</v>
      </c>
      <c r="C21" s="16"/>
      <c r="D21" s="16"/>
      <c r="E21" s="16"/>
      <c r="F21" s="16"/>
      <c r="G21" s="16"/>
      <c r="H21" s="17" t="s">
        <v>12</v>
      </c>
    </row>
    <row r="22" spans="2:10" s="89" customFormat="1" ht="15.75" thickBot="1">
      <c r="B22" s="125" t="s">
        <v>18</v>
      </c>
      <c r="C22" s="125"/>
      <c r="D22" s="126"/>
      <c r="E22" s="85">
        <f>E11</f>
        <v>41517</v>
      </c>
      <c r="F22" s="85">
        <f>F11</f>
        <v>41547</v>
      </c>
      <c r="G22" s="48" t="s">
        <v>10</v>
      </c>
      <c r="H22" s="48" t="s">
        <v>11</v>
      </c>
      <c r="J22" s="90"/>
    </row>
    <row r="23" spans="2:10" s="89" customFormat="1" ht="17.25">
      <c r="B23" s="127" t="s">
        <v>0</v>
      </c>
      <c r="C23" s="127"/>
      <c r="D23" s="128"/>
      <c r="E23" s="103">
        <v>882528</v>
      </c>
      <c r="F23" s="103">
        <v>872709</v>
      </c>
      <c r="G23" s="13">
        <f>F23-E23</f>
        <v>-9819</v>
      </c>
      <c r="H23" s="68">
        <f>F23/E23-1</f>
        <v>-1.1125992603067569E-2</v>
      </c>
      <c r="I23" s="114"/>
    </row>
    <row r="24" spans="2:10" s="89" customFormat="1" ht="17.25">
      <c r="B24" s="129" t="s">
        <v>1</v>
      </c>
      <c r="C24" s="129"/>
      <c r="D24" s="130"/>
      <c r="E24" s="103">
        <v>19235</v>
      </c>
      <c r="F24" s="103">
        <v>19279</v>
      </c>
      <c r="G24" s="13">
        <f t="shared" ref="G24:G29" si="2">F24-E24</f>
        <v>44</v>
      </c>
      <c r="H24" s="68">
        <f t="shared" ref="H24:H29" si="3">F24/E24-1</f>
        <v>2.2874967507149346E-3</v>
      </c>
      <c r="I24" s="114"/>
    </row>
    <row r="25" spans="2:10" s="89" customFormat="1" ht="17.25">
      <c r="B25" s="129" t="s">
        <v>2</v>
      </c>
      <c r="C25" s="129"/>
      <c r="D25" s="130"/>
      <c r="E25" s="103">
        <v>6722</v>
      </c>
      <c r="F25" s="103">
        <v>6763</v>
      </c>
      <c r="G25" s="13">
        <f t="shared" si="2"/>
        <v>41</v>
      </c>
      <c r="H25" s="68">
        <f t="shared" si="3"/>
        <v>6.0993751859566014E-3</v>
      </c>
      <c r="I25" s="114"/>
    </row>
    <row r="26" spans="2:10" s="89" customFormat="1" ht="17.25">
      <c r="B26" s="131" t="s">
        <v>41</v>
      </c>
      <c r="C26" s="131"/>
      <c r="D26" s="132"/>
      <c r="E26" s="103">
        <v>2416</v>
      </c>
      <c r="F26" s="103">
        <v>2444</v>
      </c>
      <c r="G26" s="13">
        <f t="shared" si="2"/>
        <v>28</v>
      </c>
      <c r="H26" s="68">
        <f t="shared" si="3"/>
        <v>1.1589403973509826E-2</v>
      </c>
      <c r="I26" s="114"/>
    </row>
    <row r="27" spans="2:10" s="89" customFormat="1" ht="17.25">
      <c r="B27" s="133" t="s">
        <v>42</v>
      </c>
      <c r="C27" s="133"/>
      <c r="D27" s="134"/>
      <c r="E27" s="103">
        <v>4306</v>
      </c>
      <c r="F27" s="103">
        <v>4319</v>
      </c>
      <c r="G27" s="13">
        <f t="shared" si="2"/>
        <v>13</v>
      </c>
      <c r="H27" s="68">
        <f t="shared" si="3"/>
        <v>3.0190431955410268E-3</v>
      </c>
      <c r="I27" s="114"/>
    </row>
    <row r="28" spans="2:10" s="89" customFormat="1" ht="18" thickBot="1">
      <c r="B28" s="135" t="s">
        <v>3</v>
      </c>
      <c r="C28" s="135"/>
      <c r="D28" s="136"/>
      <c r="E28" s="103">
        <v>5237</v>
      </c>
      <c r="F28" s="103">
        <v>5254</v>
      </c>
      <c r="G28" s="13">
        <f t="shared" si="2"/>
        <v>17</v>
      </c>
      <c r="H28" s="68">
        <f t="shared" si="3"/>
        <v>3.2461332824136324E-3</v>
      </c>
      <c r="I28" s="114"/>
    </row>
    <row r="29" spans="2:10" s="79" customFormat="1" ht="18" thickBot="1">
      <c r="B29" s="69" t="s">
        <v>4</v>
      </c>
      <c r="C29" s="69"/>
      <c r="D29" s="70"/>
      <c r="E29" s="82">
        <f>SUM(E23,E24,E25,E28)</f>
        <v>913722</v>
      </c>
      <c r="F29" s="82">
        <f>SUM(F23,F24,F25,F28)</f>
        <v>904005</v>
      </c>
      <c r="G29" s="82">
        <f t="shared" si="2"/>
        <v>-9717</v>
      </c>
      <c r="H29" s="78">
        <f t="shared" si="3"/>
        <v>-1.0634525599690026E-2</v>
      </c>
      <c r="I29" s="114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5" t="s">
        <v>16</v>
      </c>
      <c r="C32" s="16"/>
      <c r="D32" s="16"/>
      <c r="E32" s="16"/>
      <c r="F32" s="16"/>
      <c r="G32" s="16"/>
      <c r="H32" s="17" t="s">
        <v>14</v>
      </c>
    </row>
    <row r="33" spans="2:9" ht="15.75" thickBot="1">
      <c r="B33" s="137" t="s">
        <v>18</v>
      </c>
      <c r="C33" s="137"/>
      <c r="D33" s="138"/>
      <c r="E33" s="83">
        <f>EDATE(C6,-1)</f>
        <v>41487</v>
      </c>
      <c r="F33" s="83">
        <f>EDATE(E33,1)</f>
        <v>41518</v>
      </c>
      <c r="G33" s="18" t="s">
        <v>10</v>
      </c>
      <c r="H33" s="18" t="s">
        <v>11</v>
      </c>
    </row>
    <row r="34" spans="2:9" ht="17.25">
      <c r="B34" s="139" t="s">
        <v>0</v>
      </c>
      <c r="C34" s="139"/>
      <c r="D34" s="140"/>
      <c r="E34" s="97">
        <v>55892</v>
      </c>
      <c r="F34" s="97">
        <v>61179</v>
      </c>
      <c r="G34" s="13">
        <f t="shared" ref="G34:G40" si="4">F34-E34</f>
        <v>5287</v>
      </c>
      <c r="H34" s="68">
        <f t="shared" ref="H34:H40" si="5">F34/E34-1</f>
        <v>9.4593143920417955E-2</v>
      </c>
    </row>
    <row r="35" spans="2:9" ht="17.25">
      <c r="B35" s="152" t="s">
        <v>1</v>
      </c>
      <c r="C35" s="152"/>
      <c r="D35" s="153"/>
      <c r="E35" s="97">
        <v>1362</v>
      </c>
      <c r="F35" s="97">
        <v>1399</v>
      </c>
      <c r="G35" s="13">
        <f t="shared" si="4"/>
        <v>37</v>
      </c>
      <c r="H35" s="68">
        <f t="shared" si="5"/>
        <v>2.7165932452276165E-2</v>
      </c>
    </row>
    <row r="36" spans="2:9" ht="17.25">
      <c r="B36" s="152" t="s">
        <v>2</v>
      </c>
      <c r="C36" s="152"/>
      <c r="D36" s="153"/>
      <c r="E36" s="97">
        <v>609</v>
      </c>
      <c r="F36" s="97">
        <v>628</v>
      </c>
      <c r="G36" s="13">
        <f t="shared" si="4"/>
        <v>19</v>
      </c>
      <c r="H36" s="68">
        <f t="shared" si="5"/>
        <v>3.1198686371100237E-2</v>
      </c>
    </row>
    <row r="37" spans="2:9" ht="17.25">
      <c r="B37" s="131" t="s">
        <v>41</v>
      </c>
      <c r="C37" s="131"/>
      <c r="D37" s="132"/>
      <c r="E37" s="97">
        <v>150</v>
      </c>
      <c r="F37" s="97">
        <v>160</v>
      </c>
      <c r="G37" s="13">
        <f t="shared" si="4"/>
        <v>10</v>
      </c>
      <c r="H37" s="68">
        <f t="shared" si="5"/>
        <v>6.6666666666666652E-2</v>
      </c>
    </row>
    <row r="38" spans="2:9" ht="17.25">
      <c r="B38" s="133" t="s">
        <v>42</v>
      </c>
      <c r="C38" s="133"/>
      <c r="D38" s="134"/>
      <c r="E38" s="97">
        <v>459</v>
      </c>
      <c r="F38" s="97">
        <v>468</v>
      </c>
      <c r="G38" s="13">
        <f t="shared" si="4"/>
        <v>9</v>
      </c>
      <c r="H38" s="68">
        <f t="shared" si="5"/>
        <v>1.9607843137254832E-2</v>
      </c>
    </row>
    <row r="39" spans="2:9" ht="18" thickBot="1">
      <c r="B39" s="154" t="s">
        <v>3</v>
      </c>
      <c r="C39" s="154"/>
      <c r="D39" s="155"/>
      <c r="E39" s="97">
        <v>651</v>
      </c>
      <c r="F39" s="97">
        <v>721</v>
      </c>
      <c r="G39" s="13">
        <f t="shared" si="4"/>
        <v>70</v>
      </c>
      <c r="H39" s="68">
        <f t="shared" si="5"/>
        <v>0.10752688172043001</v>
      </c>
    </row>
    <row r="40" spans="2:9" s="79" customFormat="1" ht="18" thickBot="1">
      <c r="B40" s="69" t="s">
        <v>4</v>
      </c>
      <c r="C40" s="69"/>
      <c r="D40" s="70"/>
      <c r="E40" s="82">
        <v>58514</v>
      </c>
      <c r="F40" s="82">
        <v>63927</v>
      </c>
      <c r="G40" s="82">
        <f t="shared" si="4"/>
        <v>5413</v>
      </c>
      <c r="H40" s="78">
        <f t="shared" si="5"/>
        <v>9.2507775916874646E-2</v>
      </c>
      <c r="I40" s="88"/>
    </row>
    <row r="41" spans="2:9" ht="15">
      <c r="B41" s="6"/>
      <c r="C41" s="6"/>
      <c r="D41" s="6"/>
      <c r="E41" s="45"/>
      <c r="F41" s="45"/>
      <c r="G41" s="46"/>
      <c r="H41" s="47"/>
    </row>
    <row r="42" spans="2:9" ht="15">
      <c r="B42" s="10"/>
      <c r="C42" s="2"/>
      <c r="D42" s="2"/>
      <c r="E42" s="2"/>
      <c r="F42" s="2"/>
      <c r="G42" s="2"/>
    </row>
    <row r="43" spans="2:9" ht="17.25">
      <c r="B43" s="21"/>
      <c r="C43" s="21"/>
      <c r="D43" s="21"/>
      <c r="E43" s="21"/>
      <c r="F43" s="21"/>
      <c r="G43" s="21"/>
      <c r="H43" s="21"/>
    </row>
    <row r="44" spans="2:9" ht="17.25">
      <c r="B44" s="22" t="s">
        <v>17</v>
      </c>
      <c r="C44" s="21"/>
      <c r="D44" s="21"/>
      <c r="E44" s="21"/>
      <c r="F44" s="21"/>
      <c r="G44" s="21"/>
      <c r="H44" s="21"/>
    </row>
    <row r="45" spans="2:9" ht="18" thickBot="1">
      <c r="B45" s="24"/>
      <c r="C45" s="24"/>
      <c r="D45" s="24"/>
      <c r="E45" s="24"/>
      <c r="F45" s="24"/>
      <c r="G45" s="24"/>
      <c r="H45" s="24"/>
    </row>
    <row r="47" spans="2:9">
      <c r="F47" s="5"/>
    </row>
    <row r="48" spans="2:9" ht="18" thickBot="1">
      <c r="B48" s="14" t="s">
        <v>72</v>
      </c>
      <c r="C48" s="25"/>
      <c r="D48" s="25"/>
      <c r="E48" s="25"/>
      <c r="F48" s="25"/>
      <c r="G48" s="25"/>
      <c r="H48" s="26" t="s">
        <v>13</v>
      </c>
    </row>
    <row r="49" spans="2:8" ht="15.75" thickBot="1">
      <c r="B49" s="137" t="s">
        <v>18</v>
      </c>
      <c r="C49" s="137"/>
      <c r="D49" s="138"/>
      <c r="E49" s="85">
        <v>40178</v>
      </c>
      <c r="F49" s="85">
        <v>40543</v>
      </c>
      <c r="G49" s="85">
        <v>40908</v>
      </c>
      <c r="H49" s="85">
        <v>41274</v>
      </c>
    </row>
    <row r="50" spans="2:8" ht="17.25">
      <c r="B50" s="141" t="s">
        <v>0</v>
      </c>
      <c r="C50" s="141"/>
      <c r="D50" s="142"/>
      <c r="E50" s="99">
        <v>671475</v>
      </c>
      <c r="F50" s="99">
        <v>714295</v>
      </c>
      <c r="G50" s="99">
        <v>772175</v>
      </c>
      <c r="H50" s="99">
        <v>805549</v>
      </c>
    </row>
    <row r="51" spans="2:8" ht="17.25">
      <c r="B51" s="143" t="s">
        <v>1</v>
      </c>
      <c r="C51" s="143"/>
      <c r="D51" s="144"/>
      <c r="E51" s="100">
        <v>16364</v>
      </c>
      <c r="F51" s="100">
        <v>17170</v>
      </c>
      <c r="G51" s="100">
        <v>16850</v>
      </c>
      <c r="H51" s="100">
        <v>17821</v>
      </c>
    </row>
    <row r="52" spans="2:8" ht="17.25">
      <c r="B52" s="145" t="s">
        <v>2</v>
      </c>
      <c r="C52" s="145"/>
      <c r="D52" s="146"/>
      <c r="E52" s="102">
        <v>3851</v>
      </c>
      <c r="F52" s="102">
        <v>4295</v>
      </c>
      <c r="G52" s="102">
        <v>5058</v>
      </c>
      <c r="H52" s="102">
        <v>5876</v>
      </c>
    </row>
    <row r="53" spans="2:8" ht="18" thickBot="1">
      <c r="B53" s="147" t="s">
        <v>3</v>
      </c>
      <c r="C53" s="147"/>
      <c r="D53" s="148"/>
      <c r="E53" s="98">
        <v>4717</v>
      </c>
      <c r="F53" s="98">
        <v>5348</v>
      </c>
      <c r="G53" s="98">
        <v>5242</v>
      </c>
      <c r="H53" s="98">
        <v>5261</v>
      </c>
    </row>
    <row r="54" spans="2:8" s="81" customFormat="1" ht="18" thickBot="1">
      <c r="B54" s="149" t="s">
        <v>4</v>
      </c>
      <c r="C54" s="149"/>
      <c r="D54" s="150"/>
      <c r="E54" s="101">
        <v>696407</v>
      </c>
      <c r="F54" s="101">
        <v>741108</v>
      </c>
      <c r="G54" s="101">
        <v>799325</v>
      </c>
      <c r="H54" s="101">
        <v>834507</v>
      </c>
    </row>
    <row r="55" spans="2:8" ht="15">
      <c r="B55" s="6"/>
      <c r="C55" s="7"/>
      <c r="D55" s="8"/>
      <c r="E55" s="8"/>
      <c r="F55" s="8"/>
      <c r="G55" s="8"/>
      <c r="H55" s="8"/>
    </row>
    <row r="56" spans="2:8" ht="15">
      <c r="B56" s="6"/>
      <c r="C56" s="7"/>
      <c r="D56" s="8"/>
      <c r="E56" s="8"/>
      <c r="F56" s="8"/>
      <c r="G56" s="8"/>
      <c r="H56" s="8"/>
    </row>
    <row r="57" spans="2:8" ht="15">
      <c r="B57" s="6"/>
      <c r="C57" s="7"/>
      <c r="D57" s="8"/>
      <c r="E57" s="8"/>
      <c r="F57" s="8"/>
      <c r="G57" s="8"/>
      <c r="H57" s="8"/>
    </row>
    <row r="58" spans="2:8" ht="15">
      <c r="B58" s="6"/>
      <c r="C58" s="7"/>
      <c r="D58" s="8"/>
      <c r="E58" s="8"/>
      <c r="F58" s="8"/>
      <c r="G58" s="8"/>
      <c r="H58" s="8"/>
    </row>
    <row r="59" spans="2:8" ht="15">
      <c r="B59" s="6"/>
      <c r="C59" s="7"/>
      <c r="D59" s="8"/>
      <c r="E59" s="8"/>
      <c r="F59" s="8"/>
      <c r="G59" s="8"/>
      <c r="H59" s="8"/>
    </row>
    <row r="60" spans="2:8" ht="15">
      <c r="B60" s="6"/>
      <c r="C60" s="7"/>
      <c r="D60" s="8"/>
      <c r="E60" s="8"/>
      <c r="F60" s="8"/>
      <c r="G60" s="8"/>
      <c r="H60" s="8"/>
    </row>
    <row r="61" spans="2:8" ht="15">
      <c r="B61" s="6"/>
      <c r="C61" s="7"/>
      <c r="D61" s="8"/>
      <c r="E61" s="8"/>
      <c r="F61" s="8"/>
      <c r="G61" s="8"/>
      <c r="H61" s="8"/>
    </row>
    <row r="62" spans="2:8" ht="15">
      <c r="B62" s="6"/>
      <c r="C62" s="7"/>
      <c r="D62" s="8"/>
      <c r="E62" s="8"/>
      <c r="F62" s="8"/>
      <c r="G62" s="8"/>
      <c r="H62" s="8"/>
    </row>
    <row r="63" spans="2:8" ht="15">
      <c r="B63" s="6"/>
      <c r="C63" s="7"/>
      <c r="D63" s="8"/>
      <c r="E63" s="8"/>
      <c r="F63" s="8"/>
      <c r="G63" s="8"/>
      <c r="H63" s="8"/>
    </row>
    <row r="64" spans="2:8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4" t="s">
        <v>73</v>
      </c>
      <c r="C82" s="25"/>
      <c r="D82" s="25"/>
      <c r="E82" s="25"/>
      <c r="F82" s="25"/>
      <c r="G82" s="25"/>
      <c r="H82" s="26" t="s">
        <v>12</v>
      </c>
      <c r="I82"/>
      <c r="J82"/>
      <c r="K82"/>
    </row>
    <row r="83" spans="2:11" ht="15.75" thickBot="1">
      <c r="B83" s="34" t="s">
        <v>18</v>
      </c>
      <c r="C83" s="85">
        <f>EDATE(D83,-1)</f>
        <v>41394</v>
      </c>
      <c r="D83" s="85">
        <f>EDATE(E83,-1)</f>
        <v>41424</v>
      </c>
      <c r="E83" s="85">
        <f>EDATE(F83,-1)</f>
        <v>41455</v>
      </c>
      <c r="F83" s="85">
        <f>EDATE(G83,-1)</f>
        <v>41485</v>
      </c>
      <c r="G83" s="85">
        <f>EDATE(H83,-1)</f>
        <v>41516</v>
      </c>
      <c r="H83" s="85">
        <f>EDATE(E11,1)</f>
        <v>41547</v>
      </c>
      <c r="I83"/>
      <c r="J83"/>
    </row>
    <row r="84" spans="2:11" ht="16.5" customHeight="1">
      <c r="B84" s="27" t="s">
        <v>0</v>
      </c>
      <c r="C84" s="72">
        <v>875529</v>
      </c>
      <c r="D84" s="72">
        <v>877243</v>
      </c>
      <c r="E84" s="72">
        <v>880422</v>
      </c>
      <c r="F84" s="72">
        <v>884194</v>
      </c>
      <c r="G84" s="72">
        <v>882528</v>
      </c>
      <c r="H84" s="72">
        <v>872709</v>
      </c>
    </row>
    <row r="85" spans="2:11" ht="16.5" customHeight="1">
      <c r="B85" s="28" t="s">
        <v>1</v>
      </c>
      <c r="C85" s="73">
        <v>18984</v>
      </c>
      <c r="D85" s="73">
        <v>18978</v>
      </c>
      <c r="E85" s="73">
        <v>19092</v>
      </c>
      <c r="F85" s="73">
        <v>19208</v>
      </c>
      <c r="G85" s="73">
        <v>19235</v>
      </c>
      <c r="H85" s="73">
        <v>19279</v>
      </c>
    </row>
    <row r="86" spans="2:11" ht="16.5" customHeight="1">
      <c r="B86" s="29" t="s">
        <v>2</v>
      </c>
      <c r="C86" s="74">
        <v>6397</v>
      </c>
      <c r="D86" s="74">
        <v>6424</v>
      </c>
      <c r="E86" s="74">
        <v>6588</v>
      </c>
      <c r="F86" s="74">
        <v>6682</v>
      </c>
      <c r="G86" s="74">
        <v>6722</v>
      </c>
      <c r="H86" s="74">
        <v>6763</v>
      </c>
    </row>
    <row r="87" spans="2:11" ht="16.5" customHeight="1" thickBot="1">
      <c r="B87" s="30" t="s">
        <v>3</v>
      </c>
      <c r="C87" s="75">
        <v>5262</v>
      </c>
      <c r="D87" s="75">
        <v>5237</v>
      </c>
      <c r="E87" s="75">
        <v>5221</v>
      </c>
      <c r="F87" s="75">
        <v>5233</v>
      </c>
      <c r="G87" s="75">
        <v>5237</v>
      </c>
      <c r="H87" s="75">
        <v>5254</v>
      </c>
    </row>
    <row r="88" spans="2:11" s="81" customFormat="1" ht="18" thickBot="1">
      <c r="B88" s="117" t="s">
        <v>4</v>
      </c>
      <c r="C88" s="76">
        <v>906172</v>
      </c>
      <c r="D88" s="76">
        <v>907882</v>
      </c>
      <c r="E88" s="76">
        <v>911323</v>
      </c>
      <c r="F88" s="76">
        <v>915317</v>
      </c>
      <c r="G88" s="76">
        <v>913722</v>
      </c>
      <c r="H88" s="76">
        <v>904005</v>
      </c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31"/>
      <c r="C123" s="31"/>
      <c r="D123" s="31"/>
      <c r="E123" s="31"/>
      <c r="F123" s="31"/>
      <c r="G123" s="31"/>
      <c r="H123" s="31"/>
    </row>
    <row r="124" spans="2:8" ht="17.25">
      <c r="B124" s="32" t="s">
        <v>43</v>
      </c>
      <c r="C124" s="86">
        <v>41547</v>
      </c>
      <c r="D124" s="31"/>
      <c r="E124" s="31"/>
      <c r="F124" s="31"/>
      <c r="G124" s="31"/>
      <c r="H124" s="31"/>
    </row>
    <row r="125" spans="2:8" ht="18" thickBot="1">
      <c r="B125" s="33"/>
      <c r="C125" s="33"/>
      <c r="D125" s="33"/>
      <c r="E125" s="33"/>
      <c r="F125" s="33"/>
      <c r="G125" s="33"/>
      <c r="H125" s="33"/>
    </row>
    <row r="127" spans="2:8" ht="18" thickBot="1">
      <c r="B127" s="71"/>
      <c r="C127" s="87"/>
      <c r="D127" s="38"/>
      <c r="E127" s="38"/>
      <c r="F127" s="38"/>
      <c r="G127" s="38"/>
      <c r="H127" s="39" t="s">
        <v>13</v>
      </c>
    </row>
    <row r="128" spans="2:8" ht="30.75" customHeight="1" thickBot="1">
      <c r="B128" s="138" t="s">
        <v>44</v>
      </c>
      <c r="C128" s="151"/>
      <c r="D128" s="151"/>
      <c r="E128" s="151"/>
      <c r="F128" s="151"/>
      <c r="G128" s="163" t="s">
        <v>5</v>
      </c>
      <c r="H128" s="164"/>
    </row>
    <row r="129" spans="2:10" ht="18" customHeight="1">
      <c r="B129" s="140" t="s">
        <v>19</v>
      </c>
      <c r="C129" s="165"/>
      <c r="D129" s="165"/>
      <c r="E129" s="165"/>
      <c r="F129" s="165"/>
      <c r="G129" s="181">
        <v>763</v>
      </c>
      <c r="H129" s="182"/>
    </row>
    <row r="130" spans="2:10" ht="17.25" customHeight="1">
      <c r="B130" s="153" t="s">
        <v>39</v>
      </c>
      <c r="C130" s="168"/>
      <c r="D130" s="168"/>
      <c r="E130" s="168"/>
      <c r="F130" s="168"/>
      <c r="G130" s="183">
        <v>763</v>
      </c>
      <c r="H130" s="184"/>
    </row>
    <row r="131" spans="2:10" ht="18" customHeight="1" thickBot="1">
      <c r="B131" s="169" t="s">
        <v>40</v>
      </c>
      <c r="C131" s="170"/>
      <c r="D131" s="170"/>
      <c r="E131" s="170"/>
      <c r="F131" s="170"/>
      <c r="G131" s="185">
        <v>468</v>
      </c>
      <c r="H131" s="186"/>
    </row>
    <row r="134" spans="2:10" ht="17.25">
      <c r="B134" s="35"/>
      <c r="C134" s="35"/>
      <c r="D134" s="35"/>
      <c r="E134" s="35"/>
      <c r="F134" s="35"/>
      <c r="G134" s="35"/>
      <c r="H134" s="35"/>
    </row>
    <row r="135" spans="2:10" ht="17.25">
      <c r="B135" s="36" t="s">
        <v>25</v>
      </c>
      <c r="C135" s="35"/>
      <c r="D135" s="35"/>
      <c r="E135" s="36"/>
      <c r="F135" s="84">
        <f>C6</f>
        <v>41518</v>
      </c>
      <c r="G135" s="35"/>
      <c r="H135" s="35"/>
    </row>
    <row r="136" spans="2:10" ht="18" thickBot="1">
      <c r="B136" s="37"/>
      <c r="C136" s="37"/>
      <c r="D136" s="37"/>
      <c r="E136" s="37"/>
      <c r="F136" s="37"/>
      <c r="G136" s="37"/>
      <c r="H136" s="37"/>
    </row>
    <row r="138" spans="2:10" ht="18" thickBot="1">
      <c r="B138" s="40" t="s">
        <v>45</v>
      </c>
      <c r="C138" s="41"/>
      <c r="D138" s="41"/>
      <c r="E138" s="41"/>
      <c r="F138" s="41"/>
      <c r="G138" s="41"/>
      <c r="H138" s="42" t="s">
        <v>13</v>
      </c>
    </row>
    <row r="139" spans="2:10" ht="15.75" thickBot="1">
      <c r="B139" s="137" t="s">
        <v>20</v>
      </c>
      <c r="C139" s="137"/>
      <c r="D139" s="137"/>
      <c r="E139" s="137"/>
      <c r="F139" s="138"/>
      <c r="G139" s="156" t="s">
        <v>6</v>
      </c>
      <c r="H139" s="156"/>
      <c r="I139"/>
    </row>
    <row r="140" spans="2:10" ht="17.25" customHeight="1">
      <c r="B140" s="157" t="s">
        <v>21</v>
      </c>
      <c r="C140" s="157"/>
      <c r="D140" s="157"/>
      <c r="E140" s="157"/>
      <c r="F140" s="158"/>
      <c r="G140" s="159">
        <v>197869</v>
      </c>
      <c r="H140" s="160"/>
      <c r="I140" s="50"/>
      <c r="J140" s="53"/>
    </row>
    <row r="141" spans="2:10" ht="17.25">
      <c r="B141" s="152" t="s">
        <v>52</v>
      </c>
      <c r="C141" s="152"/>
      <c r="D141" s="152"/>
      <c r="E141" s="152"/>
      <c r="F141" s="153"/>
      <c r="G141" s="161">
        <v>181159</v>
      </c>
      <c r="H141" s="162"/>
      <c r="I141" s="50"/>
      <c r="J141" s="53"/>
    </row>
    <row r="142" spans="2:10" ht="17.25" customHeight="1">
      <c r="B142" s="152" t="s">
        <v>54</v>
      </c>
      <c r="C142" s="152"/>
      <c r="D142" s="152"/>
      <c r="E142" s="152"/>
      <c r="F142" s="153"/>
      <c r="G142" s="161">
        <v>114726</v>
      </c>
      <c r="H142" s="162"/>
      <c r="I142" s="50"/>
      <c r="J142" s="53"/>
    </row>
    <row r="143" spans="2:10" ht="17.25" customHeight="1">
      <c r="B143" s="152" t="s">
        <v>38</v>
      </c>
      <c r="C143" s="152"/>
      <c r="D143" s="152"/>
      <c r="E143" s="152"/>
      <c r="F143" s="153"/>
      <c r="G143" s="161">
        <v>109243</v>
      </c>
      <c r="H143" s="162"/>
      <c r="I143" s="50"/>
      <c r="J143" s="53"/>
    </row>
    <row r="144" spans="2:10" ht="17.25" customHeight="1">
      <c r="B144" s="152" t="s">
        <v>55</v>
      </c>
      <c r="C144" s="152"/>
      <c r="D144" s="152"/>
      <c r="E144" s="152"/>
      <c r="F144" s="153"/>
      <c r="G144" s="161">
        <v>60494</v>
      </c>
      <c r="H144" s="162"/>
      <c r="I144" s="50"/>
      <c r="J144" s="53"/>
    </row>
    <row r="145" spans="2:13" ht="13.5" customHeight="1">
      <c r="B145" s="152" t="s">
        <v>56</v>
      </c>
      <c r="C145" s="152"/>
      <c r="D145" s="152"/>
      <c r="E145" s="152"/>
      <c r="F145" s="153"/>
      <c r="G145" s="161">
        <v>43509</v>
      </c>
      <c r="H145" s="162"/>
      <c r="I145" s="54"/>
      <c r="J145" s="53"/>
    </row>
    <row r="146" spans="2:13" ht="17.25" customHeight="1">
      <c r="B146" s="152" t="s">
        <v>48</v>
      </c>
      <c r="C146" s="152"/>
      <c r="D146" s="152"/>
      <c r="E146" s="152"/>
      <c r="F146" s="153"/>
      <c r="G146" s="161">
        <v>38781</v>
      </c>
      <c r="H146" s="162"/>
      <c r="I146" s="50"/>
      <c r="J146" s="53"/>
    </row>
    <row r="147" spans="2:13" ht="17.25" customHeight="1">
      <c r="B147" s="152" t="s">
        <v>57</v>
      </c>
      <c r="C147" s="152"/>
      <c r="D147" s="152"/>
      <c r="E147" s="152"/>
      <c r="F147" s="153"/>
      <c r="G147" s="161">
        <v>29234</v>
      </c>
      <c r="H147" s="162"/>
      <c r="I147" s="50"/>
      <c r="J147" s="53"/>
    </row>
    <row r="148" spans="2:13" ht="17.25" customHeight="1">
      <c r="B148" s="187" t="s">
        <v>23</v>
      </c>
      <c r="C148" s="187"/>
      <c r="D148" s="187"/>
      <c r="E148" s="187"/>
      <c r="F148" s="188"/>
      <c r="G148" s="161">
        <v>20037</v>
      </c>
      <c r="H148" s="162"/>
      <c r="I148" s="50"/>
      <c r="J148" s="53"/>
      <c r="L148"/>
    </row>
    <row r="149" spans="2:13" ht="18" customHeight="1" thickBot="1">
      <c r="B149" s="171" t="s">
        <v>58</v>
      </c>
      <c r="C149" s="171"/>
      <c r="D149" s="171"/>
      <c r="E149" s="171"/>
      <c r="F149" s="169"/>
      <c r="G149" s="172">
        <v>19462</v>
      </c>
      <c r="H149" s="173"/>
      <c r="I149" s="50"/>
      <c r="J149" s="53"/>
      <c r="L149"/>
    </row>
    <row r="150" spans="2:13" ht="17.25">
      <c r="G150" s="44"/>
      <c r="H150" s="44"/>
      <c r="I150" s="55"/>
      <c r="J150" s="55"/>
    </row>
    <row r="151" spans="2:13" ht="17.25">
      <c r="B151" s="43"/>
      <c r="C151" s="43"/>
      <c r="D151" s="43"/>
      <c r="E151" s="43"/>
      <c r="F151" s="43"/>
      <c r="G151" s="44"/>
      <c r="H151" s="44"/>
      <c r="I151" s="55"/>
      <c r="J151" s="55"/>
    </row>
    <row r="152" spans="2:13" ht="18" thickBot="1">
      <c r="B152" s="40" t="s">
        <v>7</v>
      </c>
      <c r="C152" s="41"/>
      <c r="D152" s="41"/>
      <c r="E152" s="41"/>
      <c r="F152" s="41"/>
      <c r="G152" s="41"/>
      <c r="H152" s="42" t="s">
        <v>12</v>
      </c>
      <c r="I152" s="55"/>
      <c r="J152" s="55"/>
    </row>
    <row r="153" spans="2:13" ht="15.75" thickBot="1">
      <c r="B153" s="137" t="s">
        <v>20</v>
      </c>
      <c r="C153" s="137"/>
      <c r="D153" s="137"/>
      <c r="E153" s="137"/>
      <c r="F153" s="138"/>
      <c r="G153" s="156" t="s">
        <v>6</v>
      </c>
      <c r="H153" s="156"/>
      <c r="I153" s="55"/>
      <c r="J153" s="55"/>
      <c r="K153"/>
      <c r="L153"/>
      <c r="M153"/>
    </row>
    <row r="154" spans="2:13" ht="17.25" customHeight="1">
      <c r="B154" s="157" t="s">
        <v>52</v>
      </c>
      <c r="C154" s="157"/>
      <c r="D154" s="157"/>
      <c r="E154" s="157"/>
      <c r="F154" s="158"/>
      <c r="G154" s="159">
        <v>12416</v>
      </c>
      <c r="H154" s="160"/>
      <c r="I154" s="56"/>
      <c r="J154" s="53"/>
      <c r="K154" s="52"/>
      <c r="L154"/>
      <c r="M154"/>
    </row>
    <row r="155" spans="2:13" ht="17.25" customHeight="1">
      <c r="B155" s="152" t="s">
        <v>54</v>
      </c>
      <c r="C155" s="152"/>
      <c r="D155" s="152"/>
      <c r="E155" s="152"/>
      <c r="F155" s="153"/>
      <c r="G155" s="161">
        <v>10462</v>
      </c>
      <c r="H155" s="162"/>
      <c r="I155" s="56"/>
      <c r="J155" s="53"/>
      <c r="K155" s="52"/>
      <c r="L155"/>
      <c r="M155"/>
    </row>
    <row r="156" spans="2:13" ht="17.25" customHeight="1">
      <c r="B156" s="152" t="s">
        <v>38</v>
      </c>
      <c r="C156" s="152"/>
      <c r="D156" s="152"/>
      <c r="E156" s="152"/>
      <c r="F156" s="153"/>
      <c r="G156" s="161">
        <v>9645</v>
      </c>
      <c r="H156" s="162"/>
      <c r="I156" s="56"/>
      <c r="J156" s="53"/>
      <c r="K156" s="52"/>
      <c r="L156"/>
      <c r="M156"/>
    </row>
    <row r="157" spans="2:13" ht="17.25">
      <c r="B157" s="152" t="s">
        <v>21</v>
      </c>
      <c r="C157" s="152"/>
      <c r="D157" s="152"/>
      <c r="E157" s="152"/>
      <c r="F157" s="153"/>
      <c r="G157" s="161">
        <v>6211</v>
      </c>
      <c r="H157" s="162"/>
      <c r="I157" s="56"/>
      <c r="J157" s="53"/>
      <c r="K157" s="52"/>
      <c r="L157"/>
      <c r="M157"/>
    </row>
    <row r="158" spans="2:13" ht="17.25" customHeight="1">
      <c r="B158" s="152" t="s">
        <v>55</v>
      </c>
      <c r="C158" s="152"/>
      <c r="D158" s="152"/>
      <c r="E158" s="152"/>
      <c r="F158" s="153"/>
      <c r="G158" s="161">
        <v>3793</v>
      </c>
      <c r="H158" s="162"/>
      <c r="I158" s="56"/>
      <c r="J158" s="53"/>
      <c r="K158" s="52"/>
      <c r="L158"/>
      <c r="M158"/>
    </row>
    <row r="159" spans="2:13" ht="17.25" customHeight="1">
      <c r="B159" s="152" t="s">
        <v>48</v>
      </c>
      <c r="C159" s="152"/>
      <c r="D159" s="152"/>
      <c r="E159" s="152"/>
      <c r="F159" s="153"/>
      <c r="G159" s="161">
        <v>3302</v>
      </c>
      <c r="H159" s="162"/>
      <c r="I159" s="57"/>
      <c r="J159" s="53"/>
      <c r="K159" s="52"/>
      <c r="L159"/>
      <c r="M159"/>
    </row>
    <row r="160" spans="2:13" ht="17.25" customHeight="1">
      <c r="B160" s="152" t="s">
        <v>56</v>
      </c>
      <c r="C160" s="152"/>
      <c r="D160" s="152"/>
      <c r="E160" s="152"/>
      <c r="F160" s="153"/>
      <c r="G160" s="161">
        <v>3265</v>
      </c>
      <c r="H160" s="162"/>
      <c r="I160" s="56"/>
      <c r="J160" s="53"/>
      <c r="K160" s="52"/>
      <c r="L160"/>
      <c r="M160"/>
    </row>
    <row r="161" spans="2:13" ht="17.25" customHeight="1">
      <c r="B161" s="152" t="s">
        <v>49</v>
      </c>
      <c r="C161" s="152"/>
      <c r="D161" s="152"/>
      <c r="E161" s="152"/>
      <c r="F161" s="153"/>
      <c r="G161" s="161">
        <v>1664</v>
      </c>
      <c r="H161" s="162"/>
      <c r="I161" s="56"/>
      <c r="J161" s="53"/>
      <c r="K161" s="52"/>
      <c r="L161"/>
      <c r="M161"/>
    </row>
    <row r="162" spans="2:13" ht="17.25">
      <c r="B162" s="152" t="s">
        <v>57</v>
      </c>
      <c r="C162" s="152"/>
      <c r="D162" s="152"/>
      <c r="E162" s="152"/>
      <c r="F162" s="153"/>
      <c r="G162" s="161">
        <v>1577</v>
      </c>
      <c r="H162" s="162"/>
      <c r="I162" s="56"/>
      <c r="J162" s="53"/>
      <c r="K162" s="52"/>
      <c r="L162"/>
      <c r="M162"/>
    </row>
    <row r="163" spans="2:13" ht="18" customHeight="1" thickBot="1">
      <c r="B163" s="171" t="s">
        <v>59</v>
      </c>
      <c r="C163" s="171"/>
      <c r="D163" s="171"/>
      <c r="E163" s="171"/>
      <c r="F163" s="169"/>
      <c r="G163" s="172">
        <v>1399</v>
      </c>
      <c r="H163" s="173"/>
      <c r="I163" s="56"/>
      <c r="J163" s="53"/>
      <c r="K163" s="52"/>
      <c r="L163"/>
      <c r="M163"/>
    </row>
    <row r="164" spans="2:13" ht="17.25">
      <c r="B164" s="43"/>
      <c r="C164" s="43"/>
      <c r="D164" s="43"/>
      <c r="E164" s="43"/>
      <c r="F164" s="43"/>
      <c r="G164" s="44"/>
      <c r="H164" s="44"/>
      <c r="I164" s="55"/>
      <c r="J164" s="55"/>
      <c r="L164"/>
      <c r="M164"/>
    </row>
    <row r="165" spans="2:13" ht="17.25">
      <c r="G165" s="44"/>
      <c r="H165" s="44"/>
      <c r="I165" s="2"/>
      <c r="J165" s="2"/>
    </row>
    <row r="166" spans="2:13" ht="18" thickBot="1">
      <c r="B166" s="40" t="s">
        <v>8</v>
      </c>
      <c r="C166" s="41"/>
      <c r="D166" s="41"/>
      <c r="E166" s="41"/>
      <c r="F166" s="41"/>
      <c r="G166" s="41"/>
      <c r="H166" s="42" t="s">
        <v>14</v>
      </c>
      <c r="I166" s="2"/>
      <c r="J166" s="55"/>
      <c r="K166"/>
    </row>
    <row r="167" spans="2:13" ht="15" customHeight="1" thickBot="1">
      <c r="B167" s="137" t="s">
        <v>20</v>
      </c>
      <c r="C167" s="137"/>
      <c r="D167" s="137"/>
      <c r="E167" s="137"/>
      <c r="F167" s="138"/>
      <c r="G167" s="156" t="s">
        <v>9</v>
      </c>
      <c r="H167" s="156"/>
      <c r="I167" s="2"/>
      <c r="J167" s="2"/>
    </row>
    <row r="168" spans="2:13" ht="17.25" customHeight="1">
      <c r="B168" s="157" t="s">
        <v>52</v>
      </c>
      <c r="C168" s="157"/>
      <c r="D168" s="157"/>
      <c r="E168" s="157"/>
      <c r="F168" s="158"/>
      <c r="G168" s="159">
        <v>821728229182</v>
      </c>
      <c r="H168" s="160"/>
      <c r="I168" s="58"/>
      <c r="J168" s="59"/>
    </row>
    <row r="169" spans="2:13" ht="17.25" customHeight="1">
      <c r="B169" s="152" t="s">
        <v>48</v>
      </c>
      <c r="C169" s="152"/>
      <c r="D169" s="152"/>
      <c r="E169" s="152"/>
      <c r="F169" s="153"/>
      <c r="G169" s="161">
        <v>636252334273</v>
      </c>
      <c r="H169" s="162"/>
      <c r="I169" s="58"/>
      <c r="J169" s="59"/>
    </row>
    <row r="170" spans="2:13" ht="17.25" customHeight="1">
      <c r="B170" s="152" t="s">
        <v>60</v>
      </c>
      <c r="C170" s="152"/>
      <c r="D170" s="152"/>
      <c r="E170" s="152"/>
      <c r="F170" s="153"/>
      <c r="G170" s="161">
        <v>403036217526</v>
      </c>
      <c r="H170" s="162"/>
      <c r="I170" s="58"/>
      <c r="J170" s="59"/>
    </row>
    <row r="171" spans="2:13" ht="17.25" customHeight="1">
      <c r="B171" s="152" t="s">
        <v>38</v>
      </c>
      <c r="C171" s="152"/>
      <c r="D171" s="152"/>
      <c r="E171" s="152"/>
      <c r="F171" s="153"/>
      <c r="G171" s="161">
        <v>392140694513</v>
      </c>
      <c r="H171" s="162"/>
      <c r="I171" s="58"/>
      <c r="J171" s="59"/>
    </row>
    <row r="172" spans="2:13" ht="17.25" customHeight="1">
      <c r="B172" s="152" t="s">
        <v>61</v>
      </c>
      <c r="C172" s="152"/>
      <c r="D172" s="152"/>
      <c r="E172" s="152"/>
      <c r="F172" s="153"/>
      <c r="G172" s="161">
        <v>387829190592</v>
      </c>
      <c r="H172" s="162"/>
      <c r="I172" s="60"/>
      <c r="J172" s="53"/>
    </row>
    <row r="173" spans="2:13" ht="17.25" customHeight="1">
      <c r="B173" s="152" t="s">
        <v>62</v>
      </c>
      <c r="C173" s="152"/>
      <c r="D173" s="152"/>
      <c r="E173" s="152"/>
      <c r="F173" s="153"/>
      <c r="G173" s="161">
        <v>289303770648</v>
      </c>
      <c r="H173" s="162"/>
      <c r="I173" s="58"/>
      <c r="J173" s="59"/>
    </row>
    <row r="174" spans="2:13" ht="17.25" customHeight="1">
      <c r="B174" s="152" t="s">
        <v>63</v>
      </c>
      <c r="C174" s="152"/>
      <c r="D174" s="152"/>
      <c r="E174" s="152"/>
      <c r="F174" s="153"/>
      <c r="G174" s="161">
        <v>217045910704</v>
      </c>
      <c r="H174" s="162"/>
      <c r="I174" s="58"/>
      <c r="J174" s="59"/>
    </row>
    <row r="175" spans="2:13" ht="17.25" customHeight="1">
      <c r="B175" s="152" t="s">
        <v>64</v>
      </c>
      <c r="C175" s="152"/>
      <c r="D175" s="152"/>
      <c r="E175" s="152"/>
      <c r="F175" s="153"/>
      <c r="G175" s="161">
        <v>202959284573</v>
      </c>
      <c r="H175" s="162"/>
      <c r="I175" s="58"/>
      <c r="J175" s="59"/>
    </row>
    <row r="176" spans="2:13" ht="17.25" customHeight="1">
      <c r="B176" s="152" t="s">
        <v>65</v>
      </c>
      <c r="C176" s="152"/>
      <c r="D176" s="152"/>
      <c r="E176" s="152"/>
      <c r="F176" s="153"/>
      <c r="G176" s="161">
        <v>189691938861</v>
      </c>
      <c r="H176" s="162"/>
      <c r="I176" s="58"/>
      <c r="J176" s="59"/>
    </row>
    <row r="177" spans="2:10" ht="18" customHeight="1" thickBot="1">
      <c r="B177" s="171" t="s">
        <v>66</v>
      </c>
      <c r="C177" s="171"/>
      <c r="D177" s="171"/>
      <c r="E177" s="171"/>
      <c r="F177" s="169"/>
      <c r="G177" s="172">
        <v>182880251893</v>
      </c>
      <c r="H177" s="173"/>
      <c r="I177" s="58"/>
      <c r="J177" s="59"/>
    </row>
    <row r="178" spans="2:10" ht="17.25">
      <c r="G178" s="44"/>
      <c r="H178" s="44"/>
      <c r="J178" s="51"/>
    </row>
    <row r="179" spans="2:10">
      <c r="B179" s="66"/>
      <c r="J179" s="51"/>
    </row>
  </sheetData>
  <dataConsolidate link="1"/>
  <mergeCells count="104">
    <mergeCell ref="B177:F177"/>
    <mergeCell ref="G177:H177"/>
    <mergeCell ref="B174:F174"/>
    <mergeCell ref="G174:H174"/>
    <mergeCell ref="B175:F175"/>
    <mergeCell ref="G175:H175"/>
    <mergeCell ref="B176:F176"/>
    <mergeCell ref="G176:H176"/>
    <mergeCell ref="B171:F171"/>
    <mergeCell ref="G171:H171"/>
    <mergeCell ref="B172:F172"/>
    <mergeCell ref="G172:H172"/>
    <mergeCell ref="B173:F173"/>
    <mergeCell ref="G173:H173"/>
    <mergeCell ref="B168:F168"/>
    <mergeCell ref="G168:H168"/>
    <mergeCell ref="B169:F169"/>
    <mergeCell ref="G169:H169"/>
    <mergeCell ref="B170:F170"/>
    <mergeCell ref="G170:H170"/>
    <mergeCell ref="B162:F162"/>
    <mergeCell ref="G162:H162"/>
    <mergeCell ref="B163:F163"/>
    <mergeCell ref="G163:H163"/>
    <mergeCell ref="B167:F167"/>
    <mergeCell ref="G167:H167"/>
    <mergeCell ref="B159:F159"/>
    <mergeCell ref="G159:H159"/>
    <mergeCell ref="B160:F160"/>
    <mergeCell ref="G160:H160"/>
    <mergeCell ref="B161:F161"/>
    <mergeCell ref="G161:H161"/>
    <mergeCell ref="B156:F156"/>
    <mergeCell ref="G156:H156"/>
    <mergeCell ref="B157:F157"/>
    <mergeCell ref="G157:H157"/>
    <mergeCell ref="B158:F158"/>
    <mergeCell ref="G158:H158"/>
    <mergeCell ref="B153:F153"/>
    <mergeCell ref="G153:H153"/>
    <mergeCell ref="B154:F154"/>
    <mergeCell ref="G154:H154"/>
    <mergeCell ref="B155:F155"/>
    <mergeCell ref="G155:H155"/>
    <mergeCell ref="B147:F147"/>
    <mergeCell ref="G147:H147"/>
    <mergeCell ref="B148:F148"/>
    <mergeCell ref="G148:H148"/>
    <mergeCell ref="B149:F149"/>
    <mergeCell ref="G149:H149"/>
    <mergeCell ref="B144:F144"/>
    <mergeCell ref="G144:H144"/>
    <mergeCell ref="B145:F145"/>
    <mergeCell ref="G145:H145"/>
    <mergeCell ref="B146:F146"/>
    <mergeCell ref="G146:H146"/>
    <mergeCell ref="B141:F141"/>
    <mergeCell ref="G141:H141"/>
    <mergeCell ref="B142:F142"/>
    <mergeCell ref="G142:H142"/>
    <mergeCell ref="B143:F143"/>
    <mergeCell ref="G143:H143"/>
    <mergeCell ref="B131:F131"/>
    <mergeCell ref="G131:H131"/>
    <mergeCell ref="B139:F139"/>
    <mergeCell ref="G139:H139"/>
    <mergeCell ref="B140:F140"/>
    <mergeCell ref="G140:H140"/>
    <mergeCell ref="B128:F128"/>
    <mergeCell ref="G128:H128"/>
    <mergeCell ref="B129:F129"/>
    <mergeCell ref="G129:H129"/>
    <mergeCell ref="B130:F130"/>
    <mergeCell ref="G130:H130"/>
    <mergeCell ref="B49:D49"/>
    <mergeCell ref="B50:D50"/>
    <mergeCell ref="B51:D51"/>
    <mergeCell ref="B52:D52"/>
    <mergeCell ref="B53:D53"/>
    <mergeCell ref="B54:D54"/>
    <mergeCell ref="B34:D34"/>
    <mergeCell ref="B35:D35"/>
    <mergeCell ref="B36:D36"/>
    <mergeCell ref="B37:D37"/>
    <mergeCell ref="B38:D38"/>
    <mergeCell ref="B39:D39"/>
    <mergeCell ref="B27:D27"/>
    <mergeCell ref="B28:D28"/>
    <mergeCell ref="B33:D33"/>
    <mergeCell ref="B14:D14"/>
    <mergeCell ref="B15:D15"/>
    <mergeCell ref="B16:D16"/>
    <mergeCell ref="B17:D17"/>
    <mergeCell ref="B22:D22"/>
    <mergeCell ref="B23:D23"/>
    <mergeCell ref="B2:H2"/>
    <mergeCell ref="B3:H3"/>
    <mergeCell ref="I3:N3"/>
    <mergeCell ref="B11:D11"/>
    <mergeCell ref="B12:D12"/>
    <mergeCell ref="B13:D13"/>
    <mergeCell ref="B24:D24"/>
    <mergeCell ref="B25:D25"/>
    <mergeCell ref="B26:D26"/>
  </mergeCells>
  <pageMargins left="0.70866141732283472" right="0.70866141732283472" top="0.15748031496062992" bottom="0.15748031496062992" header="0.31496062992125984" footer="0.11811023622047245"/>
  <pageSetup paperSize="9" scale="56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50" max="16383" man="1"/>
    <brk id="191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22881">
          <objectPr defaultSize="0" autoPict="0" dde="1">
            <anchor moveWithCells="1">
              <from>
                <xdr:col>0</xdr:col>
                <xdr:colOff>123825</xdr:colOff>
                <xdr:row>75</xdr:row>
                <xdr:rowOff>19050</xdr:rowOff>
              </from>
              <to>
                <xdr:col>1</xdr:col>
                <xdr:colOff>266700</xdr:colOff>
                <xdr:row>76</xdr:row>
                <xdr:rowOff>104775</xdr:rowOff>
              </to>
            </anchor>
          </objectPr>
        </oleObject>
      </mc:Choice>
      <mc:Fallback>
        <oleObject link="[1]!'!Январь2012!R1C2:R10C9'" oleUpdate="OLEUPDATE_ALWAYS" shapeId="122881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82">
    <pageSetUpPr fitToPage="1"/>
  </sheetPr>
  <dimension ref="B2:N182"/>
  <sheetViews>
    <sheetView topLeftCell="A67" workbookViewId="0">
      <selection activeCell="H40" sqref="H40"/>
    </sheetView>
  </sheetViews>
  <sheetFormatPr defaultRowHeight="13.5"/>
  <cols>
    <col min="1" max="1" width="3.42578125" style="88" customWidth="1"/>
    <col min="2" max="2" width="46.7109375" style="88" customWidth="1"/>
    <col min="3" max="6" width="18.42578125" style="88" customWidth="1"/>
    <col min="7" max="7" width="24.7109375" style="88" customWidth="1"/>
    <col min="8" max="8" width="18.42578125" style="88" customWidth="1"/>
    <col min="9" max="9" width="10.85546875" style="88" customWidth="1"/>
    <col min="10" max="10" width="10.5703125" style="88" customWidth="1"/>
    <col min="11" max="11" width="14.85546875" style="88" bestFit="1" customWidth="1"/>
    <col min="12" max="12" width="9.140625" style="88"/>
    <col min="13" max="13" width="23.42578125" style="88" customWidth="1"/>
    <col min="14" max="16384" width="9.140625" style="88"/>
  </cols>
  <sheetData>
    <row r="2" spans="2:14" s="1" customFormat="1" ht="20.25">
      <c r="B2" s="123" t="s">
        <v>15</v>
      </c>
      <c r="C2" s="123"/>
      <c r="D2" s="123"/>
      <c r="E2" s="123"/>
      <c r="F2" s="123"/>
      <c r="G2" s="123"/>
      <c r="H2" s="123"/>
    </row>
    <row r="3" spans="2:14" s="1" customFormat="1" ht="21" thickBot="1">
      <c r="B3" s="124">
        <v>41578</v>
      </c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</row>
    <row r="4" spans="2:14" s="1" customFormat="1" ht="18" thickTop="1"/>
    <row r="5" spans="2:14" s="1" customFormat="1" ht="17.25">
      <c r="B5" s="19"/>
      <c r="C5" s="19"/>
      <c r="D5" s="19"/>
      <c r="E5" s="19"/>
      <c r="F5" s="19"/>
      <c r="G5" s="19"/>
      <c r="H5" s="19"/>
    </row>
    <row r="6" spans="2:14" s="1" customFormat="1" ht="17.25">
      <c r="B6" s="20" t="s">
        <v>24</v>
      </c>
      <c r="C6" s="77">
        <f>B3</f>
        <v>41578</v>
      </c>
      <c r="D6" s="19"/>
      <c r="E6" s="19"/>
      <c r="F6" s="19"/>
      <c r="G6" s="19"/>
      <c r="H6" s="19"/>
    </row>
    <row r="7" spans="2:14" s="1" customFormat="1" ht="18" thickBot="1">
      <c r="B7" s="23"/>
      <c r="C7" s="23"/>
      <c r="D7" s="23"/>
      <c r="E7" s="23"/>
      <c r="F7" s="23"/>
      <c r="G7" s="23"/>
      <c r="H7" s="23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5" t="s">
        <v>70</v>
      </c>
      <c r="C10" s="16"/>
      <c r="D10" s="16"/>
      <c r="E10" s="16"/>
      <c r="F10" s="16"/>
      <c r="G10" s="16"/>
      <c r="H10" s="17" t="s">
        <v>13</v>
      </c>
    </row>
    <row r="11" spans="2:14" s="49" customFormat="1" ht="15.75" thickBot="1">
      <c r="B11" s="125" t="s">
        <v>18</v>
      </c>
      <c r="C11" s="125"/>
      <c r="D11" s="126"/>
      <c r="E11" s="85">
        <v>41547</v>
      </c>
      <c r="F11" s="85">
        <f>EDATE(E11,1)</f>
        <v>41577</v>
      </c>
      <c r="G11" s="48" t="s">
        <v>10</v>
      </c>
      <c r="H11" s="48" t="s">
        <v>11</v>
      </c>
      <c r="J11" s="90"/>
    </row>
    <row r="12" spans="2:14" s="89" customFormat="1" ht="17.25">
      <c r="B12" s="127" t="s">
        <v>0</v>
      </c>
      <c r="C12" s="127"/>
      <c r="D12" s="128"/>
      <c r="E12" s="103">
        <v>1035902</v>
      </c>
      <c r="F12" s="103">
        <v>1040216</v>
      </c>
      <c r="G12" s="13">
        <f>F12-E12</f>
        <v>4314</v>
      </c>
      <c r="H12" s="68">
        <f>F12/E12-1</f>
        <v>4.1644866020145166E-3</v>
      </c>
      <c r="I12" s="113"/>
      <c r="J12" s="114"/>
    </row>
    <row r="13" spans="2:14" s="89" customFormat="1" ht="17.25">
      <c r="B13" s="129" t="s">
        <v>1</v>
      </c>
      <c r="C13" s="129"/>
      <c r="D13" s="130"/>
      <c r="E13" s="103">
        <v>35495</v>
      </c>
      <c r="F13" s="103">
        <v>35566</v>
      </c>
      <c r="G13" s="13">
        <f t="shared" ref="G13:G18" si="0">F13-E13</f>
        <v>71</v>
      </c>
      <c r="H13" s="68">
        <f t="shared" ref="H13:H18" si="1">F13/E13-1</f>
        <v>2.0002817298210296E-3</v>
      </c>
      <c r="I13" s="113"/>
      <c r="J13" s="114"/>
    </row>
    <row r="14" spans="2:14" s="89" customFormat="1" ht="17.25">
      <c r="B14" s="129" t="s">
        <v>2</v>
      </c>
      <c r="C14" s="129"/>
      <c r="D14" s="130"/>
      <c r="E14" s="103">
        <v>13350</v>
      </c>
      <c r="F14" s="103">
        <v>13207</v>
      </c>
      <c r="G14" s="13">
        <f t="shared" si="0"/>
        <v>-143</v>
      </c>
      <c r="H14" s="68">
        <f t="shared" si="1"/>
        <v>-1.0711610486891399E-2</v>
      </c>
      <c r="I14" s="113"/>
      <c r="J14" s="114"/>
    </row>
    <row r="15" spans="2:14" s="89" customFormat="1" ht="17.25">
      <c r="B15" s="131" t="s">
        <v>41</v>
      </c>
      <c r="C15" s="131"/>
      <c r="D15" s="132"/>
      <c r="E15" s="103">
        <v>2507</v>
      </c>
      <c r="F15" s="103">
        <v>2530</v>
      </c>
      <c r="G15" s="13">
        <f t="shared" si="0"/>
        <v>23</v>
      </c>
      <c r="H15" s="68">
        <f t="shared" si="1"/>
        <v>9.1743119266054496E-3</v>
      </c>
      <c r="I15" s="113"/>
      <c r="J15" s="114"/>
    </row>
    <row r="16" spans="2:14" s="89" customFormat="1" ht="17.25">
      <c r="B16" s="133" t="s">
        <v>42</v>
      </c>
      <c r="C16" s="133"/>
      <c r="D16" s="134"/>
      <c r="E16" s="103">
        <v>10843</v>
      </c>
      <c r="F16" s="103">
        <v>10677</v>
      </c>
      <c r="G16" s="13">
        <f t="shared" si="0"/>
        <v>-166</v>
      </c>
      <c r="H16" s="68">
        <f t="shared" si="1"/>
        <v>-1.5309416213225124E-2</v>
      </c>
      <c r="I16" s="113"/>
      <c r="J16" s="114"/>
    </row>
    <row r="17" spans="2:10" s="89" customFormat="1" ht="18" customHeight="1" thickBot="1">
      <c r="B17" s="135" t="s">
        <v>3</v>
      </c>
      <c r="C17" s="135"/>
      <c r="D17" s="136"/>
      <c r="E17" s="103">
        <v>12448</v>
      </c>
      <c r="F17" s="103">
        <v>12417</v>
      </c>
      <c r="G17" s="13">
        <f t="shared" si="0"/>
        <v>-31</v>
      </c>
      <c r="H17" s="68">
        <f t="shared" si="1"/>
        <v>-2.4903598971722785E-3</v>
      </c>
      <c r="I17" s="113"/>
      <c r="J17" s="114"/>
    </row>
    <row r="18" spans="2:10" s="79" customFormat="1" ht="18" thickBot="1">
      <c r="B18" s="69" t="s">
        <v>4</v>
      </c>
      <c r="C18" s="69"/>
      <c r="D18" s="70"/>
      <c r="E18" s="82">
        <v>1097195</v>
      </c>
      <c r="F18" s="82">
        <v>1101406</v>
      </c>
      <c r="G18" s="82">
        <f t="shared" si="0"/>
        <v>4211</v>
      </c>
      <c r="H18" s="78">
        <f t="shared" si="1"/>
        <v>3.8379686382092881E-3</v>
      </c>
      <c r="I18" s="113"/>
      <c r="J18" s="114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5" t="s">
        <v>71</v>
      </c>
      <c r="C21" s="16"/>
      <c r="D21" s="16"/>
      <c r="E21" s="16"/>
      <c r="F21" s="16"/>
      <c r="G21" s="16"/>
      <c r="H21" s="17" t="s">
        <v>12</v>
      </c>
    </row>
    <row r="22" spans="2:10" s="89" customFormat="1" ht="15.75" thickBot="1">
      <c r="B22" s="125" t="s">
        <v>18</v>
      </c>
      <c r="C22" s="125"/>
      <c r="D22" s="126"/>
      <c r="E22" s="85">
        <f>E11</f>
        <v>41547</v>
      </c>
      <c r="F22" s="85">
        <f>F11</f>
        <v>41577</v>
      </c>
      <c r="G22" s="48" t="s">
        <v>10</v>
      </c>
      <c r="H22" s="48" t="s">
        <v>11</v>
      </c>
      <c r="J22" s="90"/>
    </row>
    <row r="23" spans="2:10" s="89" customFormat="1" ht="17.25">
      <c r="B23" s="127" t="s">
        <v>0</v>
      </c>
      <c r="C23" s="127"/>
      <c r="D23" s="128"/>
      <c r="E23" s="103">
        <v>872709</v>
      </c>
      <c r="F23" s="103">
        <v>876196</v>
      </c>
      <c r="G23" s="13">
        <f>F23-E23</f>
        <v>3487</v>
      </c>
      <c r="H23" s="68">
        <f>F23/E23-1</f>
        <v>3.9956044913023181E-3</v>
      </c>
      <c r="I23" s="114"/>
    </row>
    <row r="24" spans="2:10" s="89" customFormat="1" ht="17.25">
      <c r="B24" s="129" t="s">
        <v>1</v>
      </c>
      <c r="C24" s="129"/>
      <c r="D24" s="130"/>
      <c r="E24" s="103">
        <v>19279</v>
      </c>
      <c r="F24" s="103">
        <v>19352</v>
      </c>
      <c r="G24" s="13">
        <f t="shared" ref="G24:G29" si="2">F24-E24</f>
        <v>73</v>
      </c>
      <c r="H24" s="68">
        <f t="shared" ref="H24:H29" si="3">F24/E24-1</f>
        <v>3.7865034493489436E-3</v>
      </c>
      <c r="I24" s="114"/>
    </row>
    <row r="25" spans="2:10" s="89" customFormat="1" ht="17.25">
      <c r="B25" s="129" t="s">
        <v>2</v>
      </c>
      <c r="C25" s="129"/>
      <c r="D25" s="130"/>
      <c r="E25" s="103">
        <v>6763</v>
      </c>
      <c r="F25" s="103">
        <v>6810</v>
      </c>
      <c r="G25" s="13">
        <f t="shared" si="2"/>
        <v>47</v>
      </c>
      <c r="H25" s="68">
        <f t="shared" si="3"/>
        <v>6.9495785893833872E-3</v>
      </c>
      <c r="I25" s="114"/>
    </row>
    <row r="26" spans="2:10" s="89" customFormat="1" ht="17.25">
      <c r="B26" s="131" t="s">
        <v>41</v>
      </c>
      <c r="C26" s="131"/>
      <c r="D26" s="132"/>
      <c r="E26" s="103">
        <v>2444</v>
      </c>
      <c r="F26" s="103">
        <v>2483</v>
      </c>
      <c r="G26" s="13">
        <f t="shared" si="2"/>
        <v>39</v>
      </c>
      <c r="H26" s="68">
        <f t="shared" si="3"/>
        <v>1.5957446808510634E-2</v>
      </c>
      <c r="I26" s="114"/>
    </row>
    <row r="27" spans="2:10" s="89" customFormat="1" ht="17.25">
      <c r="B27" s="133" t="s">
        <v>42</v>
      </c>
      <c r="C27" s="133"/>
      <c r="D27" s="134"/>
      <c r="E27" s="103">
        <v>4319</v>
      </c>
      <c r="F27" s="103">
        <v>4327</v>
      </c>
      <c r="G27" s="13">
        <f t="shared" si="2"/>
        <v>8</v>
      </c>
      <c r="H27" s="68">
        <f t="shared" si="3"/>
        <v>1.852280620513902E-3</v>
      </c>
      <c r="I27" s="114"/>
    </row>
    <row r="28" spans="2:10" s="89" customFormat="1" ht="18" thickBot="1">
      <c r="B28" s="135" t="s">
        <v>3</v>
      </c>
      <c r="C28" s="135"/>
      <c r="D28" s="136"/>
      <c r="E28" s="103">
        <v>5254</v>
      </c>
      <c r="F28" s="103">
        <v>5157</v>
      </c>
      <c r="G28" s="13">
        <f t="shared" si="2"/>
        <v>-97</v>
      </c>
      <c r="H28" s="68">
        <f t="shared" si="3"/>
        <v>-1.8462124095926957E-2</v>
      </c>
      <c r="I28" s="114"/>
    </row>
    <row r="29" spans="2:10" s="79" customFormat="1" ht="18" thickBot="1">
      <c r="B29" s="69" t="s">
        <v>4</v>
      </c>
      <c r="C29" s="69"/>
      <c r="D29" s="70"/>
      <c r="E29" s="82">
        <f>SUM(E23,E24,E25,E28)</f>
        <v>904005</v>
      </c>
      <c r="F29" s="82">
        <f>F23+F24+F25+F28</f>
        <v>907515</v>
      </c>
      <c r="G29" s="82">
        <f t="shared" si="2"/>
        <v>3510</v>
      </c>
      <c r="H29" s="78">
        <f t="shared" si="3"/>
        <v>3.8827218876000824E-3</v>
      </c>
      <c r="I29" s="114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5" t="s">
        <v>16</v>
      </c>
      <c r="C32" s="16"/>
      <c r="D32" s="16"/>
      <c r="E32" s="16"/>
      <c r="F32" s="16"/>
      <c r="G32" s="16"/>
      <c r="H32" s="17" t="s">
        <v>14</v>
      </c>
    </row>
    <row r="33" spans="2:9" ht="15.75" thickBot="1">
      <c r="B33" s="137" t="s">
        <v>18</v>
      </c>
      <c r="C33" s="137"/>
      <c r="D33" s="138"/>
      <c r="E33" s="83">
        <f>EDATE(C6,-1)</f>
        <v>41547</v>
      </c>
      <c r="F33" s="83">
        <f>EDATE(E33,1)</f>
        <v>41577</v>
      </c>
      <c r="G33" s="18" t="s">
        <v>10</v>
      </c>
      <c r="H33" s="18" t="s">
        <v>11</v>
      </c>
    </row>
    <row r="34" spans="2:9" ht="17.25">
      <c r="B34" s="139" t="s">
        <v>0</v>
      </c>
      <c r="C34" s="139"/>
      <c r="D34" s="140"/>
      <c r="E34" s="97">
        <v>61179</v>
      </c>
      <c r="F34" s="97">
        <v>60527</v>
      </c>
      <c r="G34" s="13">
        <f t="shared" ref="G34:G40" si="4">F34-E34</f>
        <v>-652</v>
      </c>
      <c r="H34" s="68">
        <f t="shared" ref="H34:H40" si="5">F34/E34-1</f>
        <v>-1.0657251671325141E-2</v>
      </c>
    </row>
    <row r="35" spans="2:9" ht="17.25">
      <c r="B35" s="152" t="s">
        <v>1</v>
      </c>
      <c r="C35" s="152"/>
      <c r="D35" s="153"/>
      <c r="E35" s="97">
        <v>1399</v>
      </c>
      <c r="F35" s="97">
        <v>1453</v>
      </c>
      <c r="G35" s="13">
        <f t="shared" si="4"/>
        <v>54</v>
      </c>
      <c r="H35" s="68">
        <f t="shared" si="5"/>
        <v>3.8598999285203828E-2</v>
      </c>
    </row>
    <row r="36" spans="2:9" ht="17.25">
      <c r="B36" s="152" t="s">
        <v>2</v>
      </c>
      <c r="C36" s="152"/>
      <c r="D36" s="153"/>
      <c r="E36" s="97">
        <v>628</v>
      </c>
      <c r="F36" s="97">
        <v>632</v>
      </c>
      <c r="G36" s="13">
        <f t="shared" si="4"/>
        <v>4</v>
      </c>
      <c r="H36" s="68">
        <f t="shared" si="5"/>
        <v>6.3694267515923553E-3</v>
      </c>
    </row>
    <row r="37" spans="2:9" ht="17.25">
      <c r="B37" s="131" t="s">
        <v>41</v>
      </c>
      <c r="C37" s="131"/>
      <c r="D37" s="132"/>
      <c r="E37" s="97">
        <v>160</v>
      </c>
      <c r="F37" s="97">
        <v>163</v>
      </c>
      <c r="G37" s="13">
        <f t="shared" si="4"/>
        <v>3</v>
      </c>
      <c r="H37" s="68">
        <f t="shared" si="5"/>
        <v>1.8750000000000044E-2</v>
      </c>
    </row>
    <row r="38" spans="2:9" ht="17.25">
      <c r="B38" s="133" t="s">
        <v>42</v>
      </c>
      <c r="C38" s="133"/>
      <c r="D38" s="134"/>
      <c r="E38" s="97">
        <v>468</v>
      </c>
      <c r="F38" s="97">
        <v>469</v>
      </c>
      <c r="G38" s="13">
        <f t="shared" si="4"/>
        <v>1</v>
      </c>
      <c r="H38" s="68">
        <f t="shared" si="5"/>
        <v>2.1367521367521292E-3</v>
      </c>
    </row>
    <row r="39" spans="2:9" ht="18" thickBot="1">
      <c r="B39" s="154" t="s">
        <v>3</v>
      </c>
      <c r="C39" s="154"/>
      <c r="D39" s="155"/>
      <c r="E39" s="97">
        <v>721</v>
      </c>
      <c r="F39" s="97">
        <v>816</v>
      </c>
      <c r="G39" s="13">
        <f t="shared" si="4"/>
        <v>95</v>
      </c>
      <c r="H39" s="68">
        <f t="shared" si="5"/>
        <v>0.13176144244105403</v>
      </c>
    </row>
    <row r="40" spans="2:9" s="79" customFormat="1" ht="18" thickBot="1">
      <c r="B40" s="69" t="s">
        <v>4</v>
      </c>
      <c r="C40" s="69"/>
      <c r="D40" s="70"/>
      <c r="E40" s="82">
        <v>63927</v>
      </c>
      <c r="F40" s="82">
        <v>63428</v>
      </c>
      <c r="G40" s="82">
        <f t="shared" si="4"/>
        <v>-499</v>
      </c>
      <c r="H40" s="78">
        <f t="shared" si="5"/>
        <v>-7.8057784660628959E-3</v>
      </c>
      <c r="I40" s="66"/>
    </row>
    <row r="41" spans="2:9" ht="15">
      <c r="B41" s="6"/>
      <c r="C41" s="6"/>
      <c r="D41" s="6"/>
      <c r="E41" s="45"/>
      <c r="F41" s="45"/>
      <c r="G41" s="46"/>
      <c r="H41" s="47"/>
    </row>
    <row r="42" spans="2:9" ht="15">
      <c r="B42" s="10"/>
      <c r="C42" s="2"/>
      <c r="D42" s="2"/>
      <c r="E42" s="2"/>
      <c r="F42" s="2"/>
      <c r="G42" s="2"/>
    </row>
    <row r="43" spans="2:9" ht="17.25">
      <c r="B43" s="21"/>
      <c r="C43" s="21"/>
      <c r="D43" s="21"/>
      <c r="E43" s="21"/>
      <c r="F43" s="21"/>
      <c r="G43" s="21"/>
      <c r="H43" s="21"/>
    </row>
    <row r="44" spans="2:9" ht="17.25">
      <c r="B44" s="22" t="s">
        <v>17</v>
      </c>
      <c r="C44" s="21"/>
      <c r="D44" s="21"/>
      <c r="E44" s="21"/>
      <c r="F44" s="21"/>
      <c r="G44" s="21"/>
      <c r="H44" s="21"/>
    </row>
    <row r="45" spans="2:9" ht="18" thickBot="1">
      <c r="B45" s="24"/>
      <c r="C45" s="24"/>
      <c r="D45" s="24"/>
      <c r="E45" s="24"/>
      <c r="F45" s="24"/>
      <c r="G45" s="24"/>
      <c r="H45" s="24"/>
    </row>
    <row r="47" spans="2:9">
      <c r="F47" s="5"/>
    </row>
    <row r="48" spans="2:9" ht="18" thickBot="1">
      <c r="B48" s="14" t="s">
        <v>72</v>
      </c>
      <c r="C48" s="25"/>
      <c r="D48" s="25"/>
      <c r="E48" s="25"/>
      <c r="F48" s="25"/>
      <c r="G48" s="25"/>
      <c r="H48" s="26" t="s">
        <v>13</v>
      </c>
    </row>
    <row r="49" spans="2:8" ht="15.75" thickBot="1">
      <c r="B49" s="137" t="s">
        <v>18</v>
      </c>
      <c r="C49" s="137"/>
      <c r="D49" s="138"/>
      <c r="E49" s="85">
        <v>40178</v>
      </c>
      <c r="F49" s="85">
        <v>40543</v>
      </c>
      <c r="G49" s="85">
        <v>40908</v>
      </c>
      <c r="H49" s="85">
        <v>41274</v>
      </c>
    </row>
    <row r="50" spans="2:8" ht="17.25">
      <c r="B50" s="141" t="s">
        <v>0</v>
      </c>
      <c r="C50" s="141"/>
      <c r="D50" s="142"/>
      <c r="E50" s="99">
        <v>671475</v>
      </c>
      <c r="F50" s="99">
        <v>714295</v>
      </c>
      <c r="G50" s="99">
        <v>772175</v>
      </c>
      <c r="H50" s="99">
        <v>805549</v>
      </c>
    </row>
    <row r="51" spans="2:8" ht="17.25">
      <c r="B51" s="143" t="s">
        <v>1</v>
      </c>
      <c r="C51" s="143"/>
      <c r="D51" s="144"/>
      <c r="E51" s="100">
        <v>16364</v>
      </c>
      <c r="F51" s="100">
        <v>17170</v>
      </c>
      <c r="G51" s="100">
        <v>16850</v>
      </c>
      <c r="H51" s="100">
        <v>17821</v>
      </c>
    </row>
    <row r="52" spans="2:8" ht="17.25">
      <c r="B52" s="145" t="s">
        <v>2</v>
      </c>
      <c r="C52" s="145"/>
      <c r="D52" s="146"/>
      <c r="E52" s="102">
        <v>3851</v>
      </c>
      <c r="F52" s="102">
        <v>4295</v>
      </c>
      <c r="G52" s="102">
        <v>5058</v>
      </c>
      <c r="H52" s="102">
        <v>5876</v>
      </c>
    </row>
    <row r="53" spans="2:8" ht="18" thickBot="1">
      <c r="B53" s="147" t="s">
        <v>3</v>
      </c>
      <c r="C53" s="147"/>
      <c r="D53" s="148"/>
      <c r="E53" s="98">
        <v>4717</v>
      </c>
      <c r="F53" s="98">
        <v>5348</v>
      </c>
      <c r="G53" s="98">
        <v>5242</v>
      </c>
      <c r="H53" s="98">
        <v>5261</v>
      </c>
    </row>
    <row r="54" spans="2:8" s="81" customFormat="1" ht="18" thickBot="1">
      <c r="B54" s="149" t="s">
        <v>4</v>
      </c>
      <c r="C54" s="149"/>
      <c r="D54" s="150"/>
      <c r="E54" s="101">
        <v>696407</v>
      </c>
      <c r="F54" s="101">
        <v>741108</v>
      </c>
      <c r="G54" s="101">
        <v>799325</v>
      </c>
      <c r="H54" s="101">
        <v>834507</v>
      </c>
    </row>
    <row r="55" spans="2:8" ht="15">
      <c r="B55" s="6"/>
      <c r="C55" s="7"/>
      <c r="D55" s="8"/>
      <c r="E55" s="8"/>
      <c r="F55" s="8"/>
      <c r="G55" s="8"/>
      <c r="H55" s="8"/>
    </row>
    <row r="56" spans="2:8" ht="15">
      <c r="B56" s="6"/>
      <c r="C56" s="7"/>
      <c r="D56" s="8"/>
      <c r="E56" s="8"/>
      <c r="F56" s="8"/>
      <c r="G56" s="8"/>
      <c r="H56" s="8"/>
    </row>
    <row r="57" spans="2:8" ht="15">
      <c r="B57" s="6"/>
      <c r="C57" s="7"/>
      <c r="D57" s="8"/>
      <c r="E57" s="8"/>
      <c r="F57" s="8"/>
      <c r="G57" s="8"/>
      <c r="H57" s="8"/>
    </row>
    <row r="58" spans="2:8" ht="15">
      <c r="B58" s="6"/>
      <c r="C58" s="7"/>
      <c r="D58" s="8"/>
      <c r="E58" s="8"/>
      <c r="F58" s="8"/>
      <c r="G58" s="8"/>
      <c r="H58" s="8"/>
    </row>
    <row r="59" spans="2:8" ht="15">
      <c r="B59" s="6"/>
      <c r="C59" s="7"/>
      <c r="D59" s="8"/>
      <c r="E59" s="8"/>
      <c r="F59" s="8"/>
      <c r="G59" s="8"/>
      <c r="H59" s="8"/>
    </row>
    <row r="60" spans="2:8" ht="15">
      <c r="B60" s="6"/>
      <c r="C60" s="7"/>
      <c r="D60" s="8"/>
      <c r="E60" s="8"/>
      <c r="F60" s="8"/>
      <c r="G60" s="8"/>
      <c r="H60" s="8"/>
    </row>
    <row r="61" spans="2:8" ht="15">
      <c r="B61" s="6"/>
      <c r="C61" s="7"/>
      <c r="D61" s="8"/>
      <c r="E61" s="8"/>
      <c r="F61" s="8"/>
      <c r="G61" s="8"/>
      <c r="H61" s="8"/>
    </row>
    <row r="62" spans="2:8" ht="15">
      <c r="B62" s="6"/>
      <c r="C62" s="7"/>
      <c r="D62" s="8"/>
      <c r="E62" s="8"/>
      <c r="F62" s="8"/>
      <c r="G62" s="8"/>
      <c r="H62" s="8"/>
    </row>
    <row r="63" spans="2:8" ht="15">
      <c r="B63" s="6"/>
      <c r="C63" s="7"/>
      <c r="D63" s="8"/>
      <c r="E63" s="8"/>
      <c r="F63" s="8"/>
      <c r="G63" s="8"/>
      <c r="H63" s="8"/>
    </row>
    <row r="64" spans="2:8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4" t="s">
        <v>73</v>
      </c>
      <c r="C82" s="25"/>
      <c r="D82" s="25"/>
      <c r="E82" s="25"/>
      <c r="F82" s="25"/>
      <c r="G82" s="25"/>
      <c r="H82" s="26" t="s">
        <v>12</v>
      </c>
      <c r="I82"/>
      <c r="J82"/>
      <c r="K82"/>
    </row>
    <row r="83" spans="2:11" ht="15.75" thickBot="1">
      <c r="B83" s="34" t="s">
        <v>18</v>
      </c>
      <c r="C83" s="85">
        <f>EDATE(D83,-1)</f>
        <v>41424</v>
      </c>
      <c r="D83" s="85">
        <f>EDATE(E83,-1)</f>
        <v>41455</v>
      </c>
      <c r="E83" s="85">
        <f>EDATE(F83,-1)</f>
        <v>41485</v>
      </c>
      <c r="F83" s="85">
        <f>EDATE(G83,-1)</f>
        <v>41516</v>
      </c>
      <c r="G83" s="85">
        <f>EDATE(H83,-1)</f>
        <v>41547</v>
      </c>
      <c r="H83" s="85">
        <f>EDATE(E11,1)</f>
        <v>41577</v>
      </c>
      <c r="I83"/>
      <c r="J83"/>
    </row>
    <row r="84" spans="2:11" ht="16.5" customHeight="1">
      <c r="B84" s="27" t="s">
        <v>0</v>
      </c>
      <c r="C84" s="72">
        <v>877243</v>
      </c>
      <c r="D84" s="72">
        <v>880422</v>
      </c>
      <c r="E84" s="72">
        <v>884194</v>
      </c>
      <c r="F84" s="72">
        <v>882528</v>
      </c>
      <c r="G84" s="72">
        <v>872709</v>
      </c>
      <c r="H84" s="72">
        <v>876196</v>
      </c>
    </row>
    <row r="85" spans="2:11" ht="16.5" customHeight="1">
      <c r="B85" s="28" t="s">
        <v>1</v>
      </c>
      <c r="C85" s="73">
        <v>18978</v>
      </c>
      <c r="D85" s="73">
        <v>19092</v>
      </c>
      <c r="E85" s="73">
        <v>19208</v>
      </c>
      <c r="F85" s="73">
        <v>19235</v>
      </c>
      <c r="G85" s="73">
        <v>19279</v>
      </c>
      <c r="H85" s="73">
        <v>19352</v>
      </c>
    </row>
    <row r="86" spans="2:11" ht="16.5" customHeight="1">
      <c r="B86" s="29" t="s">
        <v>2</v>
      </c>
      <c r="C86" s="74">
        <v>6424</v>
      </c>
      <c r="D86" s="74">
        <v>6588</v>
      </c>
      <c r="E86" s="74">
        <v>6682</v>
      </c>
      <c r="F86" s="74">
        <v>6722</v>
      </c>
      <c r="G86" s="74">
        <v>6763</v>
      </c>
      <c r="H86" s="74">
        <v>6810</v>
      </c>
    </row>
    <row r="87" spans="2:11" ht="16.5" customHeight="1" thickBot="1">
      <c r="B87" s="30" t="s">
        <v>3</v>
      </c>
      <c r="C87" s="75">
        <v>5237</v>
      </c>
      <c r="D87" s="75">
        <v>5221</v>
      </c>
      <c r="E87" s="75">
        <v>5233</v>
      </c>
      <c r="F87" s="75">
        <v>5237</v>
      </c>
      <c r="G87" s="75">
        <v>5254</v>
      </c>
      <c r="H87" s="75">
        <v>5157</v>
      </c>
    </row>
    <row r="88" spans="2:11" s="81" customFormat="1" ht="18" thickBot="1">
      <c r="B88" s="118" t="s">
        <v>4</v>
      </c>
      <c r="C88" s="76">
        <v>907882</v>
      </c>
      <c r="D88" s="76">
        <v>911323</v>
      </c>
      <c r="E88" s="76">
        <v>915317</v>
      </c>
      <c r="F88" s="76">
        <v>913722</v>
      </c>
      <c r="G88" s="76">
        <v>904005</v>
      </c>
      <c r="H88" s="76">
        <v>907515</v>
      </c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31"/>
      <c r="C123" s="31"/>
      <c r="D123" s="31"/>
      <c r="E123" s="31"/>
      <c r="F123" s="31"/>
      <c r="G123" s="31"/>
      <c r="H123" s="31"/>
    </row>
    <row r="124" spans="2:8" ht="17.25">
      <c r="B124" s="32" t="s">
        <v>43</v>
      </c>
      <c r="C124" s="86">
        <v>41578</v>
      </c>
      <c r="D124" s="31"/>
      <c r="E124" s="31"/>
      <c r="F124" s="31"/>
      <c r="G124" s="31"/>
      <c r="H124" s="31"/>
    </row>
    <row r="125" spans="2:8" ht="18" thickBot="1">
      <c r="B125" s="33"/>
      <c r="C125" s="33"/>
      <c r="D125" s="33"/>
      <c r="E125" s="33"/>
      <c r="F125" s="33"/>
      <c r="G125" s="33"/>
      <c r="H125" s="33"/>
    </row>
    <row r="127" spans="2:8" ht="18" thickBot="1">
      <c r="B127" s="71"/>
      <c r="C127" s="87"/>
      <c r="D127" s="38"/>
      <c r="E127" s="38"/>
      <c r="F127" s="38"/>
      <c r="G127" s="38"/>
      <c r="H127" s="39" t="s">
        <v>13</v>
      </c>
    </row>
    <row r="128" spans="2:8" ht="30.75" customHeight="1" thickBot="1">
      <c r="B128" s="138" t="s">
        <v>44</v>
      </c>
      <c r="C128" s="151"/>
      <c r="D128" s="151"/>
      <c r="E128" s="151"/>
      <c r="F128" s="151"/>
      <c r="G128" s="163" t="s">
        <v>5</v>
      </c>
      <c r="H128" s="164"/>
    </row>
    <row r="129" spans="2:10" ht="18" customHeight="1">
      <c r="B129" s="140" t="s">
        <v>19</v>
      </c>
      <c r="C129" s="165"/>
      <c r="D129" s="165"/>
      <c r="E129" s="165"/>
      <c r="F129" s="165"/>
      <c r="G129" s="181">
        <v>763</v>
      </c>
      <c r="H129" s="182"/>
    </row>
    <row r="130" spans="2:10" ht="17.25" customHeight="1">
      <c r="B130" s="153" t="s">
        <v>39</v>
      </c>
      <c r="C130" s="168"/>
      <c r="D130" s="168"/>
      <c r="E130" s="168"/>
      <c r="F130" s="168"/>
      <c r="G130" s="183">
        <v>763</v>
      </c>
      <c r="H130" s="184"/>
    </row>
    <row r="131" spans="2:10" ht="18" customHeight="1" thickBot="1">
      <c r="B131" s="169" t="s">
        <v>40</v>
      </c>
      <c r="C131" s="170"/>
      <c r="D131" s="170"/>
      <c r="E131" s="170"/>
      <c r="F131" s="170"/>
      <c r="G131" s="185">
        <v>463</v>
      </c>
      <c r="H131" s="186"/>
    </row>
    <row r="134" spans="2:10" ht="17.25">
      <c r="B134" s="35"/>
      <c r="C134" s="35"/>
      <c r="D134" s="35"/>
      <c r="E134" s="35"/>
      <c r="F134" s="35"/>
      <c r="G134" s="35"/>
      <c r="H134" s="35"/>
    </row>
    <row r="135" spans="2:10" ht="17.25">
      <c r="B135" s="36" t="s">
        <v>25</v>
      </c>
      <c r="C135" s="35"/>
      <c r="D135" s="35"/>
      <c r="E135" s="36"/>
      <c r="F135" s="84">
        <f>C6</f>
        <v>41578</v>
      </c>
      <c r="G135" s="35"/>
      <c r="H135" s="35"/>
    </row>
    <row r="136" spans="2:10" ht="18" thickBot="1">
      <c r="B136" s="37"/>
      <c r="C136" s="37"/>
      <c r="D136" s="37"/>
      <c r="E136" s="37"/>
      <c r="F136" s="37"/>
      <c r="G136" s="37"/>
      <c r="H136" s="37"/>
    </row>
    <row r="138" spans="2:10" ht="17.25">
      <c r="B138" s="119" t="s">
        <v>45</v>
      </c>
      <c r="C138" s="41"/>
      <c r="D138" s="41"/>
      <c r="E138" s="41"/>
      <c r="F138" s="41"/>
      <c r="G138" s="41"/>
      <c r="H138" s="42" t="s">
        <v>13</v>
      </c>
    </row>
    <row r="139" spans="2:10" ht="18" thickBot="1">
      <c r="B139" s="120" t="s">
        <v>67</v>
      </c>
      <c r="C139" s="41"/>
      <c r="D139" s="41"/>
      <c r="E139" s="41"/>
      <c r="F139" s="41"/>
      <c r="G139" s="41"/>
      <c r="H139" s="42"/>
    </row>
    <row r="140" spans="2:10" ht="15.75" thickBot="1">
      <c r="B140" s="191" t="s">
        <v>20</v>
      </c>
      <c r="C140" s="191"/>
      <c r="D140" s="191"/>
      <c r="E140" s="191"/>
      <c r="F140" s="192"/>
      <c r="G140" s="156" t="s">
        <v>6</v>
      </c>
      <c r="H140" s="156"/>
      <c r="I140"/>
    </row>
    <row r="141" spans="2:10" ht="17.25" customHeight="1">
      <c r="B141" s="178" t="s">
        <v>21</v>
      </c>
      <c r="C141" s="178"/>
      <c r="D141" s="178"/>
      <c r="E141" s="178"/>
      <c r="F141" s="179"/>
      <c r="G141" s="159">
        <v>198882</v>
      </c>
      <c r="H141" s="160"/>
      <c r="I141" s="50"/>
      <c r="J141" s="53"/>
    </row>
    <row r="142" spans="2:10" ht="17.25">
      <c r="B142" s="174" t="s">
        <v>52</v>
      </c>
      <c r="C142" s="174"/>
      <c r="D142" s="174"/>
      <c r="E142" s="174"/>
      <c r="F142" s="175"/>
      <c r="G142" s="161">
        <v>181587</v>
      </c>
      <c r="H142" s="162"/>
      <c r="I142" s="50"/>
      <c r="J142" s="53"/>
    </row>
    <row r="143" spans="2:10" ht="17.25" customHeight="1">
      <c r="B143" s="174" t="s">
        <v>54</v>
      </c>
      <c r="C143" s="174"/>
      <c r="D143" s="174"/>
      <c r="E143" s="174"/>
      <c r="F143" s="175"/>
      <c r="G143" s="161">
        <v>115202</v>
      </c>
      <c r="H143" s="162"/>
      <c r="I143" s="50"/>
      <c r="J143" s="53"/>
    </row>
    <row r="144" spans="2:10" ht="17.25" customHeight="1">
      <c r="B144" s="174" t="s">
        <v>38</v>
      </c>
      <c r="C144" s="174"/>
      <c r="D144" s="174"/>
      <c r="E144" s="174"/>
      <c r="F144" s="175"/>
      <c r="G144" s="161">
        <v>109810</v>
      </c>
      <c r="H144" s="162"/>
      <c r="I144" s="50"/>
      <c r="J144" s="53"/>
    </row>
    <row r="145" spans="2:13" ht="17.25" customHeight="1">
      <c r="B145" s="174" t="s">
        <v>55</v>
      </c>
      <c r="C145" s="174"/>
      <c r="D145" s="174"/>
      <c r="E145" s="174"/>
      <c r="F145" s="175"/>
      <c r="G145" s="161">
        <v>60572</v>
      </c>
      <c r="H145" s="162"/>
      <c r="I145" s="50"/>
      <c r="J145" s="53"/>
    </row>
    <row r="146" spans="2:13" ht="13.5" customHeight="1">
      <c r="B146" s="174" t="s">
        <v>56</v>
      </c>
      <c r="C146" s="174"/>
      <c r="D146" s="174"/>
      <c r="E146" s="174"/>
      <c r="F146" s="175"/>
      <c r="G146" s="161">
        <v>43681</v>
      </c>
      <c r="H146" s="162"/>
      <c r="I146" s="54"/>
      <c r="J146" s="53"/>
    </row>
    <row r="147" spans="2:13" ht="17.25" customHeight="1">
      <c r="B147" s="174" t="s">
        <v>48</v>
      </c>
      <c r="C147" s="174"/>
      <c r="D147" s="174"/>
      <c r="E147" s="174"/>
      <c r="F147" s="175"/>
      <c r="G147" s="161">
        <v>39366</v>
      </c>
      <c r="H147" s="162"/>
      <c r="I147" s="50"/>
      <c r="J147" s="53"/>
    </row>
    <row r="148" spans="2:13" ht="17.25" customHeight="1">
      <c r="B148" s="174" t="s">
        <v>22</v>
      </c>
      <c r="C148" s="174"/>
      <c r="D148" s="174"/>
      <c r="E148" s="174"/>
      <c r="F148" s="175"/>
      <c r="G148" s="161">
        <v>29301</v>
      </c>
      <c r="H148" s="162"/>
      <c r="I148" s="50"/>
      <c r="J148" s="53"/>
    </row>
    <row r="149" spans="2:13" ht="17.25" customHeight="1">
      <c r="B149" s="189" t="s">
        <v>23</v>
      </c>
      <c r="C149" s="189"/>
      <c r="D149" s="189"/>
      <c r="E149" s="189"/>
      <c r="F149" s="190"/>
      <c r="G149" s="161">
        <v>20133</v>
      </c>
      <c r="H149" s="162"/>
      <c r="I149" s="50"/>
      <c r="J149" s="53"/>
      <c r="L149"/>
    </row>
    <row r="150" spans="2:13" ht="18" customHeight="1" thickBot="1">
      <c r="B150" s="176" t="s">
        <v>58</v>
      </c>
      <c r="C150" s="176"/>
      <c r="D150" s="176"/>
      <c r="E150" s="176"/>
      <c r="F150" s="177"/>
      <c r="G150" s="172">
        <v>19462</v>
      </c>
      <c r="H150" s="173"/>
      <c r="I150" s="50"/>
      <c r="J150" s="53"/>
      <c r="L150"/>
    </row>
    <row r="151" spans="2:13" ht="17.25">
      <c r="G151" s="44"/>
      <c r="H151" s="44"/>
      <c r="I151" s="55"/>
      <c r="J151" s="55"/>
    </row>
    <row r="152" spans="2:13" ht="17.25">
      <c r="B152" s="43"/>
      <c r="C152" s="43"/>
      <c r="D152" s="43"/>
      <c r="E152" s="43"/>
      <c r="F152" s="43"/>
      <c r="G152" s="44"/>
      <c r="H152" s="44"/>
      <c r="I152" s="55"/>
      <c r="J152" s="55"/>
    </row>
    <row r="153" spans="2:13" ht="17.25">
      <c r="B153" s="119" t="s">
        <v>7</v>
      </c>
      <c r="C153" s="41"/>
      <c r="D153" s="41"/>
      <c r="E153" s="41"/>
      <c r="F153" s="41"/>
      <c r="G153" s="41"/>
      <c r="H153" s="42" t="s">
        <v>12</v>
      </c>
      <c r="I153" s="55"/>
      <c r="J153" s="55"/>
    </row>
    <row r="154" spans="2:13" ht="18" thickBot="1">
      <c r="B154" s="120" t="s">
        <v>68</v>
      </c>
      <c r="C154" s="41"/>
      <c r="D154" s="41"/>
      <c r="E154" s="41"/>
      <c r="F154" s="41"/>
      <c r="G154" s="41"/>
      <c r="H154" s="42"/>
      <c r="I154" s="55"/>
      <c r="J154" s="55"/>
    </row>
    <row r="155" spans="2:13" ht="15.75" thickBot="1">
      <c r="B155" s="137" t="s">
        <v>20</v>
      </c>
      <c r="C155" s="137"/>
      <c r="D155" s="137"/>
      <c r="E155" s="137"/>
      <c r="F155" s="138"/>
      <c r="G155" s="156" t="s">
        <v>6</v>
      </c>
      <c r="H155" s="156"/>
      <c r="I155" s="55"/>
      <c r="J155" s="55"/>
      <c r="K155"/>
      <c r="L155"/>
      <c r="M155"/>
    </row>
    <row r="156" spans="2:13" ht="17.25" customHeight="1">
      <c r="B156" s="157" t="s">
        <v>52</v>
      </c>
      <c r="C156" s="157"/>
      <c r="D156" s="157"/>
      <c r="E156" s="157"/>
      <c r="F156" s="158"/>
      <c r="G156" s="159">
        <v>11434</v>
      </c>
      <c r="H156" s="160"/>
      <c r="I156" s="56"/>
      <c r="J156" s="53"/>
      <c r="K156" s="52"/>
      <c r="L156"/>
      <c r="M156"/>
    </row>
    <row r="157" spans="2:13" ht="17.25" customHeight="1">
      <c r="B157" s="152" t="s">
        <v>54</v>
      </c>
      <c r="C157" s="152"/>
      <c r="D157" s="152"/>
      <c r="E157" s="152"/>
      <c r="F157" s="153"/>
      <c r="G157" s="161">
        <v>10731</v>
      </c>
      <c r="H157" s="162"/>
      <c r="I157" s="56"/>
      <c r="J157" s="53"/>
      <c r="K157" s="52"/>
      <c r="L157"/>
      <c r="M157"/>
    </row>
    <row r="158" spans="2:13" ht="17.25" customHeight="1">
      <c r="B158" s="152" t="s">
        <v>38</v>
      </c>
      <c r="C158" s="152"/>
      <c r="D158" s="152"/>
      <c r="E158" s="152"/>
      <c r="F158" s="153"/>
      <c r="G158" s="161">
        <v>9535</v>
      </c>
      <c r="H158" s="162"/>
      <c r="I158" s="56"/>
      <c r="J158" s="53"/>
      <c r="K158" s="52"/>
      <c r="L158"/>
      <c r="M158"/>
    </row>
    <row r="159" spans="2:13" ht="17.25">
      <c r="B159" s="152" t="s">
        <v>21</v>
      </c>
      <c r="C159" s="152"/>
      <c r="D159" s="152"/>
      <c r="E159" s="152"/>
      <c r="F159" s="153"/>
      <c r="G159" s="161">
        <v>6219</v>
      </c>
      <c r="H159" s="162"/>
      <c r="I159" s="56"/>
      <c r="J159" s="53"/>
      <c r="K159" s="52"/>
      <c r="L159"/>
      <c r="M159"/>
    </row>
    <row r="160" spans="2:13" ht="17.25" customHeight="1">
      <c r="B160" s="152" t="s">
        <v>55</v>
      </c>
      <c r="C160" s="152"/>
      <c r="D160" s="152"/>
      <c r="E160" s="152"/>
      <c r="F160" s="153"/>
      <c r="G160" s="161">
        <v>3888</v>
      </c>
      <c r="H160" s="162"/>
      <c r="I160" s="56"/>
      <c r="J160" s="53"/>
      <c r="K160" s="52"/>
      <c r="L160"/>
      <c r="M160"/>
    </row>
    <row r="161" spans="2:13" ht="17.25" customHeight="1">
      <c r="B161" s="152" t="s">
        <v>48</v>
      </c>
      <c r="C161" s="152"/>
      <c r="D161" s="152"/>
      <c r="E161" s="152"/>
      <c r="F161" s="153"/>
      <c r="G161" s="161">
        <v>3400</v>
      </c>
      <c r="H161" s="162"/>
      <c r="I161" s="57"/>
      <c r="J161" s="53"/>
      <c r="K161" s="52"/>
      <c r="L161"/>
      <c r="M161"/>
    </row>
    <row r="162" spans="2:13" ht="17.25" customHeight="1">
      <c r="B162" s="152" t="s">
        <v>56</v>
      </c>
      <c r="C162" s="152"/>
      <c r="D162" s="152"/>
      <c r="E162" s="152"/>
      <c r="F162" s="153"/>
      <c r="G162" s="161">
        <v>3165</v>
      </c>
      <c r="H162" s="162"/>
      <c r="I162" s="56"/>
      <c r="J162" s="53"/>
      <c r="K162" s="52"/>
      <c r="L162"/>
      <c r="M162"/>
    </row>
    <row r="163" spans="2:13" ht="17.25" customHeight="1">
      <c r="B163" s="152" t="s">
        <v>49</v>
      </c>
      <c r="C163" s="152"/>
      <c r="D163" s="152"/>
      <c r="E163" s="152"/>
      <c r="F163" s="153"/>
      <c r="G163" s="161">
        <v>1725</v>
      </c>
      <c r="H163" s="162"/>
      <c r="I163" s="56"/>
      <c r="J163" s="53"/>
      <c r="K163" s="52"/>
      <c r="L163"/>
      <c r="M163"/>
    </row>
    <row r="164" spans="2:13" ht="17.25">
      <c r="B164" s="152" t="s">
        <v>22</v>
      </c>
      <c r="C164" s="152"/>
      <c r="D164" s="152"/>
      <c r="E164" s="152"/>
      <c r="F164" s="153"/>
      <c r="G164" s="161">
        <v>1641</v>
      </c>
      <c r="H164" s="162"/>
      <c r="I164" s="56"/>
      <c r="J164" s="53"/>
      <c r="K164" s="52"/>
      <c r="L164"/>
      <c r="M164"/>
    </row>
    <row r="165" spans="2:13" ht="18" customHeight="1" thickBot="1">
      <c r="B165" s="171" t="s">
        <v>59</v>
      </c>
      <c r="C165" s="171"/>
      <c r="D165" s="171"/>
      <c r="E165" s="171"/>
      <c r="F165" s="169"/>
      <c r="G165" s="172">
        <v>1440</v>
      </c>
      <c r="H165" s="173"/>
      <c r="I165" s="56"/>
      <c r="J165" s="53"/>
      <c r="K165" s="52"/>
      <c r="L165"/>
      <c r="M165"/>
    </row>
    <row r="166" spans="2:13" ht="17.25">
      <c r="B166" s="43"/>
      <c r="C166" s="43"/>
      <c r="D166" s="43"/>
      <c r="E166" s="43"/>
      <c r="F166" s="43"/>
      <c r="G166" s="44"/>
      <c r="H166" s="44"/>
      <c r="I166" s="55"/>
      <c r="J166" s="55"/>
      <c r="L166"/>
      <c r="M166"/>
    </row>
    <row r="167" spans="2:13" ht="17.25">
      <c r="G167" s="44"/>
      <c r="H167" s="44"/>
      <c r="I167" s="2"/>
      <c r="J167" s="2"/>
    </row>
    <row r="168" spans="2:13" ht="17.25">
      <c r="B168" s="119" t="s">
        <v>8</v>
      </c>
      <c r="C168" s="41"/>
      <c r="D168" s="41"/>
      <c r="E168" s="41"/>
      <c r="F168" s="41"/>
      <c r="G168" s="41"/>
      <c r="H168" s="42" t="s">
        <v>14</v>
      </c>
      <c r="I168" s="2"/>
      <c r="J168" s="55"/>
      <c r="K168"/>
    </row>
    <row r="169" spans="2:13" ht="18" thickBot="1">
      <c r="B169" s="120" t="s">
        <v>69</v>
      </c>
      <c r="C169" s="41"/>
      <c r="D169" s="41"/>
      <c r="E169" s="41"/>
      <c r="F169" s="41"/>
      <c r="G169" s="41"/>
      <c r="H169" s="42"/>
      <c r="I169" s="2"/>
      <c r="J169" s="55"/>
      <c r="K169"/>
    </row>
    <row r="170" spans="2:13" ht="15" customHeight="1" thickBot="1">
      <c r="B170" s="137" t="s">
        <v>20</v>
      </c>
      <c r="C170" s="137"/>
      <c r="D170" s="137"/>
      <c r="E170" s="137"/>
      <c r="F170" s="138"/>
      <c r="G170" s="156" t="s">
        <v>9</v>
      </c>
      <c r="H170" s="156"/>
      <c r="I170" s="2"/>
      <c r="J170" s="2"/>
    </row>
    <row r="171" spans="2:13" ht="17.25" customHeight="1">
      <c r="B171" s="157" t="s">
        <v>48</v>
      </c>
      <c r="C171" s="157"/>
      <c r="D171" s="157"/>
      <c r="E171" s="157"/>
      <c r="F171" s="158"/>
      <c r="G171" s="159">
        <v>967698241763</v>
      </c>
      <c r="H171" s="160"/>
      <c r="I171" s="58"/>
      <c r="J171" s="59"/>
    </row>
    <row r="172" spans="2:13" ht="17.25" customHeight="1">
      <c r="B172" s="152" t="s">
        <v>52</v>
      </c>
      <c r="C172" s="152"/>
      <c r="D172" s="152"/>
      <c r="E172" s="152"/>
      <c r="F172" s="153"/>
      <c r="G172" s="161">
        <v>785647049130</v>
      </c>
      <c r="H172" s="162"/>
      <c r="I172" s="58"/>
      <c r="J172" s="59"/>
    </row>
    <row r="173" spans="2:13" ht="17.25" customHeight="1">
      <c r="B173" s="152" t="s">
        <v>38</v>
      </c>
      <c r="C173" s="152"/>
      <c r="D173" s="152"/>
      <c r="E173" s="152"/>
      <c r="F173" s="153"/>
      <c r="G173" s="161">
        <v>709389010547</v>
      </c>
      <c r="H173" s="162"/>
      <c r="I173" s="58"/>
      <c r="J173" s="59"/>
    </row>
    <row r="174" spans="2:13" ht="17.25" customHeight="1">
      <c r="B174" s="152" t="s">
        <v>54</v>
      </c>
      <c r="C174" s="152"/>
      <c r="D174" s="152"/>
      <c r="E174" s="152"/>
      <c r="F174" s="153"/>
      <c r="G174" s="161">
        <v>448948828873</v>
      </c>
      <c r="H174" s="162"/>
      <c r="I174" s="58"/>
      <c r="J174" s="59"/>
    </row>
    <row r="175" spans="2:13" ht="17.25" customHeight="1">
      <c r="B175" s="152" t="s">
        <v>31</v>
      </c>
      <c r="C175" s="152"/>
      <c r="D175" s="152"/>
      <c r="E175" s="152"/>
      <c r="F175" s="153"/>
      <c r="G175" s="161">
        <v>445955965924</v>
      </c>
      <c r="H175" s="162"/>
      <c r="I175" s="60"/>
      <c r="J175" s="53"/>
    </row>
    <row r="176" spans="2:13" ht="17.25" customHeight="1">
      <c r="B176" s="152" t="s">
        <v>61</v>
      </c>
      <c r="C176" s="152"/>
      <c r="D176" s="152"/>
      <c r="E176" s="152"/>
      <c r="F176" s="153"/>
      <c r="G176" s="161">
        <v>329141391825</v>
      </c>
      <c r="H176" s="162"/>
      <c r="I176" s="58"/>
      <c r="J176" s="59"/>
    </row>
    <row r="177" spans="2:10" ht="17.25" customHeight="1">
      <c r="B177" s="152" t="s">
        <v>65</v>
      </c>
      <c r="C177" s="152"/>
      <c r="D177" s="152"/>
      <c r="E177" s="152"/>
      <c r="F177" s="153"/>
      <c r="G177" s="161">
        <v>295789468666</v>
      </c>
      <c r="H177" s="162"/>
      <c r="I177" s="58"/>
      <c r="J177" s="59"/>
    </row>
    <row r="178" spans="2:10" ht="17.25" customHeight="1">
      <c r="B178" s="152" t="s">
        <v>63</v>
      </c>
      <c r="C178" s="152"/>
      <c r="D178" s="152"/>
      <c r="E178" s="152"/>
      <c r="F178" s="153"/>
      <c r="G178" s="161">
        <v>288143163217</v>
      </c>
      <c r="H178" s="162"/>
      <c r="I178" s="58"/>
      <c r="J178" s="59"/>
    </row>
    <row r="179" spans="2:10" ht="17.25" customHeight="1">
      <c r="B179" s="152" t="s">
        <v>62</v>
      </c>
      <c r="C179" s="152"/>
      <c r="D179" s="152"/>
      <c r="E179" s="152"/>
      <c r="F179" s="153"/>
      <c r="G179" s="161">
        <v>255438322771</v>
      </c>
      <c r="H179" s="162"/>
      <c r="I179" s="58"/>
      <c r="J179" s="59"/>
    </row>
    <row r="180" spans="2:10" ht="18" customHeight="1" thickBot="1">
      <c r="B180" s="171" t="s">
        <v>64</v>
      </c>
      <c r="C180" s="171"/>
      <c r="D180" s="171"/>
      <c r="E180" s="171"/>
      <c r="F180" s="169"/>
      <c r="G180" s="172">
        <v>203376318882</v>
      </c>
      <c r="H180" s="173"/>
      <c r="I180" s="58"/>
      <c r="J180" s="59"/>
    </row>
    <row r="181" spans="2:10" ht="17.25">
      <c r="G181" s="44"/>
      <c r="H181" s="44"/>
      <c r="J181" s="51"/>
    </row>
    <row r="182" spans="2:10">
      <c r="B182" s="66"/>
      <c r="J182" s="51"/>
    </row>
  </sheetData>
  <dataConsolidate link="1"/>
  <mergeCells count="104">
    <mergeCell ref="B14:D14"/>
    <mergeCell ref="B15:D15"/>
    <mergeCell ref="B16:D16"/>
    <mergeCell ref="B17:D17"/>
    <mergeCell ref="B22:D22"/>
    <mergeCell ref="B23:D23"/>
    <mergeCell ref="B2:H2"/>
    <mergeCell ref="B3:H3"/>
    <mergeCell ref="I3:N3"/>
    <mergeCell ref="B11:D11"/>
    <mergeCell ref="B12:D12"/>
    <mergeCell ref="B13:D13"/>
    <mergeCell ref="B34:D34"/>
    <mergeCell ref="B35:D35"/>
    <mergeCell ref="B36:D36"/>
    <mergeCell ref="B37:D37"/>
    <mergeCell ref="B38:D38"/>
    <mergeCell ref="B39:D39"/>
    <mergeCell ref="B24:D24"/>
    <mergeCell ref="B25:D25"/>
    <mergeCell ref="B26:D26"/>
    <mergeCell ref="B27:D27"/>
    <mergeCell ref="B28:D28"/>
    <mergeCell ref="B33:D33"/>
    <mergeCell ref="B128:F128"/>
    <mergeCell ref="G128:H128"/>
    <mergeCell ref="B129:F129"/>
    <mergeCell ref="G129:H129"/>
    <mergeCell ref="B130:F130"/>
    <mergeCell ref="G130:H130"/>
    <mergeCell ref="B49:D49"/>
    <mergeCell ref="B50:D50"/>
    <mergeCell ref="B51:D51"/>
    <mergeCell ref="B52:D52"/>
    <mergeCell ref="B53:D53"/>
    <mergeCell ref="B54:D54"/>
    <mergeCell ref="B142:F142"/>
    <mergeCell ref="B143:F143"/>
    <mergeCell ref="B144:F144"/>
    <mergeCell ref="B131:F131"/>
    <mergeCell ref="G131:H131"/>
    <mergeCell ref="B140:F140"/>
    <mergeCell ref="G140:H140"/>
    <mergeCell ref="B141:F141"/>
    <mergeCell ref="G141:H141"/>
    <mergeCell ref="G142:H142"/>
    <mergeCell ref="G143:H143"/>
    <mergeCell ref="G144:H144"/>
    <mergeCell ref="B156:F156"/>
    <mergeCell ref="B157:F157"/>
    <mergeCell ref="G156:H156"/>
    <mergeCell ref="G157:H157"/>
    <mergeCell ref="G158:H158"/>
    <mergeCell ref="G145:H145"/>
    <mergeCell ref="G146:H146"/>
    <mergeCell ref="G147:H147"/>
    <mergeCell ref="G148:H148"/>
    <mergeCell ref="G149:H149"/>
    <mergeCell ref="B155:F155"/>
    <mergeCell ref="G155:H155"/>
    <mergeCell ref="B148:F148"/>
    <mergeCell ref="B149:F149"/>
    <mergeCell ref="B150:F150"/>
    <mergeCell ref="B145:F145"/>
    <mergeCell ref="B146:F146"/>
    <mergeCell ref="B147:F147"/>
    <mergeCell ref="G150:H150"/>
    <mergeCell ref="B176:F176"/>
    <mergeCell ref="B171:F171"/>
    <mergeCell ref="B172:F172"/>
    <mergeCell ref="G172:H172"/>
    <mergeCell ref="G173:H173"/>
    <mergeCell ref="G174:H174"/>
    <mergeCell ref="G175:H175"/>
    <mergeCell ref="B173:F173"/>
    <mergeCell ref="B158:F158"/>
    <mergeCell ref="B159:F159"/>
    <mergeCell ref="B160:F160"/>
    <mergeCell ref="G159:H159"/>
    <mergeCell ref="G160:H160"/>
    <mergeCell ref="B180:F180"/>
    <mergeCell ref="G180:H180"/>
    <mergeCell ref="B178:F178"/>
    <mergeCell ref="B179:F179"/>
    <mergeCell ref="G178:H178"/>
    <mergeCell ref="G179:H179"/>
    <mergeCell ref="G170:H170"/>
    <mergeCell ref="B161:F161"/>
    <mergeCell ref="B162:F162"/>
    <mergeCell ref="B163:F163"/>
    <mergeCell ref="B164:F164"/>
    <mergeCell ref="G164:H164"/>
    <mergeCell ref="B165:F165"/>
    <mergeCell ref="G165:H165"/>
    <mergeCell ref="B170:F170"/>
    <mergeCell ref="G176:H176"/>
    <mergeCell ref="G177:H177"/>
    <mergeCell ref="G161:H161"/>
    <mergeCell ref="G162:H162"/>
    <mergeCell ref="G163:H163"/>
    <mergeCell ref="G171:H171"/>
    <mergeCell ref="B177:F177"/>
    <mergeCell ref="B174:F174"/>
    <mergeCell ref="B175:F175"/>
  </mergeCells>
  <pageMargins left="0.70866141732283472" right="0.70866141732283472" top="0.15748031496062992" bottom="0.15748031496062992" header="0.31496062992125984" footer="0.11811023622047245"/>
  <pageSetup paperSize="9" scale="56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51" max="16383" man="1"/>
    <brk id="194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23905">
          <objectPr defaultSize="0" autoPict="0" dde="1">
            <anchor moveWithCells="1">
              <from>
                <xdr:col>0</xdr:col>
                <xdr:colOff>123825</xdr:colOff>
                <xdr:row>75</xdr:row>
                <xdr:rowOff>142875</xdr:rowOff>
              </from>
              <to>
                <xdr:col>1</xdr:col>
                <xdr:colOff>266700</xdr:colOff>
                <xdr:row>77</xdr:row>
                <xdr:rowOff>38100</xdr:rowOff>
              </to>
            </anchor>
          </objectPr>
        </oleObject>
      </mc:Choice>
      <mc:Fallback>
        <oleObject link="[1]!'!Январь2012!R1C2:R10C9'" oleUpdate="OLEUPDATE_ALWAYS" shapeId="123905"/>
      </mc:Fallback>
    </mc:AlternateContent>
  </oleObjec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83">
    <pageSetUpPr fitToPage="1"/>
  </sheetPr>
  <dimension ref="B2:N182"/>
  <sheetViews>
    <sheetView topLeftCell="A73" workbookViewId="0">
      <selection activeCell="H40" sqref="H40"/>
    </sheetView>
  </sheetViews>
  <sheetFormatPr defaultRowHeight="13.5"/>
  <cols>
    <col min="1" max="1" width="3.42578125" style="88" customWidth="1"/>
    <col min="2" max="2" width="46.7109375" style="88" customWidth="1"/>
    <col min="3" max="6" width="18.42578125" style="88" customWidth="1"/>
    <col min="7" max="7" width="24.28515625" style="88" customWidth="1"/>
    <col min="8" max="8" width="18.42578125" style="88" customWidth="1"/>
    <col min="9" max="9" width="10.85546875" style="88" customWidth="1"/>
    <col min="10" max="10" width="10.5703125" style="88" customWidth="1"/>
    <col min="11" max="11" width="14.85546875" style="88" bestFit="1" customWidth="1"/>
    <col min="12" max="12" width="9.140625" style="88"/>
    <col min="13" max="13" width="23.42578125" style="88" customWidth="1"/>
    <col min="14" max="16384" width="9.140625" style="88"/>
  </cols>
  <sheetData>
    <row r="2" spans="2:14" s="1" customFormat="1" ht="20.25">
      <c r="B2" s="123" t="s">
        <v>15</v>
      </c>
      <c r="C2" s="123"/>
      <c r="D2" s="123"/>
      <c r="E2" s="123"/>
      <c r="F2" s="123"/>
      <c r="G2" s="123"/>
      <c r="H2" s="123"/>
    </row>
    <row r="3" spans="2:14" s="1" customFormat="1" ht="21" thickBot="1">
      <c r="B3" s="124">
        <v>41608</v>
      </c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</row>
    <row r="4" spans="2:14" s="1" customFormat="1" ht="18" thickTop="1"/>
    <row r="5" spans="2:14" s="1" customFormat="1" ht="17.25">
      <c r="B5" s="19"/>
      <c r="C5" s="19"/>
      <c r="D5" s="19"/>
      <c r="E5" s="19"/>
      <c r="F5" s="19"/>
      <c r="G5" s="19"/>
      <c r="H5" s="19"/>
    </row>
    <row r="6" spans="2:14" s="1" customFormat="1" ht="17.25">
      <c r="B6" s="20" t="s">
        <v>24</v>
      </c>
      <c r="C6" s="77">
        <f>B3</f>
        <v>41608</v>
      </c>
      <c r="D6" s="19"/>
      <c r="E6" s="19"/>
      <c r="F6" s="19"/>
      <c r="G6" s="19"/>
      <c r="H6" s="19"/>
    </row>
    <row r="7" spans="2:14" s="1" customFormat="1" ht="18" thickBot="1">
      <c r="B7" s="23"/>
      <c r="C7" s="23"/>
      <c r="D7" s="23"/>
      <c r="E7" s="23"/>
      <c r="F7" s="23"/>
      <c r="G7" s="23"/>
      <c r="H7" s="23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5" t="s">
        <v>70</v>
      </c>
      <c r="C10" s="16"/>
      <c r="D10" s="16"/>
      <c r="E10" s="16"/>
      <c r="F10" s="16"/>
      <c r="G10" s="16"/>
      <c r="H10" s="17" t="s">
        <v>13</v>
      </c>
    </row>
    <row r="11" spans="2:14" s="49" customFormat="1" ht="15.75" thickBot="1">
      <c r="B11" s="125" t="s">
        <v>18</v>
      </c>
      <c r="C11" s="125"/>
      <c r="D11" s="126"/>
      <c r="E11" s="85">
        <v>41578</v>
      </c>
      <c r="F11" s="85">
        <f>EDATE(E11,1)</f>
        <v>41608</v>
      </c>
      <c r="G11" s="48" t="s">
        <v>10</v>
      </c>
      <c r="H11" s="48" t="s">
        <v>11</v>
      </c>
      <c r="J11" s="90"/>
    </row>
    <row r="12" spans="2:14" s="89" customFormat="1" ht="17.25">
      <c r="B12" s="127" t="s">
        <v>0</v>
      </c>
      <c r="C12" s="127"/>
      <c r="D12" s="128"/>
      <c r="E12" s="103">
        <v>1035902</v>
      </c>
      <c r="F12" s="103">
        <v>1044064</v>
      </c>
      <c r="G12" s="13">
        <f>F12-E12</f>
        <v>8162</v>
      </c>
      <c r="H12" s="68">
        <f>F12/E12-1</f>
        <v>7.8791237008906112E-3</v>
      </c>
      <c r="I12" s="113"/>
      <c r="J12" s="114"/>
    </row>
    <row r="13" spans="2:14" s="89" customFormat="1" ht="17.25">
      <c r="B13" s="129" t="s">
        <v>1</v>
      </c>
      <c r="C13" s="129"/>
      <c r="D13" s="130"/>
      <c r="E13" s="103">
        <v>35495</v>
      </c>
      <c r="F13" s="103">
        <v>35686</v>
      </c>
      <c r="G13" s="13">
        <f t="shared" ref="G13:G18" si="0">F13-E13</f>
        <v>191</v>
      </c>
      <c r="H13" s="68">
        <f t="shared" ref="H13:H18" si="1">F13/E13-1</f>
        <v>5.381039583039815E-3</v>
      </c>
      <c r="I13" s="113"/>
      <c r="J13" s="114"/>
    </row>
    <row r="14" spans="2:14" s="89" customFormat="1" ht="17.25">
      <c r="B14" s="129" t="s">
        <v>2</v>
      </c>
      <c r="C14" s="129"/>
      <c r="D14" s="130"/>
      <c r="E14" s="103">
        <v>13350</v>
      </c>
      <c r="F14" s="103">
        <v>13263</v>
      </c>
      <c r="G14" s="13">
        <f t="shared" si="0"/>
        <v>-87</v>
      </c>
      <c r="H14" s="68">
        <f t="shared" si="1"/>
        <v>-6.5168539325842767E-3</v>
      </c>
      <c r="I14" s="113"/>
      <c r="J14" s="114"/>
    </row>
    <row r="15" spans="2:14" s="89" customFormat="1" ht="17.25">
      <c r="B15" s="131" t="s">
        <v>41</v>
      </c>
      <c r="C15" s="131"/>
      <c r="D15" s="132"/>
      <c r="E15" s="103">
        <v>2507</v>
      </c>
      <c r="F15" s="103">
        <v>2547</v>
      </c>
      <c r="G15" s="13">
        <f t="shared" si="0"/>
        <v>40</v>
      </c>
      <c r="H15" s="68">
        <f t="shared" si="1"/>
        <v>1.5955325089748618E-2</v>
      </c>
      <c r="I15" s="113"/>
      <c r="J15" s="114"/>
    </row>
    <row r="16" spans="2:14" s="89" customFormat="1" ht="17.25">
      <c r="B16" s="133" t="s">
        <v>42</v>
      </c>
      <c r="C16" s="133"/>
      <c r="D16" s="134"/>
      <c r="E16" s="103">
        <v>10843</v>
      </c>
      <c r="F16" s="103">
        <v>10716</v>
      </c>
      <c r="G16" s="13">
        <f t="shared" si="0"/>
        <v>-127</v>
      </c>
      <c r="H16" s="68">
        <f t="shared" si="1"/>
        <v>-1.1712625657105957E-2</v>
      </c>
      <c r="I16" s="113"/>
      <c r="J16" s="114"/>
    </row>
    <row r="17" spans="2:10" s="89" customFormat="1" ht="18" customHeight="1" thickBot="1">
      <c r="B17" s="135" t="s">
        <v>3</v>
      </c>
      <c r="C17" s="135"/>
      <c r="D17" s="136"/>
      <c r="E17" s="103">
        <v>12448</v>
      </c>
      <c r="F17" s="103">
        <v>12418</v>
      </c>
      <c r="G17" s="13">
        <f t="shared" si="0"/>
        <v>-30</v>
      </c>
      <c r="H17" s="68">
        <f t="shared" si="1"/>
        <v>-2.4100257069408215E-3</v>
      </c>
      <c r="I17" s="113"/>
      <c r="J17" s="114"/>
    </row>
    <row r="18" spans="2:10" s="79" customFormat="1" ht="18" thickBot="1">
      <c r="B18" s="69" t="s">
        <v>4</v>
      </c>
      <c r="C18" s="69"/>
      <c r="D18" s="70"/>
      <c r="E18" s="82">
        <v>1097195</v>
      </c>
      <c r="F18" s="82">
        <v>1105431</v>
      </c>
      <c r="G18" s="82">
        <f t="shared" si="0"/>
        <v>8236</v>
      </c>
      <c r="H18" s="78">
        <f t="shared" si="1"/>
        <v>7.5064140831848647E-3</v>
      </c>
      <c r="I18" s="113"/>
      <c r="J18" s="114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5" t="s">
        <v>71</v>
      </c>
      <c r="C21" s="16"/>
      <c r="D21" s="16"/>
      <c r="E21" s="16"/>
      <c r="F21" s="16"/>
      <c r="G21" s="16"/>
      <c r="H21" s="17" t="s">
        <v>12</v>
      </c>
    </row>
    <row r="22" spans="2:10" s="89" customFormat="1" ht="15.75" thickBot="1">
      <c r="B22" s="125" t="s">
        <v>18</v>
      </c>
      <c r="C22" s="125"/>
      <c r="D22" s="126"/>
      <c r="E22" s="85">
        <f>E11</f>
        <v>41578</v>
      </c>
      <c r="F22" s="85">
        <f>F11</f>
        <v>41608</v>
      </c>
      <c r="G22" s="48" t="s">
        <v>10</v>
      </c>
      <c r="H22" s="48" t="s">
        <v>11</v>
      </c>
      <c r="J22" s="90"/>
    </row>
    <row r="23" spans="2:10" s="89" customFormat="1" ht="17.25">
      <c r="B23" s="127" t="s">
        <v>0</v>
      </c>
      <c r="C23" s="127"/>
      <c r="D23" s="128"/>
      <c r="E23" s="103">
        <v>876196</v>
      </c>
      <c r="F23" s="103">
        <v>878908</v>
      </c>
      <c r="G23" s="13">
        <f>F23-E23</f>
        <v>2712</v>
      </c>
      <c r="H23" s="68">
        <f>F23/E23-1</f>
        <v>3.0951978781004197E-3</v>
      </c>
      <c r="I23" s="114"/>
    </row>
    <row r="24" spans="2:10" s="89" customFormat="1" ht="17.25">
      <c r="B24" s="129" t="s">
        <v>1</v>
      </c>
      <c r="C24" s="129"/>
      <c r="D24" s="130"/>
      <c r="E24" s="103">
        <v>19352</v>
      </c>
      <c r="F24" s="103">
        <v>19435</v>
      </c>
      <c r="G24" s="13">
        <f t="shared" ref="G24:G29" si="2">F24-E24</f>
        <v>83</v>
      </c>
      <c r="H24" s="68">
        <f t="shared" ref="H24:H29" si="3">F24/E24-1</f>
        <v>4.2889623811492861E-3</v>
      </c>
      <c r="I24" s="114"/>
    </row>
    <row r="25" spans="2:10" s="89" customFormat="1" ht="17.25">
      <c r="B25" s="129" t="s">
        <v>2</v>
      </c>
      <c r="C25" s="129"/>
      <c r="D25" s="130"/>
      <c r="E25" s="103">
        <v>6810</v>
      </c>
      <c r="F25" s="103">
        <v>6874</v>
      </c>
      <c r="G25" s="13">
        <f t="shared" si="2"/>
        <v>64</v>
      </c>
      <c r="H25" s="68">
        <f t="shared" si="3"/>
        <v>9.3979441997062985E-3</v>
      </c>
      <c r="I25" s="114"/>
    </row>
    <row r="26" spans="2:10" s="89" customFormat="1" ht="17.25">
      <c r="B26" s="131" t="s">
        <v>41</v>
      </c>
      <c r="C26" s="131"/>
      <c r="D26" s="132"/>
      <c r="E26" s="103">
        <v>2483</v>
      </c>
      <c r="F26" s="103">
        <v>2507</v>
      </c>
      <c r="G26" s="13">
        <f t="shared" si="2"/>
        <v>24</v>
      </c>
      <c r="H26" s="68">
        <f t="shared" si="3"/>
        <v>9.6657269432138815E-3</v>
      </c>
      <c r="I26" s="114"/>
    </row>
    <row r="27" spans="2:10" s="89" customFormat="1" ht="17.25">
      <c r="B27" s="133" t="s">
        <v>42</v>
      </c>
      <c r="C27" s="133"/>
      <c r="D27" s="134"/>
      <c r="E27" s="103">
        <v>4327</v>
      </c>
      <c r="F27" s="103">
        <v>4367</v>
      </c>
      <c r="G27" s="13">
        <f t="shared" si="2"/>
        <v>40</v>
      </c>
      <c r="H27" s="68">
        <f t="shared" si="3"/>
        <v>9.2442801016869858E-3</v>
      </c>
      <c r="I27" s="114"/>
    </row>
    <row r="28" spans="2:10" s="89" customFormat="1" ht="18" thickBot="1">
      <c r="B28" s="135" t="s">
        <v>3</v>
      </c>
      <c r="C28" s="135"/>
      <c r="D28" s="136"/>
      <c r="E28" s="103">
        <v>5157</v>
      </c>
      <c r="F28" s="103">
        <v>5205</v>
      </c>
      <c r="G28" s="13">
        <f t="shared" si="2"/>
        <v>48</v>
      </c>
      <c r="H28" s="68">
        <f t="shared" si="3"/>
        <v>9.307737056428067E-3</v>
      </c>
      <c r="I28" s="114"/>
    </row>
    <row r="29" spans="2:10" s="79" customFormat="1" ht="18" thickBot="1">
      <c r="B29" s="69" t="s">
        <v>4</v>
      </c>
      <c r="C29" s="69"/>
      <c r="D29" s="70"/>
      <c r="E29" s="82">
        <f>E23+E24+E25+E28</f>
        <v>907515</v>
      </c>
      <c r="F29" s="82">
        <f>F23+F24+F25+F28</f>
        <v>910422</v>
      </c>
      <c r="G29" s="82">
        <f t="shared" si="2"/>
        <v>2907</v>
      </c>
      <c r="H29" s="78">
        <f t="shared" si="3"/>
        <v>3.2032528387959669E-3</v>
      </c>
      <c r="I29" s="114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5" t="s">
        <v>16</v>
      </c>
      <c r="C32" s="16"/>
      <c r="D32" s="16"/>
      <c r="E32" s="16"/>
      <c r="F32" s="16"/>
      <c r="G32" s="16"/>
      <c r="H32" s="17" t="s">
        <v>14</v>
      </c>
    </row>
    <row r="33" spans="2:9" ht="15.75" thickBot="1">
      <c r="B33" s="137" t="s">
        <v>18</v>
      </c>
      <c r="C33" s="137"/>
      <c r="D33" s="138"/>
      <c r="E33" s="83">
        <f>EDATE(C6,-1)</f>
        <v>41577</v>
      </c>
      <c r="F33" s="83">
        <f>EDATE(E33,1)</f>
        <v>41608</v>
      </c>
      <c r="G33" s="18" t="s">
        <v>10</v>
      </c>
      <c r="H33" s="18" t="s">
        <v>11</v>
      </c>
    </row>
    <row r="34" spans="2:9" ht="17.25">
      <c r="B34" s="139" t="s">
        <v>0</v>
      </c>
      <c r="C34" s="139"/>
      <c r="D34" s="140"/>
      <c r="E34" s="97">
        <v>61179</v>
      </c>
      <c r="F34" s="97">
        <v>56125</v>
      </c>
      <c r="G34" s="13">
        <f t="shared" ref="G34:G40" si="4">F34-E34</f>
        <v>-5054</v>
      </c>
      <c r="H34" s="68">
        <f t="shared" ref="H34:H40" si="5">F34/E34-1</f>
        <v>-8.2610045930793241E-2</v>
      </c>
    </row>
    <row r="35" spans="2:9" ht="17.25">
      <c r="B35" s="152" t="s">
        <v>1</v>
      </c>
      <c r="C35" s="152"/>
      <c r="D35" s="153"/>
      <c r="E35" s="97">
        <v>1399</v>
      </c>
      <c r="F35" s="97">
        <v>1420</v>
      </c>
      <c r="G35" s="13">
        <f t="shared" si="4"/>
        <v>21</v>
      </c>
      <c r="H35" s="68">
        <f t="shared" si="5"/>
        <v>1.5010721944245908E-2</v>
      </c>
    </row>
    <row r="36" spans="2:9" ht="17.25">
      <c r="B36" s="152" t="s">
        <v>2</v>
      </c>
      <c r="C36" s="152"/>
      <c r="D36" s="153"/>
      <c r="E36" s="97">
        <v>628</v>
      </c>
      <c r="F36" s="97">
        <v>622</v>
      </c>
      <c r="G36" s="13">
        <f t="shared" si="4"/>
        <v>-6</v>
      </c>
      <c r="H36" s="68">
        <f t="shared" si="5"/>
        <v>-9.5541401273885329E-3</v>
      </c>
    </row>
    <row r="37" spans="2:9" ht="17.25">
      <c r="B37" s="131" t="s">
        <v>41</v>
      </c>
      <c r="C37" s="131"/>
      <c r="D37" s="132"/>
      <c r="E37" s="97">
        <v>160</v>
      </c>
      <c r="F37" s="97">
        <v>163</v>
      </c>
      <c r="G37" s="13">
        <f t="shared" si="4"/>
        <v>3</v>
      </c>
      <c r="H37" s="68">
        <f t="shared" si="5"/>
        <v>1.8750000000000044E-2</v>
      </c>
    </row>
    <row r="38" spans="2:9" ht="17.25">
      <c r="B38" s="133" t="s">
        <v>42</v>
      </c>
      <c r="C38" s="133"/>
      <c r="D38" s="134"/>
      <c r="E38" s="97">
        <v>468</v>
      </c>
      <c r="F38" s="97">
        <v>459</v>
      </c>
      <c r="G38" s="13">
        <f t="shared" si="4"/>
        <v>-9</v>
      </c>
      <c r="H38" s="68">
        <f t="shared" si="5"/>
        <v>-1.9230769230769273E-2</v>
      </c>
    </row>
    <row r="39" spans="2:9" ht="18" thickBot="1">
      <c r="B39" s="154" t="s">
        <v>3</v>
      </c>
      <c r="C39" s="154"/>
      <c r="D39" s="155"/>
      <c r="E39" s="97">
        <v>721</v>
      </c>
      <c r="F39" s="97">
        <v>832</v>
      </c>
      <c r="G39" s="13">
        <f t="shared" si="4"/>
        <v>111</v>
      </c>
      <c r="H39" s="68">
        <f t="shared" si="5"/>
        <v>0.15395284327323155</v>
      </c>
    </row>
    <row r="40" spans="2:9" s="79" customFormat="1" ht="18" thickBot="1">
      <c r="B40" s="69" t="s">
        <v>4</v>
      </c>
      <c r="C40" s="69"/>
      <c r="D40" s="70"/>
      <c r="E40" s="82">
        <v>63927</v>
      </c>
      <c r="F40" s="82">
        <v>58999</v>
      </c>
      <c r="G40" s="82">
        <f t="shared" si="4"/>
        <v>-4928</v>
      </c>
      <c r="H40" s="78">
        <f t="shared" si="5"/>
        <v>-7.7087928418352214E-2</v>
      </c>
      <c r="I40" s="66"/>
    </row>
    <row r="41" spans="2:9" ht="15">
      <c r="B41" s="6"/>
      <c r="C41" s="6"/>
      <c r="D41" s="6"/>
      <c r="E41" s="45"/>
      <c r="F41" s="45"/>
      <c r="G41" s="46"/>
      <c r="H41" s="47"/>
    </row>
    <row r="42" spans="2:9" ht="15">
      <c r="B42" s="10"/>
      <c r="C42" s="2"/>
      <c r="D42" s="2"/>
      <c r="E42" s="2"/>
      <c r="F42" s="2"/>
      <c r="G42" s="2"/>
    </row>
    <row r="43" spans="2:9" ht="17.25">
      <c r="B43" s="21"/>
      <c r="C43" s="21"/>
      <c r="D43" s="21"/>
      <c r="E43" s="21"/>
      <c r="F43" s="21"/>
      <c r="G43" s="21"/>
      <c r="H43" s="21"/>
    </row>
    <row r="44" spans="2:9" ht="17.25">
      <c r="B44" s="22" t="s">
        <v>17</v>
      </c>
      <c r="C44" s="21"/>
      <c r="D44" s="21"/>
      <c r="E44" s="21"/>
      <c r="F44" s="21"/>
      <c r="G44" s="21"/>
      <c r="H44" s="21"/>
    </row>
    <row r="45" spans="2:9" ht="18" thickBot="1">
      <c r="B45" s="24"/>
      <c r="C45" s="24"/>
      <c r="D45" s="24"/>
      <c r="E45" s="24"/>
      <c r="F45" s="24"/>
      <c r="G45" s="24"/>
      <c r="H45" s="24"/>
    </row>
    <row r="47" spans="2:9">
      <c r="F47" s="5"/>
    </row>
    <row r="48" spans="2:9" ht="18" thickBot="1">
      <c r="B48" s="14" t="s">
        <v>72</v>
      </c>
      <c r="C48" s="25"/>
      <c r="D48" s="25"/>
      <c r="E48" s="25"/>
      <c r="F48" s="25"/>
      <c r="G48" s="25"/>
      <c r="H48" s="26" t="s">
        <v>13</v>
      </c>
    </row>
    <row r="49" spans="2:8" ht="15.75" thickBot="1">
      <c r="B49" s="137" t="s">
        <v>18</v>
      </c>
      <c r="C49" s="137"/>
      <c r="D49" s="138"/>
      <c r="E49" s="85">
        <v>40178</v>
      </c>
      <c r="F49" s="85">
        <v>40543</v>
      </c>
      <c r="G49" s="85">
        <v>40908</v>
      </c>
      <c r="H49" s="85">
        <v>41274</v>
      </c>
    </row>
    <row r="50" spans="2:8" ht="17.25">
      <c r="B50" s="141" t="s">
        <v>0</v>
      </c>
      <c r="C50" s="141"/>
      <c r="D50" s="142"/>
      <c r="E50" s="99">
        <v>671475</v>
      </c>
      <c r="F50" s="99">
        <v>714295</v>
      </c>
      <c r="G50" s="99">
        <v>772175</v>
      </c>
      <c r="H50" s="99">
        <v>805549</v>
      </c>
    </row>
    <row r="51" spans="2:8" ht="17.25">
      <c r="B51" s="143" t="s">
        <v>1</v>
      </c>
      <c r="C51" s="143"/>
      <c r="D51" s="144"/>
      <c r="E51" s="100">
        <v>16364</v>
      </c>
      <c r="F51" s="100">
        <v>17170</v>
      </c>
      <c r="G51" s="100">
        <v>16850</v>
      </c>
      <c r="H51" s="100">
        <v>17821</v>
      </c>
    </row>
    <row r="52" spans="2:8" ht="17.25">
      <c r="B52" s="145" t="s">
        <v>2</v>
      </c>
      <c r="C52" s="145"/>
      <c r="D52" s="146"/>
      <c r="E52" s="102">
        <v>3851</v>
      </c>
      <c r="F52" s="102">
        <v>4295</v>
      </c>
      <c r="G52" s="102">
        <v>5058</v>
      </c>
      <c r="H52" s="102">
        <v>5876</v>
      </c>
    </row>
    <row r="53" spans="2:8" ht="18" thickBot="1">
      <c r="B53" s="147" t="s">
        <v>3</v>
      </c>
      <c r="C53" s="147"/>
      <c r="D53" s="148"/>
      <c r="E53" s="98">
        <v>4717</v>
      </c>
      <c r="F53" s="98">
        <v>5348</v>
      </c>
      <c r="G53" s="98">
        <v>5242</v>
      </c>
      <c r="H53" s="98">
        <v>5261</v>
      </c>
    </row>
    <row r="54" spans="2:8" s="81" customFormat="1" ht="18" thickBot="1">
      <c r="B54" s="149" t="s">
        <v>4</v>
      </c>
      <c r="C54" s="149"/>
      <c r="D54" s="150"/>
      <c r="E54" s="101">
        <v>696407</v>
      </c>
      <c r="F54" s="101">
        <v>741108</v>
      </c>
      <c r="G54" s="101">
        <v>799325</v>
      </c>
      <c r="H54" s="101">
        <v>834507</v>
      </c>
    </row>
    <row r="55" spans="2:8" ht="15">
      <c r="B55" s="6"/>
      <c r="C55" s="7"/>
      <c r="D55" s="8"/>
      <c r="E55" s="8"/>
      <c r="F55" s="8"/>
      <c r="G55" s="8"/>
      <c r="H55" s="8"/>
    </row>
    <row r="56" spans="2:8" ht="15">
      <c r="B56" s="6"/>
      <c r="C56" s="7"/>
      <c r="D56" s="8"/>
      <c r="E56" s="8"/>
      <c r="F56" s="8"/>
      <c r="G56" s="8"/>
      <c r="H56" s="8"/>
    </row>
    <row r="57" spans="2:8" ht="15">
      <c r="B57" s="6"/>
      <c r="C57" s="7"/>
      <c r="D57" s="8"/>
      <c r="E57" s="8"/>
      <c r="F57" s="8"/>
      <c r="G57" s="8"/>
      <c r="H57" s="8"/>
    </row>
    <row r="58" spans="2:8" ht="15">
      <c r="B58" s="6"/>
      <c r="C58" s="7"/>
      <c r="D58" s="8"/>
      <c r="E58" s="8"/>
      <c r="F58" s="8"/>
      <c r="G58" s="8"/>
      <c r="H58" s="8"/>
    </row>
    <row r="59" spans="2:8" ht="15">
      <c r="B59" s="6"/>
      <c r="C59" s="7"/>
      <c r="D59" s="8"/>
      <c r="E59" s="8"/>
      <c r="F59" s="8"/>
      <c r="G59" s="8"/>
      <c r="H59" s="8"/>
    </row>
    <row r="60" spans="2:8" ht="15">
      <c r="B60" s="6"/>
      <c r="C60" s="7"/>
      <c r="D60" s="8"/>
      <c r="E60" s="8"/>
      <c r="F60" s="8"/>
      <c r="G60" s="8"/>
      <c r="H60" s="8"/>
    </row>
    <row r="61" spans="2:8" ht="15">
      <c r="B61" s="6"/>
      <c r="C61" s="7"/>
      <c r="D61" s="8"/>
      <c r="E61" s="8"/>
      <c r="F61" s="8"/>
      <c r="G61" s="8"/>
      <c r="H61" s="8"/>
    </row>
    <row r="62" spans="2:8" ht="15">
      <c r="B62" s="6"/>
      <c r="C62" s="7"/>
      <c r="D62" s="8"/>
      <c r="E62" s="8"/>
      <c r="F62" s="8"/>
      <c r="G62" s="8"/>
      <c r="H62" s="8"/>
    </row>
    <row r="63" spans="2:8" ht="15">
      <c r="B63" s="6"/>
      <c r="C63" s="7"/>
      <c r="D63" s="8"/>
      <c r="E63" s="8"/>
      <c r="F63" s="8"/>
      <c r="G63" s="8"/>
      <c r="H63" s="8"/>
    </row>
    <row r="64" spans="2:8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4" t="s">
        <v>73</v>
      </c>
      <c r="C82" s="25"/>
      <c r="D82" s="25"/>
      <c r="E82" s="25"/>
      <c r="F82" s="25"/>
      <c r="G82" s="25"/>
      <c r="H82" s="26" t="s">
        <v>12</v>
      </c>
      <c r="I82"/>
      <c r="J82"/>
      <c r="K82"/>
    </row>
    <row r="83" spans="2:11" ht="15.75" thickBot="1">
      <c r="B83" s="34" t="s">
        <v>18</v>
      </c>
      <c r="C83" s="85">
        <f>EDATE(D83,-1)</f>
        <v>41455</v>
      </c>
      <c r="D83" s="85">
        <f>EDATE(E83,-1)</f>
        <v>41485</v>
      </c>
      <c r="E83" s="85">
        <f>EDATE(F83,-1)</f>
        <v>41516</v>
      </c>
      <c r="F83" s="85">
        <f>EDATE(G83,-1)</f>
        <v>41547</v>
      </c>
      <c r="G83" s="85">
        <f>EDATE(H83,-1)</f>
        <v>41577</v>
      </c>
      <c r="H83" s="85">
        <f>EDATE(E11,1)</f>
        <v>41608</v>
      </c>
      <c r="I83"/>
      <c r="J83"/>
    </row>
    <row r="84" spans="2:11" ht="16.5" customHeight="1">
      <c r="B84" s="27" t="s">
        <v>0</v>
      </c>
      <c r="C84" s="72">
        <v>880422</v>
      </c>
      <c r="D84" s="72">
        <v>884194</v>
      </c>
      <c r="E84" s="72">
        <v>882528</v>
      </c>
      <c r="F84" s="72">
        <v>872709</v>
      </c>
      <c r="G84" s="72">
        <v>876196</v>
      </c>
      <c r="H84" s="72">
        <v>878908</v>
      </c>
    </row>
    <row r="85" spans="2:11" ht="16.5" customHeight="1">
      <c r="B85" s="28" t="s">
        <v>1</v>
      </c>
      <c r="C85" s="73">
        <v>19092</v>
      </c>
      <c r="D85" s="73">
        <v>19208</v>
      </c>
      <c r="E85" s="73">
        <v>19235</v>
      </c>
      <c r="F85" s="73">
        <v>19279</v>
      </c>
      <c r="G85" s="73">
        <v>19352</v>
      </c>
      <c r="H85" s="73">
        <v>19435</v>
      </c>
    </row>
    <row r="86" spans="2:11" ht="16.5" customHeight="1">
      <c r="B86" s="29" t="s">
        <v>2</v>
      </c>
      <c r="C86" s="74">
        <v>6588</v>
      </c>
      <c r="D86" s="74">
        <v>6682</v>
      </c>
      <c r="E86" s="74">
        <v>6722</v>
      </c>
      <c r="F86" s="74">
        <v>6763</v>
      </c>
      <c r="G86" s="74">
        <v>6810</v>
      </c>
      <c r="H86" s="74">
        <v>6874</v>
      </c>
    </row>
    <row r="87" spans="2:11" ht="16.5" customHeight="1" thickBot="1">
      <c r="B87" s="30" t="s">
        <v>3</v>
      </c>
      <c r="C87" s="75">
        <v>5221</v>
      </c>
      <c r="D87" s="75">
        <v>5233</v>
      </c>
      <c r="E87" s="75">
        <v>5237</v>
      </c>
      <c r="F87" s="75">
        <v>5254</v>
      </c>
      <c r="G87" s="75">
        <v>5157</v>
      </c>
      <c r="H87" s="75">
        <v>5205</v>
      </c>
    </row>
    <row r="88" spans="2:11" s="81" customFormat="1" ht="18" thickBot="1">
      <c r="B88" s="121" t="s">
        <v>4</v>
      </c>
      <c r="C88" s="76">
        <v>911323</v>
      </c>
      <c r="D88" s="76">
        <v>915317</v>
      </c>
      <c r="E88" s="76">
        <v>913722</v>
      </c>
      <c r="F88" s="76">
        <v>904005</v>
      </c>
      <c r="G88" s="76">
        <v>907515</v>
      </c>
      <c r="H88" s="76">
        <v>910422</v>
      </c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31"/>
      <c r="C123" s="31"/>
      <c r="D123" s="31"/>
      <c r="E123" s="31"/>
      <c r="F123" s="31"/>
      <c r="G123" s="31"/>
      <c r="H123" s="31"/>
    </row>
    <row r="124" spans="2:8" ht="17.25">
      <c r="B124" s="32" t="s">
        <v>43</v>
      </c>
      <c r="C124" s="86">
        <v>41608</v>
      </c>
      <c r="D124" s="31"/>
      <c r="E124" s="31"/>
      <c r="F124" s="31"/>
      <c r="G124" s="31"/>
      <c r="H124" s="31"/>
    </row>
    <row r="125" spans="2:8" ht="18" thickBot="1">
      <c r="B125" s="33"/>
      <c r="C125" s="33"/>
      <c r="D125" s="33"/>
      <c r="E125" s="33"/>
      <c r="F125" s="33"/>
      <c r="G125" s="33"/>
      <c r="H125" s="33"/>
    </row>
    <row r="127" spans="2:8" ht="18" thickBot="1">
      <c r="B127" s="71"/>
      <c r="C127" s="87"/>
      <c r="D127" s="38"/>
      <c r="E127" s="38"/>
      <c r="F127" s="38"/>
      <c r="G127" s="38"/>
      <c r="H127" s="39" t="s">
        <v>13</v>
      </c>
    </row>
    <row r="128" spans="2:8" ht="30.75" customHeight="1" thickBot="1">
      <c r="B128" s="138" t="s">
        <v>44</v>
      </c>
      <c r="C128" s="151"/>
      <c r="D128" s="151"/>
      <c r="E128" s="151"/>
      <c r="F128" s="151"/>
      <c r="G128" s="163" t="s">
        <v>5</v>
      </c>
      <c r="H128" s="164"/>
    </row>
    <row r="129" spans="2:10" ht="18" customHeight="1">
      <c r="B129" s="140" t="s">
        <v>19</v>
      </c>
      <c r="C129" s="165"/>
      <c r="D129" s="165"/>
      <c r="E129" s="165"/>
      <c r="F129" s="165"/>
      <c r="G129" s="181">
        <v>732</v>
      </c>
      <c r="H129" s="182"/>
    </row>
    <row r="130" spans="2:10" ht="17.25" customHeight="1">
      <c r="B130" s="153" t="s">
        <v>39</v>
      </c>
      <c r="C130" s="168"/>
      <c r="D130" s="168"/>
      <c r="E130" s="168"/>
      <c r="F130" s="168"/>
      <c r="G130" s="183">
        <v>732</v>
      </c>
      <c r="H130" s="184"/>
    </row>
    <row r="131" spans="2:10" ht="18" customHeight="1" thickBot="1">
      <c r="B131" s="169" t="s">
        <v>40</v>
      </c>
      <c r="C131" s="170"/>
      <c r="D131" s="170"/>
      <c r="E131" s="170"/>
      <c r="F131" s="170"/>
      <c r="G131" s="185">
        <v>406</v>
      </c>
      <c r="H131" s="186"/>
    </row>
    <row r="134" spans="2:10" ht="17.25">
      <c r="B134" s="35"/>
      <c r="C134" s="35"/>
      <c r="D134" s="35"/>
      <c r="E134" s="35"/>
      <c r="F134" s="35"/>
      <c r="G134" s="35"/>
      <c r="H134" s="35"/>
    </row>
    <row r="135" spans="2:10" ht="17.25">
      <c r="B135" s="36" t="s">
        <v>25</v>
      </c>
      <c r="C135" s="35"/>
      <c r="D135" s="35"/>
      <c r="E135" s="36"/>
      <c r="F135" s="84">
        <f>C6</f>
        <v>41608</v>
      </c>
      <c r="G135" s="35"/>
      <c r="H135" s="35"/>
    </row>
    <row r="136" spans="2:10" ht="18" thickBot="1">
      <c r="B136" s="37"/>
      <c r="C136" s="37"/>
      <c r="D136" s="37"/>
      <c r="E136" s="37"/>
      <c r="F136" s="37"/>
      <c r="G136" s="37"/>
      <c r="H136" s="37"/>
    </row>
    <row r="138" spans="2:10" ht="17.25">
      <c r="B138" s="119" t="s">
        <v>45</v>
      </c>
      <c r="C138" s="41"/>
      <c r="D138" s="41"/>
      <c r="E138" s="41"/>
      <c r="F138" s="41"/>
      <c r="G138" s="41"/>
      <c r="H138" s="42" t="s">
        <v>13</v>
      </c>
    </row>
    <row r="139" spans="2:10" ht="18" thickBot="1">
      <c r="B139" s="120" t="s">
        <v>67</v>
      </c>
      <c r="C139" s="41"/>
      <c r="D139" s="41"/>
      <c r="E139" s="41"/>
      <c r="F139" s="41"/>
      <c r="G139" s="41"/>
      <c r="H139" s="42"/>
    </row>
    <row r="140" spans="2:10" ht="15.75" thickBot="1">
      <c r="B140" s="191" t="s">
        <v>20</v>
      </c>
      <c r="C140" s="191"/>
      <c r="D140" s="191"/>
      <c r="E140" s="191"/>
      <c r="F140" s="192"/>
      <c r="G140" s="156" t="s">
        <v>6</v>
      </c>
      <c r="H140" s="156"/>
      <c r="I140"/>
    </row>
    <row r="141" spans="2:10" ht="17.25" customHeight="1">
      <c r="B141" s="157" t="s">
        <v>21</v>
      </c>
      <c r="C141" s="157"/>
      <c r="D141" s="157"/>
      <c r="E141" s="157"/>
      <c r="F141" s="158"/>
      <c r="G141" s="159">
        <v>199892</v>
      </c>
      <c r="H141" s="160"/>
      <c r="I141" s="50"/>
      <c r="J141" s="53"/>
    </row>
    <row r="142" spans="2:10" ht="17.25">
      <c r="B142" s="152" t="s">
        <v>52</v>
      </c>
      <c r="C142" s="152"/>
      <c r="D142" s="152"/>
      <c r="E142" s="152"/>
      <c r="F142" s="153"/>
      <c r="G142" s="161">
        <v>181167</v>
      </c>
      <c r="H142" s="162"/>
      <c r="I142" s="50"/>
      <c r="J142" s="53"/>
    </row>
    <row r="143" spans="2:10" ht="17.25" customHeight="1">
      <c r="B143" s="152" t="s">
        <v>54</v>
      </c>
      <c r="C143" s="152"/>
      <c r="D143" s="152"/>
      <c r="E143" s="152"/>
      <c r="F143" s="153"/>
      <c r="G143" s="161">
        <v>115560</v>
      </c>
      <c r="H143" s="162"/>
      <c r="I143" s="50"/>
      <c r="J143" s="53"/>
    </row>
    <row r="144" spans="2:10" ht="17.25" customHeight="1">
      <c r="B144" s="152" t="s">
        <v>38</v>
      </c>
      <c r="C144" s="152"/>
      <c r="D144" s="152"/>
      <c r="E144" s="152"/>
      <c r="F144" s="153"/>
      <c r="G144" s="161">
        <v>110367</v>
      </c>
      <c r="H144" s="162"/>
      <c r="I144" s="50"/>
      <c r="J144" s="53"/>
    </row>
    <row r="145" spans="2:13" ht="17.25" customHeight="1">
      <c r="B145" s="152" t="s">
        <v>55</v>
      </c>
      <c r="C145" s="152"/>
      <c r="D145" s="152"/>
      <c r="E145" s="152"/>
      <c r="F145" s="153"/>
      <c r="G145" s="161">
        <v>60601</v>
      </c>
      <c r="H145" s="162"/>
      <c r="I145" s="50"/>
      <c r="J145" s="53"/>
    </row>
    <row r="146" spans="2:13" ht="13.5" customHeight="1">
      <c r="B146" s="152" t="s">
        <v>56</v>
      </c>
      <c r="C146" s="152"/>
      <c r="D146" s="152"/>
      <c r="E146" s="152"/>
      <c r="F146" s="153"/>
      <c r="G146" s="161">
        <v>43809</v>
      </c>
      <c r="H146" s="162"/>
      <c r="I146" s="54"/>
      <c r="J146" s="53"/>
    </row>
    <row r="147" spans="2:13" ht="17.25" customHeight="1">
      <c r="B147" s="152" t="s">
        <v>48</v>
      </c>
      <c r="C147" s="152"/>
      <c r="D147" s="152"/>
      <c r="E147" s="152"/>
      <c r="F147" s="153"/>
      <c r="G147" s="161">
        <v>39955</v>
      </c>
      <c r="H147" s="162"/>
      <c r="I147" s="50"/>
      <c r="J147" s="53"/>
    </row>
    <row r="148" spans="2:13" ht="17.25" customHeight="1">
      <c r="B148" s="152" t="s">
        <v>22</v>
      </c>
      <c r="C148" s="152"/>
      <c r="D148" s="152"/>
      <c r="E148" s="152"/>
      <c r="F148" s="153"/>
      <c r="G148" s="161">
        <v>29380</v>
      </c>
      <c r="H148" s="162"/>
      <c r="I148" s="50"/>
      <c r="J148" s="53"/>
    </row>
    <row r="149" spans="2:13" ht="17.25" customHeight="1">
      <c r="B149" s="187" t="s">
        <v>23</v>
      </c>
      <c r="C149" s="187"/>
      <c r="D149" s="187"/>
      <c r="E149" s="187"/>
      <c r="F149" s="188"/>
      <c r="G149" s="161">
        <v>20210</v>
      </c>
      <c r="H149" s="162"/>
      <c r="I149" s="50"/>
      <c r="J149" s="53"/>
      <c r="L149"/>
    </row>
    <row r="150" spans="2:13" ht="18" customHeight="1" thickBot="1">
      <c r="B150" s="171" t="s">
        <v>58</v>
      </c>
      <c r="C150" s="171"/>
      <c r="D150" s="171"/>
      <c r="E150" s="171"/>
      <c r="F150" s="169"/>
      <c r="G150" s="172">
        <v>19462</v>
      </c>
      <c r="H150" s="173"/>
      <c r="I150" s="50"/>
      <c r="J150" s="53"/>
      <c r="L150"/>
    </row>
    <row r="151" spans="2:13" ht="17.25">
      <c r="G151" s="44"/>
      <c r="H151" s="44"/>
      <c r="I151" s="55"/>
      <c r="J151" s="55"/>
    </row>
    <row r="152" spans="2:13" ht="17.25">
      <c r="B152" s="43"/>
      <c r="C152" s="43"/>
      <c r="D152" s="43"/>
      <c r="E152" s="43"/>
      <c r="F152" s="43"/>
      <c r="G152" s="44"/>
      <c r="H152" s="44"/>
      <c r="I152" s="55"/>
      <c r="J152" s="55"/>
    </row>
    <row r="153" spans="2:13" ht="17.25">
      <c r="B153" s="119" t="s">
        <v>7</v>
      </c>
      <c r="C153" s="41"/>
      <c r="D153" s="41"/>
      <c r="E153" s="41"/>
      <c r="F153" s="41"/>
      <c r="G153" s="41"/>
      <c r="H153" s="42" t="s">
        <v>12</v>
      </c>
      <c r="I153" s="55"/>
      <c r="J153" s="55"/>
    </row>
    <row r="154" spans="2:13" ht="18" thickBot="1">
      <c r="B154" s="120" t="s">
        <v>68</v>
      </c>
      <c r="C154" s="41"/>
      <c r="D154" s="41"/>
      <c r="E154" s="41"/>
      <c r="F154" s="41"/>
      <c r="G154" s="41"/>
      <c r="H154" s="42"/>
      <c r="I154" s="55"/>
      <c r="J154" s="55"/>
    </row>
    <row r="155" spans="2:13" ht="15.75" thickBot="1">
      <c r="B155" s="137" t="s">
        <v>20</v>
      </c>
      <c r="C155" s="137"/>
      <c r="D155" s="137"/>
      <c r="E155" s="137"/>
      <c r="F155" s="138"/>
      <c r="G155" s="156" t="s">
        <v>6</v>
      </c>
      <c r="H155" s="156"/>
      <c r="I155" s="55"/>
      <c r="J155" s="55"/>
      <c r="K155"/>
      <c r="L155"/>
      <c r="M155"/>
    </row>
    <row r="156" spans="2:13" ht="17.25" customHeight="1">
      <c r="B156" s="157" t="s">
        <v>52</v>
      </c>
      <c r="C156" s="157"/>
      <c r="D156" s="157"/>
      <c r="E156" s="157"/>
      <c r="F156" s="158"/>
      <c r="G156" s="159">
        <v>10308</v>
      </c>
      <c r="H156" s="160"/>
      <c r="I156" s="56"/>
      <c r="J156" s="53"/>
      <c r="K156" s="52"/>
      <c r="L156"/>
      <c r="M156"/>
    </row>
    <row r="157" spans="2:13" ht="17.25" customHeight="1">
      <c r="B157" s="152" t="s">
        <v>54</v>
      </c>
      <c r="C157" s="152"/>
      <c r="D157" s="152"/>
      <c r="E157" s="152"/>
      <c r="F157" s="153"/>
      <c r="G157" s="161">
        <v>9590</v>
      </c>
      <c r="H157" s="162"/>
      <c r="I157" s="56"/>
      <c r="J157" s="53"/>
      <c r="K157" s="52"/>
      <c r="L157"/>
      <c r="M157"/>
    </row>
    <row r="158" spans="2:13" ht="17.25" customHeight="1">
      <c r="B158" s="152" t="s">
        <v>38</v>
      </c>
      <c r="C158" s="152"/>
      <c r="D158" s="152"/>
      <c r="E158" s="152"/>
      <c r="F158" s="153"/>
      <c r="G158" s="161">
        <v>8795</v>
      </c>
      <c r="H158" s="162"/>
      <c r="I158" s="56"/>
      <c r="J158" s="53"/>
      <c r="K158" s="52"/>
      <c r="L158"/>
      <c r="M158"/>
    </row>
    <row r="159" spans="2:13" ht="17.25">
      <c r="B159" s="152" t="s">
        <v>21</v>
      </c>
      <c r="C159" s="152"/>
      <c r="D159" s="152"/>
      <c r="E159" s="152"/>
      <c r="F159" s="153"/>
      <c r="G159" s="161">
        <v>5939</v>
      </c>
      <c r="H159" s="162"/>
      <c r="I159" s="56"/>
      <c r="J159" s="53"/>
      <c r="K159" s="52"/>
      <c r="L159"/>
      <c r="M159"/>
    </row>
    <row r="160" spans="2:13" ht="17.25" customHeight="1">
      <c r="B160" s="152" t="s">
        <v>55</v>
      </c>
      <c r="C160" s="152"/>
      <c r="D160" s="152"/>
      <c r="E160" s="152"/>
      <c r="F160" s="153"/>
      <c r="G160" s="161">
        <v>3674</v>
      </c>
      <c r="H160" s="162"/>
      <c r="I160" s="56"/>
      <c r="J160" s="53"/>
      <c r="K160" s="52"/>
      <c r="L160"/>
      <c r="M160"/>
    </row>
    <row r="161" spans="2:13" ht="17.25" customHeight="1">
      <c r="B161" s="152" t="s">
        <v>48</v>
      </c>
      <c r="C161" s="152"/>
      <c r="D161" s="152"/>
      <c r="E161" s="152"/>
      <c r="F161" s="153"/>
      <c r="G161" s="161">
        <v>3451</v>
      </c>
      <c r="H161" s="162"/>
      <c r="I161" s="57"/>
      <c r="J161" s="53"/>
      <c r="K161" s="52"/>
      <c r="L161"/>
      <c r="M161"/>
    </row>
    <row r="162" spans="2:13" ht="17.25" customHeight="1">
      <c r="B162" s="152" t="s">
        <v>56</v>
      </c>
      <c r="C162" s="152"/>
      <c r="D162" s="152"/>
      <c r="E162" s="152"/>
      <c r="F162" s="153"/>
      <c r="G162" s="161">
        <v>2892</v>
      </c>
      <c r="H162" s="162"/>
      <c r="I162" s="56"/>
      <c r="J162" s="53"/>
      <c r="K162" s="52"/>
      <c r="L162"/>
      <c r="M162"/>
    </row>
    <row r="163" spans="2:13" ht="17.25" customHeight="1">
      <c r="B163" s="152" t="s">
        <v>22</v>
      </c>
      <c r="C163" s="152"/>
      <c r="D163" s="152"/>
      <c r="E163" s="152"/>
      <c r="F163" s="153"/>
      <c r="G163" s="161">
        <v>1624</v>
      </c>
      <c r="H163" s="162"/>
      <c r="I163" s="56"/>
      <c r="J163" s="53"/>
      <c r="K163" s="52"/>
      <c r="L163"/>
      <c r="M163"/>
    </row>
    <row r="164" spans="2:13" ht="17.25">
      <c r="B164" s="152" t="s">
        <v>49</v>
      </c>
      <c r="C164" s="152"/>
      <c r="D164" s="152"/>
      <c r="E164" s="152"/>
      <c r="F164" s="153"/>
      <c r="G164" s="161">
        <v>1556</v>
      </c>
      <c r="H164" s="162"/>
      <c r="I164" s="56"/>
      <c r="J164" s="53"/>
      <c r="K164" s="52"/>
      <c r="L164"/>
      <c r="M164"/>
    </row>
    <row r="165" spans="2:13" ht="18" customHeight="1" thickBot="1">
      <c r="B165" s="171" t="s">
        <v>23</v>
      </c>
      <c r="C165" s="171"/>
      <c r="D165" s="171"/>
      <c r="E165" s="171"/>
      <c r="F165" s="169"/>
      <c r="G165" s="172">
        <v>1317</v>
      </c>
      <c r="H165" s="173"/>
      <c r="I165" s="56"/>
      <c r="J165" s="53"/>
      <c r="K165" s="52"/>
      <c r="L165"/>
      <c r="M165"/>
    </row>
    <row r="166" spans="2:13" ht="17.25">
      <c r="B166" s="43"/>
      <c r="C166" s="43"/>
      <c r="D166" s="43"/>
      <c r="E166" s="43"/>
      <c r="F166" s="43"/>
      <c r="G166" s="44"/>
      <c r="H166" s="44"/>
      <c r="I166" s="55"/>
      <c r="J166" s="55"/>
      <c r="L166"/>
      <c r="M166"/>
    </row>
    <row r="167" spans="2:13" ht="17.25">
      <c r="G167" s="44"/>
      <c r="H167" s="44"/>
      <c r="I167" s="2"/>
      <c r="J167" s="2"/>
    </row>
    <row r="168" spans="2:13" ht="17.25">
      <c r="B168" s="119" t="s">
        <v>8</v>
      </c>
      <c r="C168" s="41"/>
      <c r="D168" s="41"/>
      <c r="E168" s="41"/>
      <c r="F168" s="41"/>
      <c r="G168" s="41"/>
      <c r="H168" s="42" t="s">
        <v>14</v>
      </c>
      <c r="I168" s="2"/>
      <c r="J168" s="55"/>
      <c r="K168"/>
    </row>
    <row r="169" spans="2:13" ht="18" thickBot="1">
      <c r="B169" s="120" t="s">
        <v>69</v>
      </c>
      <c r="C169" s="41"/>
      <c r="D169" s="41"/>
      <c r="E169" s="41"/>
      <c r="F169" s="41"/>
      <c r="G169" s="41"/>
      <c r="H169" s="42"/>
      <c r="I169" s="2"/>
      <c r="J169" s="55"/>
      <c r="K169"/>
    </row>
    <row r="170" spans="2:13" ht="15" customHeight="1" thickBot="1">
      <c r="B170" s="137" t="s">
        <v>20</v>
      </c>
      <c r="C170" s="137"/>
      <c r="D170" s="137"/>
      <c r="E170" s="137"/>
      <c r="F170" s="138"/>
      <c r="G170" s="156" t="s">
        <v>9</v>
      </c>
      <c r="H170" s="156"/>
      <c r="I170" s="2"/>
      <c r="J170" s="2"/>
    </row>
    <row r="171" spans="2:13" ht="17.25" customHeight="1">
      <c r="B171" s="157" t="s">
        <v>48</v>
      </c>
      <c r="C171" s="157"/>
      <c r="D171" s="157"/>
      <c r="E171" s="157"/>
      <c r="F171" s="158"/>
      <c r="G171" s="159">
        <v>840444536345</v>
      </c>
      <c r="H171" s="160"/>
      <c r="I171" s="58"/>
      <c r="J171" s="59"/>
    </row>
    <row r="172" spans="2:13" ht="17.25" customHeight="1">
      <c r="B172" s="152" t="s">
        <v>38</v>
      </c>
      <c r="C172" s="152"/>
      <c r="D172" s="152"/>
      <c r="E172" s="152"/>
      <c r="F172" s="153"/>
      <c r="G172" s="161">
        <v>725881157049</v>
      </c>
      <c r="H172" s="162"/>
      <c r="I172" s="58"/>
      <c r="J172" s="59"/>
    </row>
    <row r="173" spans="2:13" ht="17.25" customHeight="1">
      <c r="B173" s="152" t="s">
        <v>52</v>
      </c>
      <c r="C173" s="152"/>
      <c r="D173" s="152"/>
      <c r="E173" s="152"/>
      <c r="F173" s="153"/>
      <c r="G173" s="161">
        <v>637583574904</v>
      </c>
      <c r="H173" s="162"/>
      <c r="I173" s="58"/>
      <c r="J173" s="59"/>
    </row>
    <row r="174" spans="2:13" ht="17.25" customHeight="1">
      <c r="B174" s="152" t="s">
        <v>31</v>
      </c>
      <c r="C174" s="152"/>
      <c r="D174" s="152"/>
      <c r="E174" s="152"/>
      <c r="F174" s="153"/>
      <c r="G174" s="161">
        <v>343485123034</v>
      </c>
      <c r="H174" s="162"/>
      <c r="I174" s="58"/>
      <c r="J174" s="59"/>
    </row>
    <row r="175" spans="2:13" ht="17.25" customHeight="1">
      <c r="B175" s="152" t="s">
        <v>54</v>
      </c>
      <c r="C175" s="152"/>
      <c r="D175" s="152"/>
      <c r="E175" s="152"/>
      <c r="F175" s="153"/>
      <c r="G175" s="161">
        <v>278491080907</v>
      </c>
      <c r="H175" s="162"/>
      <c r="I175" s="60"/>
      <c r="J175" s="53"/>
    </row>
    <row r="176" spans="2:13" ht="17.25" customHeight="1">
      <c r="B176" s="152" t="s">
        <v>61</v>
      </c>
      <c r="C176" s="152"/>
      <c r="D176" s="152"/>
      <c r="E176" s="152"/>
      <c r="F176" s="153"/>
      <c r="G176" s="161">
        <v>277945248739</v>
      </c>
      <c r="H176" s="162"/>
      <c r="I176" s="58"/>
      <c r="J176" s="59"/>
    </row>
    <row r="177" spans="2:10" ht="17.25" customHeight="1">
      <c r="B177" s="152" t="s">
        <v>63</v>
      </c>
      <c r="C177" s="152"/>
      <c r="D177" s="152"/>
      <c r="E177" s="152"/>
      <c r="F177" s="153"/>
      <c r="G177" s="161">
        <v>241455277945</v>
      </c>
      <c r="H177" s="162"/>
      <c r="I177" s="58"/>
      <c r="J177" s="59"/>
    </row>
    <row r="178" spans="2:10" ht="17.25" customHeight="1">
      <c r="B178" s="152" t="s">
        <v>62</v>
      </c>
      <c r="C178" s="152"/>
      <c r="D178" s="152"/>
      <c r="E178" s="152"/>
      <c r="F178" s="153"/>
      <c r="G178" s="161">
        <v>235330673678</v>
      </c>
      <c r="H178" s="162"/>
      <c r="I178" s="58"/>
      <c r="J178" s="59"/>
    </row>
    <row r="179" spans="2:10" ht="17.25" customHeight="1">
      <c r="B179" s="152" t="s">
        <v>66</v>
      </c>
      <c r="C179" s="152"/>
      <c r="D179" s="152"/>
      <c r="E179" s="152"/>
      <c r="F179" s="153"/>
      <c r="G179" s="161">
        <v>195694915389</v>
      </c>
      <c r="H179" s="162"/>
      <c r="I179" s="58"/>
      <c r="J179" s="59"/>
    </row>
    <row r="180" spans="2:10" ht="18" customHeight="1" thickBot="1">
      <c r="B180" s="171" t="s">
        <v>65</v>
      </c>
      <c r="C180" s="171"/>
      <c r="D180" s="171"/>
      <c r="E180" s="171"/>
      <c r="F180" s="169"/>
      <c r="G180" s="172">
        <v>177813795118</v>
      </c>
      <c r="H180" s="173"/>
      <c r="I180" s="58"/>
      <c r="J180" s="59"/>
    </row>
    <row r="181" spans="2:10" ht="17.25">
      <c r="G181" s="44"/>
      <c r="H181" s="44"/>
      <c r="J181" s="51"/>
    </row>
    <row r="182" spans="2:10">
      <c r="B182" s="66"/>
      <c r="J182" s="51"/>
    </row>
  </sheetData>
  <dataConsolidate link="1"/>
  <mergeCells count="104">
    <mergeCell ref="B2:H2"/>
    <mergeCell ref="B3:H3"/>
    <mergeCell ref="I3:N3"/>
    <mergeCell ref="B11:D11"/>
    <mergeCell ref="B12:D12"/>
    <mergeCell ref="B13:D13"/>
    <mergeCell ref="B24:D24"/>
    <mergeCell ref="B25:D25"/>
    <mergeCell ref="B26:D26"/>
    <mergeCell ref="B27:D27"/>
    <mergeCell ref="B28:D28"/>
    <mergeCell ref="B33:D33"/>
    <mergeCell ref="B14:D14"/>
    <mergeCell ref="B15:D15"/>
    <mergeCell ref="B16:D16"/>
    <mergeCell ref="B17:D17"/>
    <mergeCell ref="B22:D22"/>
    <mergeCell ref="B23:D23"/>
    <mergeCell ref="B49:D49"/>
    <mergeCell ref="B50:D50"/>
    <mergeCell ref="B51:D51"/>
    <mergeCell ref="B52:D52"/>
    <mergeCell ref="B53:D53"/>
    <mergeCell ref="B54:D54"/>
    <mergeCell ref="B34:D34"/>
    <mergeCell ref="B35:D35"/>
    <mergeCell ref="B36:D36"/>
    <mergeCell ref="B37:D37"/>
    <mergeCell ref="B38:D38"/>
    <mergeCell ref="B39:D39"/>
    <mergeCell ref="B131:F131"/>
    <mergeCell ref="G131:H131"/>
    <mergeCell ref="B140:F140"/>
    <mergeCell ref="G140:H140"/>
    <mergeCell ref="B141:F141"/>
    <mergeCell ref="G141:H141"/>
    <mergeCell ref="B128:F128"/>
    <mergeCell ref="G128:H128"/>
    <mergeCell ref="B129:F129"/>
    <mergeCell ref="G129:H129"/>
    <mergeCell ref="B130:F130"/>
    <mergeCell ref="G130:H130"/>
    <mergeCell ref="B145:F145"/>
    <mergeCell ref="G145:H145"/>
    <mergeCell ref="B146:F146"/>
    <mergeCell ref="G146:H146"/>
    <mergeCell ref="B147:F147"/>
    <mergeCell ref="G147:H147"/>
    <mergeCell ref="B142:F142"/>
    <mergeCell ref="G142:H142"/>
    <mergeCell ref="B143:F143"/>
    <mergeCell ref="G143:H143"/>
    <mergeCell ref="B144:F144"/>
    <mergeCell ref="G144:H144"/>
    <mergeCell ref="B155:F155"/>
    <mergeCell ref="G155:H155"/>
    <mergeCell ref="B156:F156"/>
    <mergeCell ref="G156:H156"/>
    <mergeCell ref="B157:F157"/>
    <mergeCell ref="G157:H157"/>
    <mergeCell ref="B148:F148"/>
    <mergeCell ref="G148:H148"/>
    <mergeCell ref="B149:F149"/>
    <mergeCell ref="G149:H149"/>
    <mergeCell ref="B150:F150"/>
    <mergeCell ref="G150:H150"/>
    <mergeCell ref="B161:F161"/>
    <mergeCell ref="G161:H161"/>
    <mergeCell ref="B162:F162"/>
    <mergeCell ref="G162:H162"/>
    <mergeCell ref="B163:F163"/>
    <mergeCell ref="G163:H163"/>
    <mergeCell ref="B158:F158"/>
    <mergeCell ref="G158:H158"/>
    <mergeCell ref="B159:F159"/>
    <mergeCell ref="G159:H159"/>
    <mergeCell ref="B160:F160"/>
    <mergeCell ref="G160:H160"/>
    <mergeCell ref="B171:F171"/>
    <mergeCell ref="G171:H171"/>
    <mergeCell ref="B172:F172"/>
    <mergeCell ref="G172:H172"/>
    <mergeCell ref="B173:F173"/>
    <mergeCell ref="G173:H173"/>
    <mergeCell ref="B164:F164"/>
    <mergeCell ref="G164:H164"/>
    <mergeCell ref="B165:F165"/>
    <mergeCell ref="G165:H165"/>
    <mergeCell ref="B170:F170"/>
    <mergeCell ref="G170:H170"/>
    <mergeCell ref="B180:F180"/>
    <mergeCell ref="G180:H180"/>
    <mergeCell ref="B177:F177"/>
    <mergeCell ref="G177:H177"/>
    <mergeCell ref="B178:F178"/>
    <mergeCell ref="G178:H178"/>
    <mergeCell ref="B179:F179"/>
    <mergeCell ref="G179:H179"/>
    <mergeCell ref="B174:F174"/>
    <mergeCell ref="G174:H174"/>
    <mergeCell ref="B175:F175"/>
    <mergeCell ref="G175:H175"/>
    <mergeCell ref="B176:F176"/>
    <mergeCell ref="G176:H176"/>
  </mergeCells>
  <pageMargins left="0.70866141732283472" right="0.70866141732283472" top="0.15748031496062992" bottom="0.15748031496062992" header="0.31496062992125984" footer="0.11811023622047245"/>
  <pageSetup paperSize="9" scale="56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51" max="16383" man="1"/>
    <brk id="194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24929">
          <objectPr defaultSize="0" autoPict="0" dde="1">
            <anchor moveWithCells="1">
              <from>
                <xdr:col>0</xdr:col>
                <xdr:colOff>123825</xdr:colOff>
                <xdr:row>75</xdr:row>
                <xdr:rowOff>142875</xdr:rowOff>
              </from>
              <to>
                <xdr:col>1</xdr:col>
                <xdr:colOff>266700</xdr:colOff>
                <xdr:row>77</xdr:row>
                <xdr:rowOff>38100</xdr:rowOff>
              </to>
            </anchor>
          </objectPr>
        </oleObject>
      </mc:Choice>
      <mc:Fallback>
        <oleObject link="[1]!'!Январь2012!R1C2:R10C9'" oleUpdate="OLEUPDATE_ALWAYS" shapeId="124929"/>
      </mc:Fallback>
    </mc:AlternateContent>
  </oleObjec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84">
    <pageSetUpPr fitToPage="1"/>
  </sheetPr>
  <dimension ref="B2:N182"/>
  <sheetViews>
    <sheetView tabSelected="1" topLeftCell="A76" workbookViewId="0">
      <selection activeCell="B48" sqref="B48"/>
    </sheetView>
  </sheetViews>
  <sheetFormatPr defaultRowHeight="13.5"/>
  <cols>
    <col min="1" max="1" width="3.42578125" style="88" customWidth="1"/>
    <col min="2" max="2" width="46.7109375" style="88" customWidth="1"/>
    <col min="3" max="6" width="18.42578125" style="88" customWidth="1"/>
    <col min="7" max="7" width="24.140625" style="88" customWidth="1"/>
    <col min="8" max="8" width="18.42578125" style="88" customWidth="1"/>
    <col min="9" max="9" width="17.28515625" style="88" bestFit="1" customWidth="1"/>
    <col min="10" max="10" width="10.5703125" style="88" customWidth="1"/>
    <col min="11" max="11" width="14.85546875" style="88" bestFit="1" customWidth="1"/>
    <col min="12" max="12" width="9.140625" style="88"/>
    <col min="13" max="13" width="23.42578125" style="88" customWidth="1"/>
    <col min="14" max="16384" width="9.140625" style="88"/>
  </cols>
  <sheetData>
    <row r="2" spans="2:14" s="1" customFormat="1" ht="20.25">
      <c r="B2" s="123" t="s">
        <v>15</v>
      </c>
      <c r="C2" s="123"/>
      <c r="D2" s="123"/>
      <c r="E2" s="123"/>
      <c r="F2" s="123"/>
      <c r="G2" s="123"/>
      <c r="H2" s="123"/>
    </row>
    <row r="3" spans="2:14" s="1" customFormat="1" ht="21" thickBot="1">
      <c r="B3" s="124">
        <v>41639</v>
      </c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</row>
    <row r="4" spans="2:14" s="1" customFormat="1" ht="18" thickTop="1"/>
    <row r="5" spans="2:14" s="1" customFormat="1" ht="17.25">
      <c r="B5" s="19"/>
      <c r="C5" s="19"/>
      <c r="D5" s="19"/>
      <c r="E5" s="19"/>
      <c r="F5" s="19"/>
      <c r="G5" s="19"/>
      <c r="H5" s="19"/>
    </row>
    <row r="6" spans="2:14" s="1" customFormat="1" ht="17.25">
      <c r="B6" s="20" t="s">
        <v>24</v>
      </c>
      <c r="C6" s="77">
        <f>B3</f>
        <v>41639</v>
      </c>
      <c r="D6" s="19"/>
      <c r="E6" s="19"/>
      <c r="F6" s="19"/>
      <c r="G6" s="19"/>
      <c r="H6" s="19"/>
    </row>
    <row r="7" spans="2:14" s="1" customFormat="1" ht="18" thickBot="1">
      <c r="B7" s="23"/>
      <c r="C7" s="23"/>
      <c r="D7" s="23"/>
      <c r="E7" s="23"/>
      <c r="F7" s="23"/>
      <c r="G7" s="23"/>
      <c r="H7" s="23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5" t="s">
        <v>70</v>
      </c>
      <c r="C10" s="16"/>
      <c r="D10" s="16"/>
      <c r="E10" s="16"/>
      <c r="F10" s="16"/>
      <c r="G10" s="16"/>
      <c r="H10" s="17" t="s">
        <v>13</v>
      </c>
    </row>
    <row r="11" spans="2:14" s="49" customFormat="1" ht="15.75" thickBot="1">
      <c r="B11" s="125" t="s">
        <v>18</v>
      </c>
      <c r="C11" s="125"/>
      <c r="D11" s="126"/>
      <c r="E11" s="85">
        <v>41608</v>
      </c>
      <c r="F11" s="85">
        <f>EDATE(E11,1)</f>
        <v>41638</v>
      </c>
      <c r="G11" s="48" t="s">
        <v>10</v>
      </c>
      <c r="H11" s="48" t="s">
        <v>11</v>
      </c>
      <c r="J11" s="90"/>
    </row>
    <row r="12" spans="2:14" s="89" customFormat="1" ht="17.25">
      <c r="B12" s="127" t="s">
        <v>0</v>
      </c>
      <c r="C12" s="127"/>
      <c r="D12" s="128"/>
      <c r="E12" s="103">
        <v>1044064</v>
      </c>
      <c r="F12" s="103">
        <v>1043653</v>
      </c>
      <c r="G12" s="13">
        <f>F12-E12</f>
        <v>-411</v>
      </c>
      <c r="H12" s="68">
        <f>F12/E12-1</f>
        <v>-3.9365402887181489E-4</v>
      </c>
      <c r="I12" s="113"/>
      <c r="J12" s="114"/>
    </row>
    <row r="13" spans="2:14" s="89" customFormat="1" ht="17.25">
      <c r="B13" s="129" t="s">
        <v>1</v>
      </c>
      <c r="C13" s="129"/>
      <c r="D13" s="130"/>
      <c r="E13" s="103">
        <v>35686</v>
      </c>
      <c r="F13" s="103">
        <v>35574</v>
      </c>
      <c r="G13" s="13">
        <f t="shared" ref="G13:G18" si="0">F13-E13</f>
        <v>-112</v>
      </c>
      <c r="H13" s="68">
        <f t="shared" ref="H13:H18" si="1">F13/E13-1</f>
        <v>-3.1384856806591088E-3</v>
      </c>
      <c r="I13" s="113"/>
      <c r="J13" s="114"/>
    </row>
    <row r="14" spans="2:14" s="89" customFormat="1" ht="17.25">
      <c r="B14" s="129" t="s">
        <v>2</v>
      </c>
      <c r="C14" s="129"/>
      <c r="D14" s="130"/>
      <c r="E14" s="103">
        <v>13263</v>
      </c>
      <c r="F14" s="103">
        <v>13307</v>
      </c>
      <c r="G14" s="13">
        <f t="shared" si="0"/>
        <v>44</v>
      </c>
      <c r="H14" s="68">
        <f t="shared" si="1"/>
        <v>3.317499811505753E-3</v>
      </c>
      <c r="I14" s="113"/>
      <c r="J14" s="114"/>
    </row>
    <row r="15" spans="2:14" s="89" customFormat="1" ht="17.25">
      <c r="B15" s="131" t="s">
        <v>41</v>
      </c>
      <c r="C15" s="131"/>
      <c r="D15" s="132"/>
      <c r="E15" s="103">
        <v>2547</v>
      </c>
      <c r="F15" s="103">
        <v>2564</v>
      </c>
      <c r="G15" s="13">
        <f t="shared" si="0"/>
        <v>17</v>
      </c>
      <c r="H15" s="68">
        <f t="shared" si="1"/>
        <v>6.6745190420101075E-3</v>
      </c>
      <c r="I15" s="113"/>
      <c r="J15" s="114"/>
    </row>
    <row r="16" spans="2:14" s="89" customFormat="1" ht="17.25">
      <c r="B16" s="133" t="s">
        <v>42</v>
      </c>
      <c r="C16" s="133"/>
      <c r="D16" s="134"/>
      <c r="E16" s="103">
        <v>10716</v>
      </c>
      <c r="F16" s="103">
        <v>10743</v>
      </c>
      <c r="G16" s="13">
        <f t="shared" si="0"/>
        <v>27</v>
      </c>
      <c r="H16" s="68">
        <f t="shared" si="1"/>
        <v>2.5195968645017608E-3</v>
      </c>
      <c r="I16" s="113"/>
      <c r="J16" s="114"/>
    </row>
    <row r="17" spans="2:10" s="89" customFormat="1" ht="18" customHeight="1" thickBot="1">
      <c r="B17" s="135" t="s">
        <v>3</v>
      </c>
      <c r="C17" s="135"/>
      <c r="D17" s="136"/>
      <c r="E17" s="103">
        <v>12418</v>
      </c>
      <c r="F17" s="103">
        <v>12458</v>
      </c>
      <c r="G17" s="13">
        <f t="shared" si="0"/>
        <v>40</v>
      </c>
      <c r="H17" s="68">
        <f t="shared" si="1"/>
        <v>3.2211306168465903E-3</v>
      </c>
      <c r="I17" s="113"/>
      <c r="J17" s="114"/>
    </row>
    <row r="18" spans="2:10" s="79" customFormat="1" ht="18" thickBot="1">
      <c r="B18" s="69" t="s">
        <v>4</v>
      </c>
      <c r="C18" s="69"/>
      <c r="D18" s="70"/>
      <c r="E18" s="82">
        <v>1105431</v>
      </c>
      <c r="F18" s="82">
        <v>1104992</v>
      </c>
      <c r="G18" s="82">
        <f t="shared" si="0"/>
        <v>-439</v>
      </c>
      <c r="H18" s="78">
        <f t="shared" si="1"/>
        <v>-3.9713016913767163E-4</v>
      </c>
      <c r="I18" s="113"/>
      <c r="J18" s="114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5" t="s">
        <v>71</v>
      </c>
      <c r="C21" s="16"/>
      <c r="D21" s="16"/>
      <c r="E21" s="16"/>
      <c r="F21" s="16"/>
      <c r="G21" s="16"/>
      <c r="H21" s="17" t="s">
        <v>12</v>
      </c>
    </row>
    <row r="22" spans="2:10" s="89" customFormat="1" ht="15.75" thickBot="1">
      <c r="B22" s="125" t="s">
        <v>18</v>
      </c>
      <c r="C22" s="125"/>
      <c r="D22" s="126"/>
      <c r="E22" s="85">
        <f>E11</f>
        <v>41608</v>
      </c>
      <c r="F22" s="85">
        <f>F11</f>
        <v>41638</v>
      </c>
      <c r="G22" s="48" t="s">
        <v>10</v>
      </c>
      <c r="H22" s="48" t="s">
        <v>11</v>
      </c>
      <c r="J22" s="90"/>
    </row>
    <row r="23" spans="2:10" s="89" customFormat="1" ht="17.25">
      <c r="B23" s="127" t="s">
        <v>0</v>
      </c>
      <c r="C23" s="127"/>
      <c r="D23" s="128"/>
      <c r="E23" s="103">
        <v>878908</v>
      </c>
      <c r="F23" s="103">
        <v>881844</v>
      </c>
      <c r="G23" s="13">
        <f>F23-E23</f>
        <v>2936</v>
      </c>
      <c r="H23" s="68">
        <f>F23/E23-1</f>
        <v>3.3405089042310987E-3</v>
      </c>
      <c r="I23" s="114"/>
    </row>
    <row r="24" spans="2:10" s="89" customFormat="1" ht="17.25">
      <c r="B24" s="129" t="s">
        <v>1</v>
      </c>
      <c r="C24" s="129"/>
      <c r="D24" s="130"/>
      <c r="E24" s="103">
        <v>19435</v>
      </c>
      <c r="F24" s="103">
        <v>19539</v>
      </c>
      <c r="G24" s="13">
        <f t="shared" ref="G24:G29" si="2">F24-E24</f>
        <v>104</v>
      </c>
      <c r="H24" s="68">
        <f t="shared" ref="H24:H29" si="3">F24/E24-1</f>
        <v>5.3511705685618249E-3</v>
      </c>
      <c r="I24" s="114"/>
    </row>
    <row r="25" spans="2:10" s="89" customFormat="1" ht="17.25">
      <c r="B25" s="129" t="s">
        <v>2</v>
      </c>
      <c r="C25" s="129"/>
      <c r="D25" s="130"/>
      <c r="E25" s="103">
        <v>6874</v>
      </c>
      <c r="F25" s="103">
        <v>6957</v>
      </c>
      <c r="G25" s="13">
        <f t="shared" si="2"/>
        <v>83</v>
      </c>
      <c r="H25" s="68">
        <f t="shared" si="3"/>
        <v>1.2074483561245186E-2</v>
      </c>
      <c r="I25" s="114"/>
    </row>
    <row r="26" spans="2:10" s="89" customFormat="1" ht="17.25">
      <c r="B26" s="131" t="s">
        <v>41</v>
      </c>
      <c r="C26" s="131"/>
      <c r="D26" s="132"/>
      <c r="E26" s="103">
        <v>2507</v>
      </c>
      <c r="F26" s="103">
        <v>2553</v>
      </c>
      <c r="G26" s="13">
        <f t="shared" si="2"/>
        <v>46</v>
      </c>
      <c r="H26" s="68">
        <f t="shared" si="3"/>
        <v>1.8348623853210899E-2</v>
      </c>
      <c r="I26" s="114"/>
    </row>
    <row r="27" spans="2:10" s="89" customFormat="1" ht="17.25">
      <c r="B27" s="133" t="s">
        <v>42</v>
      </c>
      <c r="C27" s="133"/>
      <c r="D27" s="134"/>
      <c r="E27" s="103">
        <v>4367</v>
      </c>
      <c r="F27" s="103">
        <v>4404</v>
      </c>
      <c r="G27" s="13">
        <f t="shared" si="2"/>
        <v>37</v>
      </c>
      <c r="H27" s="68">
        <f t="shared" si="3"/>
        <v>8.4726356766660071E-3</v>
      </c>
      <c r="I27" s="114"/>
    </row>
    <row r="28" spans="2:10" s="89" customFormat="1" ht="18" thickBot="1">
      <c r="B28" s="135" t="s">
        <v>3</v>
      </c>
      <c r="C28" s="135"/>
      <c r="D28" s="136"/>
      <c r="E28" s="103">
        <v>5205</v>
      </c>
      <c r="F28" s="103">
        <v>5182</v>
      </c>
      <c r="G28" s="13">
        <f t="shared" si="2"/>
        <v>-23</v>
      </c>
      <c r="H28" s="68">
        <f t="shared" si="3"/>
        <v>-4.4188280499519728E-3</v>
      </c>
      <c r="I28" s="114"/>
    </row>
    <row r="29" spans="2:10" s="79" customFormat="1" ht="18" thickBot="1">
      <c r="B29" s="69" t="s">
        <v>4</v>
      </c>
      <c r="C29" s="69"/>
      <c r="D29" s="70"/>
      <c r="E29" s="82">
        <f>E23+E24+E25+E28</f>
        <v>910422</v>
      </c>
      <c r="F29" s="82">
        <f>F23+F24+F25+F28</f>
        <v>913522</v>
      </c>
      <c r="G29" s="82">
        <f t="shared" si="2"/>
        <v>3100</v>
      </c>
      <c r="H29" s="78">
        <f t="shared" si="3"/>
        <v>3.4050143779478237E-3</v>
      </c>
      <c r="I29" s="114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5" t="s">
        <v>16</v>
      </c>
      <c r="C32" s="16"/>
      <c r="D32" s="16"/>
      <c r="E32" s="16"/>
      <c r="F32" s="16"/>
      <c r="G32" s="16"/>
      <c r="H32" s="17" t="s">
        <v>14</v>
      </c>
    </row>
    <row r="33" spans="2:9" ht="15.75" thickBot="1">
      <c r="B33" s="137" t="s">
        <v>18</v>
      </c>
      <c r="C33" s="137"/>
      <c r="D33" s="138"/>
      <c r="E33" s="83">
        <f>EDATE(C6,-1)</f>
        <v>41608</v>
      </c>
      <c r="F33" s="83">
        <f>EDATE(E33,1)</f>
        <v>41638</v>
      </c>
      <c r="G33" s="18" t="s">
        <v>10</v>
      </c>
      <c r="H33" s="18" t="s">
        <v>11</v>
      </c>
    </row>
    <row r="34" spans="2:9" ht="17.25">
      <c r="B34" s="139" t="s">
        <v>0</v>
      </c>
      <c r="C34" s="139"/>
      <c r="D34" s="140"/>
      <c r="E34" s="97">
        <v>56125</v>
      </c>
      <c r="F34" s="97">
        <v>57875</v>
      </c>
      <c r="G34" s="13">
        <f t="shared" ref="G34:G40" si="4">F34-E34</f>
        <v>1750</v>
      </c>
      <c r="H34" s="68">
        <f t="shared" ref="H34:H40" si="5">F34/E34-1</f>
        <v>3.1180400890868487E-2</v>
      </c>
    </row>
    <row r="35" spans="2:9" ht="17.25">
      <c r="B35" s="152" t="s">
        <v>1</v>
      </c>
      <c r="C35" s="152"/>
      <c r="D35" s="153"/>
      <c r="E35" s="97">
        <v>1420</v>
      </c>
      <c r="F35" s="97">
        <v>1511</v>
      </c>
      <c r="G35" s="13">
        <f t="shared" si="4"/>
        <v>91</v>
      </c>
      <c r="H35" s="68">
        <f t="shared" si="5"/>
        <v>6.4084507042253547E-2</v>
      </c>
    </row>
    <row r="36" spans="2:9" ht="17.25">
      <c r="B36" s="152" t="s">
        <v>2</v>
      </c>
      <c r="C36" s="152"/>
      <c r="D36" s="153"/>
      <c r="E36" s="97">
        <v>622</v>
      </c>
      <c r="F36" s="97">
        <v>638</v>
      </c>
      <c r="G36" s="13">
        <f t="shared" si="4"/>
        <v>16</v>
      </c>
      <c r="H36" s="68">
        <f t="shared" si="5"/>
        <v>2.5723472668810254E-2</v>
      </c>
    </row>
    <row r="37" spans="2:9" ht="17.25">
      <c r="B37" s="131" t="s">
        <v>41</v>
      </c>
      <c r="C37" s="131"/>
      <c r="D37" s="132"/>
      <c r="E37" s="97">
        <v>163</v>
      </c>
      <c r="F37" s="97">
        <v>156</v>
      </c>
      <c r="G37" s="13">
        <f t="shared" si="4"/>
        <v>-7</v>
      </c>
      <c r="H37" s="68">
        <f t="shared" si="5"/>
        <v>-4.2944785276073594E-2</v>
      </c>
    </row>
    <row r="38" spans="2:9" ht="17.25">
      <c r="B38" s="133" t="s">
        <v>42</v>
      </c>
      <c r="C38" s="133"/>
      <c r="D38" s="134"/>
      <c r="E38" s="97">
        <v>459</v>
      </c>
      <c r="F38" s="97">
        <v>482</v>
      </c>
      <c r="G38" s="13">
        <f t="shared" si="4"/>
        <v>23</v>
      </c>
      <c r="H38" s="68">
        <f t="shared" si="5"/>
        <v>5.0108932461873534E-2</v>
      </c>
    </row>
    <row r="39" spans="2:9" ht="18" thickBot="1">
      <c r="B39" s="154" t="s">
        <v>3</v>
      </c>
      <c r="C39" s="154"/>
      <c r="D39" s="155"/>
      <c r="E39" s="97">
        <v>832</v>
      </c>
      <c r="F39" s="97">
        <v>826</v>
      </c>
      <c r="G39" s="13">
        <f t="shared" si="4"/>
        <v>-6</v>
      </c>
      <c r="H39" s="68">
        <f t="shared" si="5"/>
        <v>-7.2115384615384359E-3</v>
      </c>
    </row>
    <row r="40" spans="2:9" s="79" customFormat="1" ht="18" thickBot="1">
      <c r="B40" s="69" t="s">
        <v>4</v>
      </c>
      <c r="C40" s="69"/>
      <c r="D40" s="70"/>
      <c r="E40" s="82">
        <v>58999</v>
      </c>
      <c r="F40" s="82">
        <v>60850</v>
      </c>
      <c r="G40" s="82">
        <f t="shared" si="4"/>
        <v>1851</v>
      </c>
      <c r="H40" s="78">
        <f t="shared" si="5"/>
        <v>3.1373413108696679E-2</v>
      </c>
      <c r="I40" s="66"/>
    </row>
    <row r="41" spans="2:9" ht="15">
      <c r="B41" s="6"/>
      <c r="C41" s="6"/>
      <c r="D41" s="6"/>
      <c r="E41" s="45"/>
      <c r="F41" s="45"/>
      <c r="G41" s="46"/>
      <c r="H41" s="47"/>
    </row>
    <row r="42" spans="2:9" ht="15">
      <c r="B42" s="10"/>
      <c r="C42" s="2"/>
      <c r="D42" s="2"/>
      <c r="E42" s="2"/>
      <c r="F42" s="2"/>
      <c r="G42" s="2"/>
    </row>
    <row r="43" spans="2:9" ht="17.25">
      <c r="B43" s="21"/>
      <c r="C43" s="21"/>
      <c r="D43" s="21"/>
      <c r="E43" s="21"/>
      <c r="F43" s="21"/>
      <c r="G43" s="21"/>
      <c r="H43" s="21"/>
    </row>
    <row r="44" spans="2:9" ht="17.25">
      <c r="B44" s="22" t="s">
        <v>17</v>
      </c>
      <c r="C44" s="21"/>
      <c r="D44" s="21"/>
      <c r="E44" s="21"/>
      <c r="F44" s="21"/>
      <c r="G44" s="21"/>
      <c r="H44" s="21"/>
    </row>
    <row r="45" spans="2:9" ht="18" thickBot="1">
      <c r="B45" s="24"/>
      <c r="C45" s="24"/>
      <c r="D45" s="24"/>
      <c r="E45" s="24"/>
      <c r="F45" s="24"/>
      <c r="G45" s="24"/>
      <c r="H45" s="24"/>
    </row>
    <row r="47" spans="2:9">
      <c r="F47" s="5"/>
    </row>
    <row r="48" spans="2:9" ht="18" thickBot="1">
      <c r="B48" s="14" t="s">
        <v>72</v>
      </c>
      <c r="C48" s="25"/>
      <c r="D48" s="25"/>
      <c r="E48" s="25"/>
      <c r="F48" s="25"/>
      <c r="G48" s="25"/>
      <c r="H48" s="199" t="s">
        <v>13</v>
      </c>
      <c r="I48" s="199"/>
    </row>
    <row r="49" spans="2:9" ht="15.75" thickBot="1">
      <c r="B49" s="137" t="s">
        <v>18</v>
      </c>
      <c r="C49" s="137"/>
      <c r="D49" s="138"/>
      <c r="E49" s="85">
        <v>40178</v>
      </c>
      <c r="F49" s="85">
        <v>40543</v>
      </c>
      <c r="G49" s="85">
        <v>40908</v>
      </c>
      <c r="H49" s="85">
        <v>41274</v>
      </c>
      <c r="I49" s="85">
        <v>41639</v>
      </c>
    </row>
    <row r="50" spans="2:9" ht="17.25">
      <c r="B50" s="141" t="s">
        <v>0</v>
      </c>
      <c r="C50" s="141"/>
      <c r="D50" s="142"/>
      <c r="E50" s="99">
        <v>671475</v>
      </c>
      <c r="F50" s="99">
        <v>714295</v>
      </c>
      <c r="G50" s="99">
        <v>772175</v>
      </c>
      <c r="H50" s="99">
        <v>805549</v>
      </c>
      <c r="I50" s="99">
        <v>881844</v>
      </c>
    </row>
    <row r="51" spans="2:9" ht="17.25">
      <c r="B51" s="143" t="s">
        <v>1</v>
      </c>
      <c r="C51" s="143"/>
      <c r="D51" s="144"/>
      <c r="E51" s="100">
        <v>16364</v>
      </c>
      <c r="F51" s="100">
        <v>17170</v>
      </c>
      <c r="G51" s="100">
        <v>16850</v>
      </c>
      <c r="H51" s="100">
        <v>17821</v>
      </c>
      <c r="I51" s="100">
        <v>19539</v>
      </c>
    </row>
    <row r="52" spans="2:9" ht="17.25">
      <c r="B52" s="145" t="s">
        <v>2</v>
      </c>
      <c r="C52" s="145"/>
      <c r="D52" s="146"/>
      <c r="E52" s="102">
        <v>3851</v>
      </c>
      <c r="F52" s="102">
        <v>4295</v>
      </c>
      <c r="G52" s="102">
        <v>5058</v>
      </c>
      <c r="H52" s="102">
        <v>5876</v>
      </c>
      <c r="I52" s="102">
        <v>6957</v>
      </c>
    </row>
    <row r="53" spans="2:9" ht="18" thickBot="1">
      <c r="B53" s="147" t="s">
        <v>3</v>
      </c>
      <c r="C53" s="147"/>
      <c r="D53" s="148"/>
      <c r="E53" s="98">
        <v>4717</v>
      </c>
      <c r="F53" s="98">
        <v>5348</v>
      </c>
      <c r="G53" s="98">
        <v>5242</v>
      </c>
      <c r="H53" s="98">
        <v>5261</v>
      </c>
      <c r="I53" s="98">
        <v>5182</v>
      </c>
    </row>
    <row r="54" spans="2:9" s="81" customFormat="1" ht="18" thickBot="1">
      <c r="B54" s="149" t="s">
        <v>4</v>
      </c>
      <c r="C54" s="149"/>
      <c r="D54" s="150"/>
      <c r="E54" s="101">
        <v>696407</v>
      </c>
      <c r="F54" s="101">
        <v>741108</v>
      </c>
      <c r="G54" s="101">
        <v>799325</v>
      </c>
      <c r="H54" s="101">
        <v>834507</v>
      </c>
      <c r="I54" s="101">
        <v>913522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4" t="s">
        <v>73</v>
      </c>
      <c r="C82" s="25"/>
      <c r="D82" s="25"/>
      <c r="E82" s="25"/>
      <c r="F82" s="25"/>
      <c r="G82" s="25"/>
      <c r="H82" s="26" t="s">
        <v>12</v>
      </c>
      <c r="I82"/>
      <c r="J82"/>
      <c r="K82"/>
    </row>
    <row r="83" spans="2:11" ht="15.75" thickBot="1">
      <c r="B83" s="34" t="s">
        <v>18</v>
      </c>
      <c r="C83" s="85">
        <f>EDATE(D83,-1)</f>
        <v>41485</v>
      </c>
      <c r="D83" s="85">
        <f>EDATE(E83,-1)</f>
        <v>41516</v>
      </c>
      <c r="E83" s="85">
        <f>EDATE(F83,-1)</f>
        <v>41547</v>
      </c>
      <c r="F83" s="85">
        <f>EDATE(G83,-1)</f>
        <v>41577</v>
      </c>
      <c r="G83" s="85">
        <f>EDATE(H83,-1)</f>
        <v>41608</v>
      </c>
      <c r="H83" s="85">
        <f>EDATE(E11,1)</f>
        <v>41638</v>
      </c>
      <c r="I83"/>
      <c r="J83"/>
    </row>
    <row r="84" spans="2:11" ht="16.5" customHeight="1">
      <c r="B84" s="27" t="s">
        <v>0</v>
      </c>
      <c r="C84" s="72">
        <v>884194</v>
      </c>
      <c r="D84" s="72">
        <v>882528</v>
      </c>
      <c r="E84" s="72">
        <v>872709</v>
      </c>
      <c r="F84" s="72">
        <v>876196</v>
      </c>
      <c r="G84" s="72">
        <v>878908</v>
      </c>
      <c r="H84" s="99">
        <v>881844</v>
      </c>
    </row>
    <row r="85" spans="2:11" ht="16.5" customHeight="1">
      <c r="B85" s="28" t="s">
        <v>1</v>
      </c>
      <c r="C85" s="73">
        <v>19208</v>
      </c>
      <c r="D85" s="73">
        <v>19235</v>
      </c>
      <c r="E85" s="73">
        <v>19279</v>
      </c>
      <c r="F85" s="73">
        <v>19352</v>
      </c>
      <c r="G85" s="73">
        <v>19435</v>
      </c>
      <c r="H85" s="100">
        <v>19539</v>
      </c>
    </row>
    <row r="86" spans="2:11" ht="16.5" customHeight="1">
      <c r="B86" s="29" t="s">
        <v>2</v>
      </c>
      <c r="C86" s="74">
        <v>6682</v>
      </c>
      <c r="D86" s="74">
        <v>6722</v>
      </c>
      <c r="E86" s="74">
        <v>6763</v>
      </c>
      <c r="F86" s="74">
        <v>6810</v>
      </c>
      <c r="G86" s="74">
        <v>6874</v>
      </c>
      <c r="H86" s="102">
        <v>6957</v>
      </c>
    </row>
    <row r="87" spans="2:11" ht="16.5" customHeight="1" thickBot="1">
      <c r="B87" s="30" t="s">
        <v>3</v>
      </c>
      <c r="C87" s="75">
        <v>5233</v>
      </c>
      <c r="D87" s="75">
        <v>5237</v>
      </c>
      <c r="E87" s="75">
        <v>5254</v>
      </c>
      <c r="F87" s="75">
        <v>5157</v>
      </c>
      <c r="G87" s="75">
        <v>5205</v>
      </c>
      <c r="H87" s="98">
        <v>5182</v>
      </c>
    </row>
    <row r="88" spans="2:11" s="81" customFormat="1" ht="18" thickBot="1">
      <c r="B88" s="122" t="s">
        <v>4</v>
      </c>
      <c r="C88" s="76">
        <v>915317</v>
      </c>
      <c r="D88" s="76">
        <v>913722</v>
      </c>
      <c r="E88" s="76">
        <v>904005</v>
      </c>
      <c r="F88" s="76">
        <v>907515</v>
      </c>
      <c r="G88" s="76">
        <v>910422</v>
      </c>
      <c r="H88" s="101">
        <v>913522</v>
      </c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31"/>
      <c r="C123" s="31"/>
      <c r="D123" s="31"/>
      <c r="E123" s="31"/>
      <c r="F123" s="31"/>
      <c r="G123" s="31"/>
      <c r="H123" s="31"/>
    </row>
    <row r="124" spans="2:8" ht="17.25">
      <c r="B124" s="32" t="s">
        <v>43</v>
      </c>
      <c r="C124" s="86">
        <v>41639</v>
      </c>
      <c r="D124" s="31"/>
      <c r="E124" s="31"/>
      <c r="F124" s="31"/>
      <c r="G124" s="31"/>
      <c r="H124" s="31"/>
    </row>
    <row r="125" spans="2:8" ht="18" thickBot="1">
      <c r="B125" s="33"/>
      <c r="C125" s="33"/>
      <c r="D125" s="33"/>
      <c r="E125" s="33"/>
      <c r="F125" s="33"/>
      <c r="G125" s="33"/>
      <c r="H125" s="33"/>
    </row>
    <row r="127" spans="2:8" ht="18" thickBot="1">
      <c r="B127" s="71"/>
      <c r="C127" s="87"/>
      <c r="D127" s="38"/>
      <c r="E127" s="38"/>
      <c r="F127" s="38"/>
      <c r="G127" s="38"/>
      <c r="H127" s="39" t="s">
        <v>13</v>
      </c>
    </row>
    <row r="128" spans="2:8" ht="30.75" customHeight="1" thickBot="1">
      <c r="B128" s="138" t="s">
        <v>44</v>
      </c>
      <c r="C128" s="151"/>
      <c r="D128" s="151"/>
      <c r="E128" s="151"/>
      <c r="F128" s="151"/>
      <c r="G128" s="163" t="s">
        <v>5</v>
      </c>
      <c r="H128" s="164"/>
    </row>
    <row r="129" spans="2:10" ht="18" customHeight="1">
      <c r="B129" s="140" t="s">
        <v>19</v>
      </c>
      <c r="C129" s="165"/>
      <c r="D129" s="165"/>
      <c r="E129" s="165"/>
      <c r="F129" s="165"/>
      <c r="G129" s="181">
        <v>766</v>
      </c>
      <c r="H129" s="182"/>
    </row>
    <row r="130" spans="2:10" ht="17.25" customHeight="1">
      <c r="B130" s="153" t="s">
        <v>39</v>
      </c>
      <c r="C130" s="168"/>
      <c r="D130" s="168"/>
      <c r="E130" s="168"/>
      <c r="F130" s="168"/>
      <c r="G130" s="183">
        <v>766</v>
      </c>
      <c r="H130" s="184"/>
    </row>
    <row r="131" spans="2:10" ht="18" customHeight="1" thickBot="1">
      <c r="B131" s="169" t="s">
        <v>40</v>
      </c>
      <c r="C131" s="170"/>
      <c r="D131" s="170"/>
      <c r="E131" s="170"/>
      <c r="F131" s="170"/>
      <c r="G131" s="185">
        <v>474</v>
      </c>
      <c r="H131" s="186"/>
    </row>
    <row r="134" spans="2:10" ht="17.25">
      <c r="B134" s="35"/>
      <c r="C134" s="35"/>
      <c r="D134" s="35"/>
      <c r="E134" s="35"/>
      <c r="F134" s="35"/>
      <c r="G134" s="35"/>
      <c r="H134" s="35"/>
    </row>
    <row r="135" spans="2:10" ht="17.25">
      <c r="B135" s="36" t="s">
        <v>25</v>
      </c>
      <c r="C135" s="35"/>
      <c r="D135" s="35"/>
      <c r="E135" s="36"/>
      <c r="F135" s="84">
        <f>C6</f>
        <v>41639</v>
      </c>
      <c r="G135" s="35"/>
      <c r="H135" s="35"/>
    </row>
    <row r="136" spans="2:10" ht="18" thickBot="1">
      <c r="B136" s="37"/>
      <c r="C136" s="37"/>
      <c r="D136" s="37"/>
      <c r="E136" s="37"/>
      <c r="F136" s="37"/>
      <c r="G136" s="37"/>
      <c r="H136" s="37"/>
    </row>
    <row r="138" spans="2:10" ht="17.25">
      <c r="B138" s="119" t="s">
        <v>45</v>
      </c>
      <c r="C138" s="41"/>
      <c r="D138" s="41"/>
      <c r="E138" s="41"/>
      <c r="F138" s="41"/>
      <c r="G138" s="41"/>
      <c r="H138" s="42" t="s">
        <v>13</v>
      </c>
    </row>
    <row r="139" spans="2:10" ht="18" thickBot="1">
      <c r="B139" s="120" t="s">
        <v>67</v>
      </c>
      <c r="C139" s="41"/>
      <c r="D139" s="41"/>
      <c r="E139" s="41"/>
      <c r="F139" s="41"/>
      <c r="G139" s="41"/>
      <c r="H139" s="42"/>
    </row>
    <row r="140" spans="2:10" ht="15.75" thickBot="1">
      <c r="B140" s="191" t="s">
        <v>20</v>
      </c>
      <c r="C140" s="191"/>
      <c r="D140" s="191"/>
      <c r="E140" s="191"/>
      <c r="F140" s="192"/>
      <c r="G140" s="156" t="s">
        <v>6</v>
      </c>
      <c r="H140" s="156"/>
      <c r="I140"/>
    </row>
    <row r="141" spans="2:10" ht="17.25" customHeight="1">
      <c r="B141" s="157" t="s">
        <v>21</v>
      </c>
      <c r="C141" s="157"/>
      <c r="D141" s="157"/>
      <c r="E141" s="157"/>
      <c r="F141" s="158"/>
      <c r="G141" s="200">
        <v>201298</v>
      </c>
      <c r="H141" s="201"/>
      <c r="I141" s="50"/>
      <c r="J141" s="53"/>
    </row>
    <row r="142" spans="2:10" ht="17.25">
      <c r="B142" s="152" t="s">
        <v>52</v>
      </c>
      <c r="C142" s="152"/>
      <c r="D142" s="152"/>
      <c r="E142" s="152"/>
      <c r="F142" s="153"/>
      <c r="G142" s="193">
        <v>181208</v>
      </c>
      <c r="H142" s="194"/>
      <c r="I142" s="50"/>
      <c r="J142" s="53"/>
    </row>
    <row r="143" spans="2:10" ht="17.25" customHeight="1">
      <c r="B143" s="152" t="s">
        <v>54</v>
      </c>
      <c r="C143" s="152"/>
      <c r="D143" s="152"/>
      <c r="E143" s="152"/>
      <c r="F143" s="153"/>
      <c r="G143" s="193">
        <v>115929</v>
      </c>
      <c r="H143" s="194"/>
      <c r="I143" s="50"/>
      <c r="J143" s="53"/>
    </row>
    <row r="144" spans="2:10" ht="17.25" customHeight="1">
      <c r="B144" s="152" t="s">
        <v>38</v>
      </c>
      <c r="C144" s="152"/>
      <c r="D144" s="152"/>
      <c r="E144" s="152"/>
      <c r="F144" s="153"/>
      <c r="G144" s="193">
        <v>110865</v>
      </c>
      <c r="H144" s="194"/>
      <c r="I144" s="50"/>
      <c r="J144" s="53"/>
    </row>
    <row r="145" spans="2:13" ht="17.25" customHeight="1">
      <c r="B145" s="152" t="s">
        <v>55</v>
      </c>
      <c r="C145" s="152"/>
      <c r="D145" s="152"/>
      <c r="E145" s="152"/>
      <c r="F145" s="153"/>
      <c r="G145" s="193">
        <v>60576</v>
      </c>
      <c r="H145" s="194"/>
      <c r="I145" s="50"/>
      <c r="J145" s="53"/>
    </row>
    <row r="146" spans="2:13" ht="13.5" customHeight="1">
      <c r="B146" s="152" t="s">
        <v>56</v>
      </c>
      <c r="C146" s="152"/>
      <c r="D146" s="152"/>
      <c r="E146" s="152"/>
      <c r="F146" s="153"/>
      <c r="G146" s="193">
        <v>43927</v>
      </c>
      <c r="H146" s="194"/>
      <c r="I146" s="54"/>
      <c r="J146" s="53"/>
    </row>
    <row r="147" spans="2:13" ht="17.25" customHeight="1">
      <c r="B147" s="152" t="s">
        <v>48</v>
      </c>
      <c r="C147" s="152"/>
      <c r="D147" s="152"/>
      <c r="E147" s="152"/>
      <c r="F147" s="153"/>
      <c r="G147" s="193">
        <v>40601</v>
      </c>
      <c r="H147" s="194"/>
      <c r="I147" s="50"/>
      <c r="J147" s="53"/>
    </row>
    <row r="148" spans="2:13" ht="17.25" customHeight="1">
      <c r="B148" s="152" t="s">
        <v>22</v>
      </c>
      <c r="C148" s="152"/>
      <c r="D148" s="152"/>
      <c r="E148" s="152"/>
      <c r="F148" s="153"/>
      <c r="G148" s="193">
        <v>29438</v>
      </c>
      <c r="H148" s="194"/>
      <c r="I148" s="50"/>
      <c r="J148" s="53"/>
    </row>
    <row r="149" spans="2:13" ht="17.25" customHeight="1">
      <c r="B149" s="187" t="s">
        <v>23</v>
      </c>
      <c r="C149" s="187"/>
      <c r="D149" s="187"/>
      <c r="E149" s="187"/>
      <c r="F149" s="188"/>
      <c r="G149" s="195">
        <v>20309</v>
      </c>
      <c r="H149" s="196"/>
      <c r="I149" s="50"/>
      <c r="J149" s="53"/>
      <c r="L149"/>
    </row>
    <row r="150" spans="2:13" ht="18" customHeight="1" thickBot="1">
      <c r="B150" s="171" t="s">
        <v>58</v>
      </c>
      <c r="C150" s="171"/>
      <c r="D150" s="171"/>
      <c r="E150" s="171"/>
      <c r="F150" s="169"/>
      <c r="G150" s="197">
        <v>19462</v>
      </c>
      <c r="H150" s="198"/>
      <c r="I150" s="50"/>
      <c r="J150" s="53"/>
      <c r="L150"/>
    </row>
    <row r="151" spans="2:13" ht="17.25">
      <c r="G151" s="44"/>
      <c r="H151" s="44"/>
      <c r="I151" s="55"/>
      <c r="J151" s="55"/>
    </row>
    <row r="152" spans="2:13" ht="17.25">
      <c r="B152" s="43"/>
      <c r="C152" s="43"/>
      <c r="D152" s="43"/>
      <c r="E152" s="43"/>
      <c r="F152" s="43"/>
      <c r="G152" s="44"/>
      <c r="H152" s="44"/>
      <c r="I152" s="55"/>
      <c r="J152" s="55"/>
    </row>
    <row r="153" spans="2:13" ht="17.25">
      <c r="B153" s="119" t="s">
        <v>7</v>
      </c>
      <c r="C153" s="41"/>
      <c r="D153" s="41"/>
      <c r="E153" s="41"/>
      <c r="F153" s="41"/>
      <c r="G153" s="41"/>
      <c r="H153" s="42" t="s">
        <v>12</v>
      </c>
      <c r="I153" s="55"/>
      <c r="J153" s="55"/>
    </row>
    <row r="154" spans="2:13" ht="18" thickBot="1">
      <c r="B154" s="120" t="s">
        <v>68</v>
      </c>
      <c r="C154" s="41"/>
      <c r="D154" s="41"/>
      <c r="E154" s="41"/>
      <c r="F154" s="41"/>
      <c r="G154" s="41"/>
      <c r="H154" s="42"/>
      <c r="I154" s="55"/>
      <c r="J154" s="55"/>
    </row>
    <row r="155" spans="2:13" ht="15.75" thickBot="1">
      <c r="B155" s="137" t="s">
        <v>20</v>
      </c>
      <c r="C155" s="137"/>
      <c r="D155" s="137"/>
      <c r="E155" s="137"/>
      <c r="F155" s="138"/>
      <c r="G155" s="156" t="s">
        <v>6</v>
      </c>
      <c r="H155" s="156"/>
      <c r="I155" s="55"/>
      <c r="J155" s="55"/>
      <c r="K155"/>
      <c r="L155"/>
      <c r="M155"/>
    </row>
    <row r="156" spans="2:13" ht="17.25" customHeight="1">
      <c r="B156" s="157" t="s">
        <v>52</v>
      </c>
      <c r="C156" s="157"/>
      <c r="D156" s="157"/>
      <c r="E156" s="157"/>
      <c r="F156" s="158"/>
      <c r="G156" s="159">
        <v>11564</v>
      </c>
      <c r="H156" s="160"/>
      <c r="I156" s="56"/>
      <c r="J156" s="53"/>
      <c r="K156" s="52"/>
      <c r="L156"/>
      <c r="M156"/>
    </row>
    <row r="157" spans="2:13" ht="17.25" customHeight="1">
      <c r="B157" s="152" t="s">
        <v>54</v>
      </c>
      <c r="C157" s="152"/>
      <c r="D157" s="152"/>
      <c r="E157" s="152"/>
      <c r="F157" s="153"/>
      <c r="G157" s="161">
        <v>9868</v>
      </c>
      <c r="H157" s="162"/>
      <c r="I157" s="56"/>
      <c r="J157" s="53"/>
      <c r="K157" s="52"/>
      <c r="L157"/>
      <c r="M157"/>
    </row>
    <row r="158" spans="2:13" ht="17.25" customHeight="1">
      <c r="B158" s="152" t="s">
        <v>38</v>
      </c>
      <c r="C158" s="152"/>
      <c r="D158" s="152"/>
      <c r="E158" s="152"/>
      <c r="F158" s="153"/>
      <c r="G158" s="161">
        <v>8997</v>
      </c>
      <c r="H158" s="162"/>
      <c r="I158" s="56"/>
      <c r="J158" s="53"/>
      <c r="K158" s="52"/>
      <c r="L158"/>
      <c r="M158"/>
    </row>
    <row r="159" spans="2:13" ht="17.25">
      <c r="B159" s="152" t="s">
        <v>21</v>
      </c>
      <c r="C159" s="152"/>
      <c r="D159" s="152"/>
      <c r="E159" s="152"/>
      <c r="F159" s="153"/>
      <c r="G159" s="161">
        <v>6145</v>
      </c>
      <c r="H159" s="162"/>
      <c r="I159" s="56"/>
      <c r="J159" s="53"/>
      <c r="K159" s="52"/>
      <c r="L159"/>
      <c r="M159"/>
    </row>
    <row r="160" spans="2:13" ht="17.25" customHeight="1">
      <c r="B160" s="152" t="s">
        <v>55</v>
      </c>
      <c r="C160" s="152"/>
      <c r="D160" s="152"/>
      <c r="E160" s="152"/>
      <c r="F160" s="153"/>
      <c r="G160" s="161">
        <v>3625</v>
      </c>
      <c r="H160" s="162"/>
      <c r="I160" s="56"/>
      <c r="J160" s="53"/>
      <c r="K160" s="52"/>
      <c r="L160"/>
      <c r="M160"/>
    </row>
    <row r="161" spans="2:13" ht="17.25" customHeight="1">
      <c r="B161" s="152" t="s">
        <v>48</v>
      </c>
      <c r="C161" s="152"/>
      <c r="D161" s="152"/>
      <c r="E161" s="152"/>
      <c r="F161" s="153"/>
      <c r="G161" s="161">
        <v>3437</v>
      </c>
      <c r="H161" s="162"/>
      <c r="I161" s="57"/>
      <c r="J161" s="53"/>
      <c r="K161" s="52"/>
      <c r="L161"/>
      <c r="M161"/>
    </row>
    <row r="162" spans="2:13" ht="17.25" customHeight="1">
      <c r="B162" s="152" t="s">
        <v>56</v>
      </c>
      <c r="C162" s="152"/>
      <c r="D162" s="152"/>
      <c r="E162" s="152"/>
      <c r="F162" s="153"/>
      <c r="G162" s="161">
        <v>3025</v>
      </c>
      <c r="H162" s="162"/>
      <c r="I162" s="56"/>
      <c r="J162" s="53"/>
      <c r="K162" s="52"/>
      <c r="L162"/>
      <c r="M162"/>
    </row>
    <row r="163" spans="2:13" ht="17.25" customHeight="1">
      <c r="B163" s="152" t="s">
        <v>49</v>
      </c>
      <c r="C163" s="152"/>
      <c r="D163" s="152"/>
      <c r="E163" s="152"/>
      <c r="F163" s="153"/>
      <c r="G163" s="161">
        <v>1609</v>
      </c>
      <c r="H163" s="162"/>
      <c r="I163" s="56"/>
      <c r="J163" s="53"/>
      <c r="K163" s="52"/>
      <c r="L163"/>
      <c r="M163"/>
    </row>
    <row r="164" spans="2:13" ht="17.25">
      <c r="B164" s="152" t="s">
        <v>22</v>
      </c>
      <c r="C164" s="152"/>
      <c r="D164" s="152"/>
      <c r="E164" s="152"/>
      <c r="F164" s="153"/>
      <c r="G164" s="161">
        <v>1561</v>
      </c>
      <c r="H164" s="162"/>
      <c r="I164" s="56"/>
      <c r="J164" s="53"/>
      <c r="K164" s="52"/>
      <c r="L164"/>
      <c r="M164"/>
    </row>
    <row r="165" spans="2:13" ht="18" customHeight="1" thickBot="1">
      <c r="B165" s="171" t="s">
        <v>23</v>
      </c>
      <c r="C165" s="171"/>
      <c r="D165" s="171"/>
      <c r="E165" s="171"/>
      <c r="F165" s="169"/>
      <c r="G165" s="172">
        <v>1321</v>
      </c>
      <c r="H165" s="173"/>
      <c r="I165" s="56"/>
      <c r="J165" s="53"/>
      <c r="K165" s="52"/>
      <c r="L165"/>
      <c r="M165"/>
    </row>
    <row r="166" spans="2:13" ht="17.25">
      <c r="B166" s="43"/>
      <c r="C166" s="43"/>
      <c r="D166" s="43"/>
      <c r="E166" s="43"/>
      <c r="F166" s="43"/>
      <c r="G166" s="44"/>
      <c r="H166" s="44"/>
      <c r="I166" s="55"/>
      <c r="J166" s="55"/>
      <c r="L166"/>
      <c r="M166"/>
    </row>
    <row r="167" spans="2:13" ht="17.25">
      <c r="G167" s="44"/>
      <c r="H167" s="44"/>
      <c r="I167" s="2"/>
      <c r="J167" s="2"/>
    </row>
    <row r="168" spans="2:13" ht="17.25">
      <c r="B168" s="119" t="s">
        <v>8</v>
      </c>
      <c r="C168" s="41"/>
      <c r="D168" s="41"/>
      <c r="E168" s="41"/>
      <c r="F168" s="41"/>
      <c r="G168" s="41"/>
      <c r="H168" s="42" t="s">
        <v>14</v>
      </c>
      <c r="I168" s="2"/>
      <c r="J168" s="55"/>
      <c r="K168"/>
    </row>
    <row r="169" spans="2:13" ht="18" thickBot="1">
      <c r="B169" s="120" t="s">
        <v>69</v>
      </c>
      <c r="C169" s="41"/>
      <c r="D169" s="41"/>
      <c r="E169" s="41"/>
      <c r="F169" s="41"/>
      <c r="G169" s="41"/>
      <c r="H169" s="42"/>
      <c r="I169" s="2"/>
      <c r="J169" s="55"/>
      <c r="K169"/>
    </row>
    <row r="170" spans="2:13" ht="15" customHeight="1" thickBot="1">
      <c r="B170" s="137" t="s">
        <v>20</v>
      </c>
      <c r="C170" s="137"/>
      <c r="D170" s="137"/>
      <c r="E170" s="137"/>
      <c r="F170" s="138"/>
      <c r="G170" s="156" t="s">
        <v>9</v>
      </c>
      <c r="H170" s="156"/>
      <c r="I170" s="2"/>
      <c r="J170" s="2"/>
    </row>
    <row r="171" spans="2:13" ht="17.25" customHeight="1">
      <c r="B171" s="157" t="s">
        <v>52</v>
      </c>
      <c r="C171" s="157"/>
      <c r="D171" s="157"/>
      <c r="E171" s="157"/>
      <c r="F171" s="158"/>
      <c r="G171" s="159">
        <v>1058435395118</v>
      </c>
      <c r="H171" s="160"/>
      <c r="I171" s="58"/>
      <c r="J171" s="59"/>
    </row>
    <row r="172" spans="2:13" ht="17.25" customHeight="1">
      <c r="B172" s="152" t="s">
        <v>38</v>
      </c>
      <c r="C172" s="152"/>
      <c r="D172" s="152"/>
      <c r="E172" s="152"/>
      <c r="F172" s="153"/>
      <c r="G172" s="161">
        <v>848038233061</v>
      </c>
      <c r="H172" s="162"/>
      <c r="I172" s="58"/>
      <c r="J172" s="59"/>
    </row>
    <row r="173" spans="2:13" ht="17.25" customHeight="1">
      <c r="B173" s="152" t="s">
        <v>48</v>
      </c>
      <c r="C173" s="152"/>
      <c r="D173" s="152"/>
      <c r="E173" s="152"/>
      <c r="F173" s="153"/>
      <c r="G173" s="161">
        <v>839720696385</v>
      </c>
      <c r="H173" s="162"/>
      <c r="I173" s="58"/>
      <c r="J173" s="59"/>
    </row>
    <row r="174" spans="2:13" ht="17.25" customHeight="1">
      <c r="B174" s="152" t="s">
        <v>31</v>
      </c>
      <c r="C174" s="152"/>
      <c r="D174" s="152"/>
      <c r="E174" s="152"/>
      <c r="F174" s="153"/>
      <c r="G174" s="161">
        <v>361219301656</v>
      </c>
      <c r="H174" s="162"/>
      <c r="I174" s="58"/>
      <c r="J174" s="59"/>
    </row>
    <row r="175" spans="2:13" ht="17.25" customHeight="1">
      <c r="B175" s="152" t="s">
        <v>54</v>
      </c>
      <c r="C175" s="152"/>
      <c r="D175" s="152"/>
      <c r="E175" s="152"/>
      <c r="F175" s="153"/>
      <c r="G175" s="161">
        <v>325125951845</v>
      </c>
      <c r="H175" s="162"/>
      <c r="I175" s="60"/>
      <c r="J175" s="53"/>
    </row>
    <row r="176" spans="2:13" ht="17.25" customHeight="1">
      <c r="B176" s="152" t="s">
        <v>61</v>
      </c>
      <c r="C176" s="152"/>
      <c r="D176" s="152"/>
      <c r="E176" s="152"/>
      <c r="F176" s="153"/>
      <c r="G176" s="161">
        <v>311817780261</v>
      </c>
      <c r="H176" s="162"/>
      <c r="I176" s="58"/>
      <c r="J176" s="59"/>
    </row>
    <row r="177" spans="2:10" ht="17.25" customHeight="1">
      <c r="B177" s="152" t="s">
        <v>62</v>
      </c>
      <c r="C177" s="152"/>
      <c r="D177" s="152"/>
      <c r="E177" s="152"/>
      <c r="F177" s="153"/>
      <c r="G177" s="161">
        <v>298059776317</v>
      </c>
      <c r="H177" s="162"/>
      <c r="I177" s="58"/>
      <c r="J177" s="59"/>
    </row>
    <row r="178" spans="2:10" ht="17.25" customHeight="1">
      <c r="B178" s="152" t="s">
        <v>63</v>
      </c>
      <c r="C178" s="152"/>
      <c r="D178" s="152"/>
      <c r="E178" s="152"/>
      <c r="F178" s="153"/>
      <c r="G178" s="161">
        <v>253228730973</v>
      </c>
      <c r="H178" s="162"/>
      <c r="I178" s="58"/>
      <c r="J178" s="59"/>
    </row>
    <row r="179" spans="2:10" ht="17.25" customHeight="1">
      <c r="B179" s="152" t="s">
        <v>64</v>
      </c>
      <c r="C179" s="152"/>
      <c r="D179" s="152"/>
      <c r="E179" s="152"/>
      <c r="F179" s="153"/>
      <c r="G179" s="161">
        <v>229577305465</v>
      </c>
      <c r="H179" s="162"/>
      <c r="I179" s="58"/>
      <c r="J179" s="59"/>
    </row>
    <row r="180" spans="2:10" ht="18" customHeight="1" thickBot="1">
      <c r="B180" s="171" t="s">
        <v>65</v>
      </c>
      <c r="C180" s="171"/>
      <c r="D180" s="171"/>
      <c r="E180" s="171"/>
      <c r="F180" s="169"/>
      <c r="G180" s="172">
        <v>223964090122</v>
      </c>
      <c r="H180" s="173"/>
      <c r="I180" s="58"/>
      <c r="J180" s="59"/>
    </row>
    <row r="181" spans="2:10" ht="17.25">
      <c r="G181" s="44"/>
      <c r="H181" s="44"/>
      <c r="J181" s="51"/>
    </row>
    <row r="182" spans="2:10">
      <c r="B182" s="66"/>
      <c r="J182" s="51"/>
    </row>
  </sheetData>
  <dataConsolidate link="1"/>
  <mergeCells count="105">
    <mergeCell ref="B180:F180"/>
    <mergeCell ref="G180:H180"/>
    <mergeCell ref="H48:I48"/>
    <mergeCell ref="G156:H156"/>
    <mergeCell ref="G157:H157"/>
    <mergeCell ref="B156:F156"/>
    <mergeCell ref="B157:F157"/>
    <mergeCell ref="B141:F141"/>
    <mergeCell ref="G141:H141"/>
    <mergeCell ref="B177:F177"/>
    <mergeCell ref="G177:H177"/>
    <mergeCell ref="B178:F178"/>
    <mergeCell ref="G178:H178"/>
    <mergeCell ref="B179:F179"/>
    <mergeCell ref="G179:H179"/>
    <mergeCell ref="B174:F174"/>
    <mergeCell ref="G174:H174"/>
    <mergeCell ref="B175:F175"/>
    <mergeCell ref="G175:H175"/>
    <mergeCell ref="B176:F176"/>
    <mergeCell ref="G176:H176"/>
    <mergeCell ref="B171:F171"/>
    <mergeCell ref="G171:H171"/>
    <mergeCell ref="B172:F172"/>
    <mergeCell ref="G172:H172"/>
    <mergeCell ref="B173:F173"/>
    <mergeCell ref="G173:H173"/>
    <mergeCell ref="B164:F164"/>
    <mergeCell ref="G164:H164"/>
    <mergeCell ref="B165:F165"/>
    <mergeCell ref="G165:H165"/>
    <mergeCell ref="B170:F170"/>
    <mergeCell ref="G170:H170"/>
    <mergeCell ref="B161:F161"/>
    <mergeCell ref="G161:H161"/>
    <mergeCell ref="B162:F162"/>
    <mergeCell ref="G162:H162"/>
    <mergeCell ref="B163:F163"/>
    <mergeCell ref="G163:H163"/>
    <mergeCell ref="B158:F158"/>
    <mergeCell ref="G158:H158"/>
    <mergeCell ref="B159:F159"/>
    <mergeCell ref="G159:H159"/>
    <mergeCell ref="B160:F160"/>
    <mergeCell ref="G160:H160"/>
    <mergeCell ref="B155:F155"/>
    <mergeCell ref="G155:H155"/>
    <mergeCell ref="B148:F148"/>
    <mergeCell ref="B149:F149"/>
    <mergeCell ref="B150:F150"/>
    <mergeCell ref="B145:F145"/>
    <mergeCell ref="B146:F146"/>
    <mergeCell ref="B147:F147"/>
    <mergeCell ref="B142:F142"/>
    <mergeCell ref="B143:F143"/>
    <mergeCell ref="B144:F144"/>
    <mergeCell ref="G148:H148"/>
    <mergeCell ref="G149:H149"/>
    <mergeCell ref="G150:H150"/>
    <mergeCell ref="G142:H142"/>
    <mergeCell ref="G143:H143"/>
    <mergeCell ref="G144:H144"/>
    <mergeCell ref="G145:H145"/>
    <mergeCell ref="G146:H146"/>
    <mergeCell ref="G147:H147"/>
    <mergeCell ref="B131:F131"/>
    <mergeCell ref="G131:H131"/>
    <mergeCell ref="B140:F140"/>
    <mergeCell ref="G140:H140"/>
    <mergeCell ref="B128:F128"/>
    <mergeCell ref="G128:H128"/>
    <mergeCell ref="B129:F129"/>
    <mergeCell ref="G129:H129"/>
    <mergeCell ref="B130:F130"/>
    <mergeCell ref="G130:H130"/>
    <mergeCell ref="B49:D49"/>
    <mergeCell ref="B50:D50"/>
    <mergeCell ref="B51:D51"/>
    <mergeCell ref="B52:D52"/>
    <mergeCell ref="B53:D53"/>
    <mergeCell ref="B54:D54"/>
    <mergeCell ref="B34:D34"/>
    <mergeCell ref="B35:D35"/>
    <mergeCell ref="B36:D36"/>
    <mergeCell ref="B37:D37"/>
    <mergeCell ref="B38:D38"/>
    <mergeCell ref="B39:D39"/>
    <mergeCell ref="B27:D27"/>
    <mergeCell ref="B28:D28"/>
    <mergeCell ref="B33:D33"/>
    <mergeCell ref="B14:D14"/>
    <mergeCell ref="B15:D15"/>
    <mergeCell ref="B16:D16"/>
    <mergeCell ref="B17:D17"/>
    <mergeCell ref="B22:D22"/>
    <mergeCell ref="B23:D23"/>
    <mergeCell ref="B2:H2"/>
    <mergeCell ref="B3:H3"/>
    <mergeCell ref="I3:N3"/>
    <mergeCell ref="B11:D11"/>
    <mergeCell ref="B12:D12"/>
    <mergeCell ref="B13:D13"/>
    <mergeCell ref="B24:D24"/>
    <mergeCell ref="B25:D25"/>
    <mergeCell ref="B26:D26"/>
  </mergeCells>
  <pageMargins left="0.70866141732283472" right="0.70866141732283472" top="0.15748031496062992" bottom="0.15748031496062992" header="0.31496062992125984" footer="0.11811023622047245"/>
  <pageSetup paperSize="9" scale="54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51" max="16383" man="1"/>
    <brk id="194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25953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25953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Январь2013</vt:lpstr>
      <vt:lpstr>Февраль2013</vt:lpstr>
      <vt:lpstr>Март2013 </vt:lpstr>
      <vt:lpstr>Апрель2013</vt:lpstr>
      <vt:lpstr>Май2013</vt:lpstr>
      <vt:lpstr>Июнь2013</vt:lpstr>
      <vt:lpstr>Июль2013</vt:lpstr>
      <vt:lpstr>Август2013</vt:lpstr>
      <vt:lpstr>Сентябрь2013</vt:lpstr>
      <vt:lpstr>Октябрь2013</vt:lpstr>
      <vt:lpstr>Ноябрь2013 </vt:lpstr>
      <vt:lpstr>Декабрь2013</vt:lpstr>
    </vt:vector>
  </TitlesOfParts>
  <Company>MICEX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Zakharova_ia</dc:creator>
  <cp:lastModifiedBy>Малина Ольга Игоревна</cp:lastModifiedBy>
  <cp:lastPrinted>2014-04-23T07:56:21Z</cp:lastPrinted>
  <dcterms:created xsi:type="dcterms:W3CDTF">2007-06-25T14:16:27Z</dcterms:created>
  <dcterms:modified xsi:type="dcterms:W3CDTF">2014-04-23T11:07:24Z</dcterms:modified>
</cp:coreProperties>
</file>